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4\"/>
    </mc:Choice>
  </mc:AlternateContent>
  <xr:revisionPtr revIDLastSave="0" documentId="13_ncr:1_{DEE2D8D4-132F-4276-A3CB-C84945370220}" xr6:coauthVersionLast="47" xr6:coauthVersionMax="47" xr10:uidLastSave="{00000000-0000-0000-0000-000000000000}"/>
  <bookViews>
    <workbookView xWindow="43080" yWindow="-120" windowWidth="29040" windowHeight="15720" tabRatio="651" activeTab="5" xr2:uid="{00000000-000D-0000-FFFF-FFFF00000000}"/>
  </bookViews>
  <sheets>
    <sheet name="Wins by Key" sheetId="7" r:id="rId1"/>
    <sheet name="Wins by Postion" sheetId="6" r:id="rId2"/>
    <sheet name="MVP by Position" sheetId="5" r:id="rId3"/>
    <sheet name="MVP by Player" sheetId="4" r:id="rId4"/>
    <sheet name="Team Count" sheetId="9" r:id="rId5"/>
    <sheet name="Retro" sheetId="1" r:id="rId6"/>
    <sheet name="MVP Keys" sheetId="11" r:id="rId7"/>
    <sheet name="Position Matrix" sheetId="3" r:id="rId8"/>
    <sheet name="SQL" sheetId="8" r:id="rId9"/>
    <sheet name="Sheet1" sheetId="10" r:id="rId10"/>
  </sheets>
  <externalReferences>
    <externalReference r:id="rId11"/>
  </externalReferences>
  <definedNames>
    <definedName name="_xlnm._FilterDatabase" localSheetId="3" hidden="1">'MVP by Position'!$B$32:$B$67</definedName>
    <definedName name="_xlnm._FilterDatabase" localSheetId="7" hidden="1">'Position Matrix'!$A$1:$X$72</definedName>
    <definedName name="_xlnm._FilterDatabase" localSheetId="5" hidden="1">Retro!$I$1:$AB$72</definedName>
    <definedName name="key">Retro!$K$1:INDEX(Retro!$K:$K,COUNTA(Retro!$K:$K))</definedName>
    <definedName name="key_team_cnt">Retro!$K$1:$R$46</definedName>
    <definedName name="MVP_pos">Retro!$L$1:INDEX(Retro!$L:$L,COUNTA(Retro!$L:$L))</definedName>
    <definedName name="MVPbyPlayer">'MVP by Player'!$U$2:INDEX(!$R:$R,COUNTA('MVP by Player'!$R:$R))</definedName>
    <definedName name="retro">Retro!$I$1:INDEX(Retro!$AB:$AB,COUNTA(Retro!$AB:$AB))</definedName>
    <definedName name="team_cnt">Retro!$R$1:INDEX(Retro!$R:$R,COUNTA(Retro!$R:$R))</definedName>
    <definedName name="WinsByPosition">'Position Matrix'!$A$77:$D$86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H2" i="1"/>
  <c r="D2" i="1" s="1"/>
  <c r="H3" i="1"/>
  <c r="E3" i="1" s="1"/>
  <c r="H4" i="1"/>
  <c r="E4" i="1" s="1"/>
  <c r="H5" i="1"/>
  <c r="E5" i="1" s="1"/>
  <c r="H6" i="1"/>
  <c r="D6" i="1" s="1"/>
  <c r="H7" i="1"/>
  <c r="D7" i="1" s="1"/>
  <c r="H8" i="1"/>
  <c r="D8" i="1" s="1"/>
  <c r="H9" i="1"/>
  <c r="D9" i="1" s="1"/>
  <c r="H10" i="1"/>
  <c r="D10" i="1" s="1"/>
  <c r="H11" i="1"/>
  <c r="D11" i="1" s="1"/>
  <c r="H12" i="1"/>
  <c r="E12" i="1" s="1"/>
  <c r="H13" i="1"/>
  <c r="E13" i="1" s="1"/>
  <c r="H14" i="1"/>
  <c r="D14" i="1" s="1"/>
  <c r="H15" i="1"/>
  <c r="D15" i="1" s="1"/>
  <c r="H16" i="1"/>
  <c r="E16" i="1" s="1"/>
  <c r="H17" i="1"/>
  <c r="E17" i="1" s="1"/>
  <c r="H18" i="1"/>
  <c r="E18" i="1" s="1"/>
  <c r="H19" i="1"/>
  <c r="E19" i="1" s="1"/>
  <c r="H20" i="1"/>
  <c r="E20" i="1" s="1"/>
  <c r="H21" i="1"/>
  <c r="E21" i="1" s="1"/>
  <c r="H22" i="1"/>
  <c r="E22" i="1" s="1"/>
  <c r="H23" i="1"/>
  <c r="E23" i="1" s="1"/>
  <c r="H24" i="1"/>
  <c r="E24" i="1" s="1"/>
  <c r="H25" i="1"/>
  <c r="E25" i="1" s="1"/>
  <c r="H26" i="1"/>
  <c r="D26" i="1" s="1"/>
  <c r="H27" i="1"/>
  <c r="E27" i="1" s="1"/>
  <c r="H28" i="1"/>
  <c r="D28" i="1" s="1"/>
  <c r="H29" i="1"/>
  <c r="D29" i="1" s="1"/>
  <c r="H30" i="1"/>
  <c r="D30" i="1" s="1"/>
  <c r="H31" i="1"/>
  <c r="E31" i="1" s="1"/>
  <c r="H32" i="1"/>
  <c r="D32" i="1" s="1"/>
  <c r="H33" i="1"/>
  <c r="D33" i="1" s="1"/>
  <c r="H34" i="1"/>
  <c r="D34" i="1" s="1"/>
  <c r="H35" i="1"/>
  <c r="D35" i="1" s="1"/>
  <c r="H36" i="1"/>
  <c r="D36" i="1" s="1"/>
  <c r="H37" i="1"/>
  <c r="E37" i="1" s="1"/>
  <c r="H38" i="1"/>
  <c r="E38" i="1" s="1"/>
  <c r="H39" i="1"/>
  <c r="D39" i="1" s="1"/>
  <c r="H40" i="1"/>
  <c r="E40" i="1" s="1"/>
  <c r="H41" i="1"/>
  <c r="E41" i="1" s="1"/>
  <c r="H42" i="1"/>
  <c r="E42" i="1" s="1"/>
  <c r="H43" i="1"/>
  <c r="E43" i="1" s="1"/>
  <c r="H44" i="1"/>
  <c r="E44" i="1" s="1"/>
  <c r="H45" i="1"/>
  <c r="D45" i="1" s="1"/>
  <c r="H46" i="1"/>
  <c r="D46" i="1" s="1"/>
  <c r="H47" i="1"/>
  <c r="E47" i="1" s="1"/>
  <c r="H48" i="1"/>
  <c r="E48" i="1" s="1"/>
  <c r="H49" i="1"/>
  <c r="D49" i="1" s="1"/>
  <c r="H50" i="1"/>
  <c r="D50" i="1" s="1"/>
  <c r="H51" i="1"/>
  <c r="D51" i="1" s="1"/>
  <c r="H52" i="1"/>
  <c r="E52" i="1" s="1"/>
  <c r="H53" i="1"/>
  <c r="D53" i="1" s="1"/>
  <c r="H54" i="1"/>
  <c r="D54" i="1" s="1"/>
  <c r="H55" i="1"/>
  <c r="E55" i="1" s="1"/>
  <c r="H56" i="1"/>
  <c r="E56" i="1" s="1"/>
  <c r="H57" i="1"/>
  <c r="E57" i="1" s="1"/>
  <c r="H58" i="1"/>
  <c r="E58" i="1" s="1"/>
  <c r="H59" i="1"/>
  <c r="D59" i="1" s="1"/>
  <c r="H60" i="1"/>
  <c r="E60" i="1" s="1"/>
  <c r="H61" i="1"/>
  <c r="E61" i="1" s="1"/>
  <c r="H62" i="1"/>
  <c r="E62" i="1" s="1"/>
  <c r="H63" i="1"/>
  <c r="E63" i="1" s="1"/>
  <c r="H64" i="1"/>
  <c r="D64" i="1" s="1"/>
  <c r="H65" i="1"/>
  <c r="D65" i="1" s="1"/>
  <c r="H66" i="1"/>
  <c r="D66" i="1" s="1"/>
  <c r="H67" i="1"/>
  <c r="E67" i="1" s="1"/>
  <c r="H68" i="1"/>
  <c r="D68" i="1" s="1"/>
  <c r="H69" i="1"/>
  <c r="E69" i="1" s="1"/>
  <c r="H70" i="1"/>
  <c r="E70" i="1" s="1"/>
  <c r="H71" i="1"/>
  <c r="E71" i="1" s="1"/>
  <c r="H72" i="1"/>
  <c r="E72" i="1" s="1"/>
  <c r="E32" i="1"/>
  <c r="E33" i="1"/>
  <c r="E39" i="1"/>
  <c r="E11" i="1" l="1"/>
  <c r="D71" i="1"/>
  <c r="D31" i="1"/>
  <c r="D72" i="1"/>
  <c r="D44" i="1"/>
  <c r="E53" i="1"/>
  <c r="D5" i="1"/>
  <c r="D4" i="1"/>
  <c r="D3" i="1"/>
  <c r="D47" i="1"/>
  <c r="E64" i="1"/>
  <c r="E29" i="1"/>
  <c r="E49" i="1"/>
  <c r="E50" i="1"/>
  <c r="E35" i="1"/>
  <c r="E34" i="1"/>
  <c r="D69" i="1"/>
  <c r="E9" i="1"/>
  <c r="E8" i="1"/>
  <c r="D25" i="1"/>
  <c r="D24" i="1"/>
  <c r="D13" i="1"/>
  <c r="E7" i="1"/>
  <c r="E6" i="1"/>
  <c r="D70" i="1"/>
  <c r="D67" i="1"/>
  <c r="E14" i="1"/>
  <c r="E28" i="1"/>
  <c r="E68" i="1"/>
  <c r="E30" i="1"/>
  <c r="D48" i="1"/>
  <c r="E10" i="1"/>
  <c r="E46" i="1"/>
  <c r="D27" i="1"/>
  <c r="D52" i="1"/>
  <c r="E36" i="1"/>
  <c r="D22" i="1"/>
  <c r="D21" i="1"/>
  <c r="D19" i="1"/>
  <c r="D18" i="1"/>
  <c r="D16" i="1"/>
  <c r="E54" i="1"/>
  <c r="E26" i="1"/>
  <c r="D63" i="1"/>
  <c r="E59" i="1"/>
  <c r="D58" i="1"/>
  <c r="D56" i="1"/>
  <c r="D55" i="1"/>
  <c r="E51" i="1"/>
  <c r="D43" i="1"/>
  <c r="D42" i="1"/>
  <c r="D23" i="1"/>
  <c r="D20" i="1"/>
  <c r="D62" i="1"/>
  <c r="E15" i="1"/>
  <c r="D41" i="1"/>
  <c r="D40" i="1"/>
  <c r="D61" i="1"/>
  <c r="D38" i="1"/>
  <c r="D60" i="1"/>
  <c r="D57" i="1"/>
  <c r="D37" i="1"/>
  <c r="D17" i="1"/>
  <c r="E66" i="1"/>
  <c r="D12" i="1"/>
  <c r="E2" i="1"/>
  <c r="E45" i="1"/>
  <c r="E65" i="1"/>
  <c r="E28" i="7" l="1"/>
  <c r="E27" i="7"/>
  <c r="E26" i="7"/>
  <c r="E25" i="7"/>
  <c r="D28" i="7"/>
  <c r="D27" i="7"/>
  <c r="D26" i="7"/>
  <c r="D25" i="7"/>
  <c r="C28" i="7"/>
  <c r="C27" i="7"/>
  <c r="C26" i="7"/>
  <c r="C25" i="7"/>
  <c r="F28" i="7" l="1"/>
  <c r="G28" i="7"/>
  <c r="F26" i="7"/>
  <c r="F27" i="7"/>
  <c r="F25" i="7"/>
  <c r="D29" i="7"/>
  <c r="G26" i="7"/>
  <c r="G27" i="7"/>
  <c r="C29" i="7"/>
  <c r="G25" i="7"/>
  <c r="B77" i="3"/>
  <c r="K2" i="5" a="1"/>
  <c r="L24" i="7" a="1"/>
  <c r="U2" i="4" a="1"/>
  <c r="C2" i="8" a="1"/>
  <c r="B36" i="11" a="1"/>
  <c r="J18" i="11" a="1"/>
  <c r="B18" i="11" a="1"/>
  <c r="H2" i="9" a="1"/>
  <c r="C74" i="11" l="1"/>
  <c r="C72" i="11"/>
  <c r="C70" i="11"/>
  <c r="C68" i="11"/>
  <c r="C66" i="11"/>
  <c r="C64" i="11"/>
  <c r="C62" i="11"/>
  <c r="C60" i="11"/>
  <c r="C58" i="11"/>
  <c r="C56" i="11"/>
  <c r="C54" i="11"/>
  <c r="C52" i="11"/>
  <c r="C50" i="11"/>
  <c r="C48" i="11"/>
  <c r="C46" i="11"/>
  <c r="C44" i="11"/>
  <c r="C42" i="11"/>
  <c r="C40" i="11"/>
  <c r="C38" i="11"/>
  <c r="C36" i="11"/>
  <c r="B71" i="11"/>
  <c r="B63" i="11"/>
  <c r="B59" i="11"/>
  <c r="B55" i="11"/>
  <c r="B51" i="11"/>
  <c r="B47" i="11"/>
  <c r="B43" i="11"/>
  <c r="B39" i="11"/>
  <c r="B74" i="11"/>
  <c r="B72" i="11"/>
  <c r="B70" i="11"/>
  <c r="B68" i="11"/>
  <c r="B66" i="11"/>
  <c r="B64" i="11"/>
  <c r="B62" i="11"/>
  <c r="B60" i="11"/>
  <c r="B58" i="11"/>
  <c r="B56" i="11"/>
  <c r="B54" i="11"/>
  <c r="B52" i="11"/>
  <c r="B50" i="11"/>
  <c r="B48" i="11"/>
  <c r="B46" i="11"/>
  <c r="B44" i="11"/>
  <c r="B42" i="11"/>
  <c r="B40" i="11"/>
  <c r="B38" i="11"/>
  <c r="C73" i="11"/>
  <c r="C71" i="11"/>
  <c r="C69" i="11"/>
  <c r="C67" i="11"/>
  <c r="C65" i="11"/>
  <c r="C63" i="11"/>
  <c r="C61" i="11"/>
  <c r="C59" i="11"/>
  <c r="C57" i="11"/>
  <c r="C55" i="11"/>
  <c r="C53" i="11"/>
  <c r="C51" i="11"/>
  <c r="C49" i="11"/>
  <c r="C47" i="11"/>
  <c r="C45" i="11"/>
  <c r="C43" i="11"/>
  <c r="C41" i="11"/>
  <c r="C39" i="11"/>
  <c r="C37" i="11"/>
  <c r="B36" i="11"/>
  <c r="B73" i="11"/>
  <c r="B69" i="11"/>
  <c r="B67" i="11"/>
  <c r="B65" i="11"/>
  <c r="B61" i="11"/>
  <c r="B57" i="11"/>
  <c r="B53" i="11"/>
  <c r="B49" i="11"/>
  <c r="B45" i="11"/>
  <c r="B41" i="11"/>
  <c r="B37" i="11"/>
  <c r="K34" i="11"/>
  <c r="K32" i="11"/>
  <c r="K30" i="11"/>
  <c r="K28" i="11"/>
  <c r="K26" i="11"/>
  <c r="K24" i="11"/>
  <c r="K22" i="11"/>
  <c r="K20" i="11"/>
  <c r="K18" i="11"/>
  <c r="J34" i="11"/>
  <c r="J32" i="11"/>
  <c r="J30" i="11"/>
  <c r="J28" i="11"/>
  <c r="J26" i="11"/>
  <c r="J24" i="11"/>
  <c r="J22" i="11"/>
  <c r="J20" i="11"/>
  <c r="K33" i="11"/>
  <c r="K31" i="11"/>
  <c r="K29" i="11"/>
  <c r="K27" i="11"/>
  <c r="K25" i="11"/>
  <c r="K23" i="11"/>
  <c r="K21" i="11"/>
  <c r="K19" i="11"/>
  <c r="J18" i="11"/>
  <c r="J33" i="11"/>
  <c r="J31" i="11"/>
  <c r="J29" i="11"/>
  <c r="J27" i="11"/>
  <c r="J25" i="11"/>
  <c r="J23" i="11"/>
  <c r="J21" i="11"/>
  <c r="J19" i="11"/>
  <c r="C31" i="11"/>
  <c r="C29" i="11"/>
  <c r="C27" i="11"/>
  <c r="C25" i="11"/>
  <c r="C23" i="11"/>
  <c r="C21" i="11"/>
  <c r="C19" i="11"/>
  <c r="B18" i="11"/>
  <c r="C26" i="11"/>
  <c r="C22" i="11"/>
  <c r="B28" i="11"/>
  <c r="B22" i="11"/>
  <c r="B31" i="11"/>
  <c r="B29" i="11"/>
  <c r="B27" i="11"/>
  <c r="B25" i="11"/>
  <c r="B23" i="11"/>
  <c r="B21" i="11"/>
  <c r="B19" i="11"/>
  <c r="C28" i="11"/>
  <c r="C24" i="11"/>
  <c r="C20" i="11"/>
  <c r="B30" i="11"/>
  <c r="B24" i="11"/>
  <c r="C30" i="11"/>
  <c r="C18" i="11"/>
  <c r="B26" i="11"/>
  <c r="B20" i="11"/>
  <c r="H3" i="9"/>
  <c r="I4" i="9"/>
  <c r="J5" i="9"/>
  <c r="H2" i="9"/>
  <c r="I3" i="9"/>
  <c r="J4" i="9"/>
  <c r="H6" i="9"/>
  <c r="I2" i="9"/>
  <c r="J3" i="9"/>
  <c r="H5" i="9"/>
  <c r="I6" i="9"/>
  <c r="J2" i="9"/>
  <c r="H4" i="9"/>
  <c r="I5" i="9"/>
  <c r="J6" i="9"/>
  <c r="U2" i="4"/>
  <c r="U4" i="4"/>
  <c r="U6" i="4"/>
  <c r="U8" i="4"/>
  <c r="U10" i="4"/>
  <c r="U12" i="4"/>
  <c r="U14" i="4"/>
  <c r="U16" i="4"/>
  <c r="U18" i="4"/>
  <c r="U20" i="4"/>
  <c r="U22" i="4"/>
  <c r="U24" i="4"/>
  <c r="U26" i="4"/>
  <c r="U28" i="4"/>
  <c r="U30" i="4"/>
  <c r="U32" i="4"/>
  <c r="U34" i="4"/>
  <c r="U36" i="4"/>
  <c r="U38" i="4"/>
  <c r="U40" i="4"/>
  <c r="U42" i="4"/>
  <c r="U44" i="4"/>
  <c r="U46" i="4"/>
  <c r="U48" i="4"/>
  <c r="U50" i="4"/>
  <c r="V2" i="4"/>
  <c r="V4" i="4"/>
  <c r="V6" i="4"/>
  <c r="V8" i="4"/>
  <c r="V10" i="4"/>
  <c r="V12" i="4"/>
  <c r="V14" i="4"/>
  <c r="V16" i="4"/>
  <c r="V18" i="4"/>
  <c r="V20" i="4"/>
  <c r="V22" i="4"/>
  <c r="V24" i="4"/>
  <c r="V26" i="4"/>
  <c r="V28" i="4"/>
  <c r="V30" i="4"/>
  <c r="V32" i="4"/>
  <c r="V34" i="4"/>
  <c r="V36" i="4"/>
  <c r="V38" i="4"/>
  <c r="V40" i="4"/>
  <c r="V42" i="4"/>
  <c r="V44" i="4"/>
  <c r="V46" i="4"/>
  <c r="V48" i="4"/>
  <c r="V50" i="4"/>
  <c r="U3" i="4"/>
  <c r="U5" i="4"/>
  <c r="U7" i="4"/>
  <c r="U9" i="4"/>
  <c r="U11" i="4"/>
  <c r="U13" i="4"/>
  <c r="U15" i="4"/>
  <c r="U17" i="4"/>
  <c r="U19" i="4"/>
  <c r="U21" i="4"/>
  <c r="U23" i="4"/>
  <c r="U25" i="4"/>
  <c r="U27" i="4"/>
  <c r="U29" i="4"/>
  <c r="U31" i="4"/>
  <c r="U33" i="4"/>
  <c r="U35" i="4"/>
  <c r="U37" i="4"/>
  <c r="U39" i="4"/>
  <c r="U41" i="4"/>
  <c r="U43" i="4"/>
  <c r="U45" i="4"/>
  <c r="U47" i="4"/>
  <c r="U49" i="4"/>
  <c r="V3" i="4"/>
  <c r="V5" i="4"/>
  <c r="V7" i="4"/>
  <c r="V9" i="4"/>
  <c r="V11" i="4"/>
  <c r="V13" i="4"/>
  <c r="V15" i="4"/>
  <c r="V17" i="4"/>
  <c r="V19" i="4"/>
  <c r="V21" i="4"/>
  <c r="V23" i="4"/>
  <c r="V25" i="4"/>
  <c r="V33" i="4"/>
  <c r="V41" i="4"/>
  <c r="V49" i="4"/>
  <c r="V43" i="4"/>
  <c r="V29" i="4"/>
  <c r="V31" i="4"/>
  <c r="V27" i="4"/>
  <c r="V35" i="4"/>
  <c r="V37" i="4"/>
  <c r="V45" i="4"/>
  <c r="V39" i="4"/>
  <c r="V47" i="4"/>
  <c r="K2" i="5"/>
  <c r="L3" i="5"/>
  <c r="M4" i="5"/>
  <c r="K6" i="5"/>
  <c r="L7" i="5"/>
  <c r="M8" i="5"/>
  <c r="K10" i="5"/>
  <c r="L11" i="5"/>
  <c r="M12" i="5"/>
  <c r="M3" i="5"/>
  <c r="L6" i="5"/>
  <c r="M7" i="5"/>
  <c r="K9" i="5"/>
  <c r="M11" i="5"/>
  <c r="M2" i="5"/>
  <c r="K4" i="5"/>
  <c r="L5" i="5"/>
  <c r="K8" i="5"/>
  <c r="M10" i="5"/>
  <c r="K3" i="5"/>
  <c r="M5" i="5"/>
  <c r="K7" i="5"/>
  <c r="M9" i="5"/>
  <c r="L12" i="5"/>
  <c r="L2" i="5"/>
  <c r="K5" i="5"/>
  <c r="L10" i="5"/>
  <c r="M6" i="5"/>
  <c r="L9" i="5"/>
  <c r="K12" i="5"/>
  <c r="L4" i="5"/>
  <c r="L8" i="5"/>
  <c r="K11" i="5"/>
  <c r="C2" i="8"/>
  <c r="D3" i="8"/>
  <c r="E4" i="8"/>
  <c r="C6" i="8"/>
  <c r="E3" i="8"/>
  <c r="D6" i="8"/>
  <c r="C4" i="8"/>
  <c r="E6" i="8"/>
  <c r="D4" i="8"/>
  <c r="E5" i="8"/>
  <c r="D2" i="8"/>
  <c r="C5" i="8"/>
  <c r="E2" i="8"/>
  <c r="D5" i="8"/>
  <c r="C3" i="8"/>
  <c r="L24" i="7"/>
  <c r="M25" i="7"/>
  <c r="N26" i="7"/>
  <c r="L28" i="7"/>
  <c r="M29" i="7"/>
  <c r="N30" i="7"/>
  <c r="L32" i="7"/>
  <c r="M33" i="7"/>
  <c r="N34" i="7"/>
  <c r="L36" i="7"/>
  <c r="M37" i="7"/>
  <c r="M32" i="7"/>
  <c r="L35" i="7"/>
  <c r="N37" i="7"/>
  <c r="N24" i="7"/>
  <c r="M27" i="7"/>
  <c r="M31" i="7"/>
  <c r="L34" i="7"/>
  <c r="N36" i="7"/>
  <c r="L25" i="7"/>
  <c r="L29" i="7"/>
  <c r="N31" i="7"/>
  <c r="M34" i="7"/>
  <c r="N35" i="7"/>
  <c r="M24" i="7"/>
  <c r="N25" i="7"/>
  <c r="L27" i="7"/>
  <c r="M28" i="7"/>
  <c r="N29" i="7"/>
  <c r="L31" i="7"/>
  <c r="N33" i="7"/>
  <c r="M36" i="7"/>
  <c r="L26" i="7"/>
  <c r="N28" i="7"/>
  <c r="L30" i="7"/>
  <c r="N32" i="7"/>
  <c r="M35" i="7"/>
  <c r="M26" i="7"/>
  <c r="N27" i="7"/>
  <c r="M30" i="7"/>
  <c r="L33" i="7"/>
  <c r="L37" i="7"/>
  <c r="C75" i="3"/>
  <c r="P10" i="5" l="1"/>
  <c r="S6" i="6"/>
  <c r="S5" i="6"/>
  <c r="S4" i="6"/>
  <c r="S3" i="6"/>
  <c r="Q37" i="7" l="1"/>
  <c r="Q30" i="7" l="1"/>
  <c r="Q35" i="7"/>
  <c r="Q26" i="7"/>
  <c r="Q33" i="7"/>
  <c r="Q32" i="7"/>
  <c r="Q27" i="7"/>
  <c r="Q29" i="7"/>
  <c r="Q31" i="7"/>
  <c r="Q25" i="7"/>
  <c r="Q36" i="7"/>
  <c r="Q34" i="7"/>
  <c r="Q28" i="7"/>
  <c r="P9" i="5" l="1"/>
  <c r="P6" i="5" l="1"/>
  <c r="P3" i="5"/>
  <c r="P4" i="5"/>
  <c r="P8" i="5"/>
  <c r="P5" i="5"/>
  <c r="P7" i="5"/>
  <c r="H75" i="3"/>
  <c r="O75" i="3"/>
  <c r="Q75" i="3"/>
  <c r="N75" i="3"/>
  <c r="R75" i="3"/>
  <c r="M75" i="3"/>
  <c r="F75" i="3"/>
  <c r="J75" i="3"/>
  <c r="D75" i="3"/>
  <c r="I75" i="3"/>
  <c r="G75" i="3"/>
  <c r="E75" i="3"/>
  <c r="T75" i="3"/>
  <c r="K75" i="3"/>
  <c r="P75" i="3"/>
  <c r="S75" i="3"/>
  <c r="L75" i="3"/>
</calcChain>
</file>

<file path=xl/sharedStrings.xml><?xml version="1.0" encoding="utf-8"?>
<sst xmlns="http://schemas.openxmlformats.org/spreadsheetml/2006/main" count="1513" uniqueCount="570">
  <si>
    <t>p2_pos</t>
  </si>
  <si>
    <t>p3_pos</t>
  </si>
  <si>
    <t>p4_pos</t>
  </si>
  <si>
    <t>p5_pos</t>
  </si>
  <si>
    <t>p2_name</t>
  </si>
  <si>
    <t>p3_name</t>
  </si>
  <si>
    <t>p4_name</t>
  </si>
  <si>
    <t>p5_name</t>
  </si>
  <si>
    <t>total_salary</t>
  </si>
  <si>
    <t>total_fppg</t>
  </si>
  <si>
    <t>TE:BAL</t>
  </si>
  <si>
    <t>RB:KC</t>
  </si>
  <si>
    <t>QB:BAL</t>
  </si>
  <si>
    <t>WR1:KC</t>
  </si>
  <si>
    <t>WR2:KC</t>
  </si>
  <si>
    <t>RB:PHI</t>
  </si>
  <si>
    <t>WR1:PHI</t>
  </si>
  <si>
    <t>WR2:PHI</t>
  </si>
  <si>
    <t>WR3:GB</t>
  </si>
  <si>
    <t>K:GB</t>
  </si>
  <si>
    <t>WR2:DET</t>
  </si>
  <si>
    <t>RB1:DET</t>
  </si>
  <si>
    <t>WR1:LAR</t>
  </si>
  <si>
    <t>RB2:DET</t>
  </si>
  <si>
    <t>QB:LAR</t>
  </si>
  <si>
    <t>K:SF</t>
  </si>
  <si>
    <t>RB:NYJ</t>
  </si>
  <si>
    <t>WR1:SF</t>
  </si>
  <si>
    <t>RB2:SF</t>
  </si>
  <si>
    <t>WR3:NYJ</t>
  </si>
  <si>
    <t>RB:BUF</t>
  </si>
  <si>
    <t>TE:MIA</t>
  </si>
  <si>
    <t>QB:BUF</t>
  </si>
  <si>
    <t>RB1:MIA</t>
  </si>
  <si>
    <t>D:BUF</t>
  </si>
  <si>
    <t>total_ppts</t>
  </si>
  <si>
    <t>MVP</t>
  </si>
  <si>
    <t>QB</t>
  </si>
  <si>
    <t>RB</t>
  </si>
  <si>
    <t>TE</t>
  </si>
  <si>
    <t>WR1</t>
  </si>
  <si>
    <t>WR2</t>
  </si>
  <si>
    <t>WR3</t>
  </si>
  <si>
    <t>D</t>
  </si>
  <si>
    <t>K</t>
  </si>
  <si>
    <t>QB:TB</t>
  </si>
  <si>
    <t>WR1:DET</t>
  </si>
  <si>
    <t>WR2:HOU</t>
  </si>
  <si>
    <t>QB:HOU</t>
  </si>
  <si>
    <t>K:HOU</t>
  </si>
  <si>
    <t>K:CHI</t>
  </si>
  <si>
    <t>D:HOU</t>
  </si>
  <si>
    <t>Totals</t>
  </si>
  <si>
    <t>WR1:ATL</t>
  </si>
  <si>
    <t>WR2:ATL</t>
  </si>
  <si>
    <t>K:ATL</t>
  </si>
  <si>
    <t>QB:PHI</t>
  </si>
  <si>
    <t>QB:ATL</t>
  </si>
  <si>
    <t>QB:NYJ</t>
  </si>
  <si>
    <t>RB1:NYJ</t>
  </si>
  <si>
    <t>D:NYJ</t>
  </si>
  <si>
    <t>WR3:NE</t>
  </si>
  <si>
    <t>QB:KC</t>
  </si>
  <si>
    <t>K:KC</t>
  </si>
  <si>
    <t>WR2:BUF</t>
  </si>
  <si>
    <t>WR1:CIN</t>
  </si>
  <si>
    <t>QB:CIN</t>
  </si>
  <si>
    <t>QB:WAS</t>
  </si>
  <si>
    <t>WR1:WAS</t>
  </si>
  <si>
    <t>RB:WAS</t>
  </si>
  <si>
    <t>WR1:NYG</t>
  </si>
  <si>
    <t>WR2:NYG</t>
  </si>
  <si>
    <t>K:NYG</t>
  </si>
  <si>
    <t>RB:DAL</t>
  </si>
  <si>
    <t>WR1:DAL</t>
  </si>
  <si>
    <t>RB:BAL</t>
  </si>
  <si>
    <t>D:BAL</t>
  </si>
  <si>
    <t>K:TEN</t>
  </si>
  <si>
    <t>D:TEN</t>
  </si>
  <si>
    <t>RB:TEN</t>
  </si>
  <si>
    <t>QB:MIA</t>
  </si>
  <si>
    <t>RB:SEA</t>
  </si>
  <si>
    <t>QB:DET</t>
  </si>
  <si>
    <t>QB:SEA</t>
  </si>
  <si>
    <t>RB:DET</t>
  </si>
  <si>
    <t>QB:DAL</t>
  </si>
  <si>
    <t>QB:PIT</t>
  </si>
  <si>
    <t>WR2:DAL</t>
  </si>
  <si>
    <t>WR2:NO</t>
  </si>
  <si>
    <t>WR3:KC</t>
  </si>
  <si>
    <t>QB:SF</t>
  </si>
  <si>
    <t>TE:SF</t>
  </si>
  <si>
    <t>WR3:SEA</t>
  </si>
  <si>
    <t>QB:NYG</t>
  </si>
  <si>
    <t>RB:CIN</t>
  </si>
  <si>
    <t>RB:NYG</t>
  </si>
  <si>
    <t>WR1:NYJ</t>
  </si>
  <si>
    <t>WR2:NYJ</t>
  </si>
  <si>
    <t>RB:DEN</t>
  </si>
  <si>
    <t>QB:DEN</t>
  </si>
  <si>
    <t>D:DEN</t>
  </si>
  <si>
    <t>K:DEN</t>
  </si>
  <si>
    <t>QB2:PIT</t>
  </si>
  <si>
    <t>RB:PIT</t>
  </si>
  <si>
    <t>WR1:PIT</t>
  </si>
  <si>
    <t>WR3:PIT</t>
  </si>
  <si>
    <t>108347-103064:Breece Hall</t>
  </si>
  <si>
    <t>108347-22015:Russell Wilson</t>
  </si>
  <si>
    <t>108347-90575:Najee Harris</t>
  </si>
  <si>
    <t>108347-110246:George Pickens</t>
  </si>
  <si>
    <t>WR2:BAL</t>
  </si>
  <si>
    <t>TE:TB</t>
  </si>
  <si>
    <t>108397-63115:Lamar Jackson</t>
  </si>
  <si>
    <t>108397-41535:Baker Mayfield</t>
  </si>
  <si>
    <t>108397-52436:Mark Andrews</t>
  </si>
  <si>
    <t>TE1:SF</t>
  </si>
  <si>
    <t>RB:SF</t>
  </si>
  <si>
    <t>108584-86631:CeeDee Lamb</t>
  </si>
  <si>
    <t>108584-87705:Anders Carlson</t>
  </si>
  <si>
    <t>108584-85607:Brock Purdy</t>
  </si>
  <si>
    <t>108584-39793:George Kittle</t>
  </si>
  <si>
    <t>MVP_pos</t>
  </si>
  <si>
    <t>select</t>
  </si>
  <si>
    <t>team_cnt</t>
  </si>
  <si>
    <t>total_pts</t>
  </si>
  <si>
    <t>105733-63115:Lamar Jackson</t>
  </si>
  <si>
    <t>105733-92575:Isiah Pacheco</t>
  </si>
  <si>
    <t>105733-111311:Rashee Rice</t>
  </si>
  <si>
    <t>105733-158974:Xavier Worthy</t>
  </si>
  <si>
    <t>106557-64401:Saquon Barkley</t>
  </si>
  <si>
    <t>106557-72846:A.J. Brown</t>
  </si>
  <si>
    <t>106557-90576:DeVonta Smith</t>
  </si>
  <si>
    <t>106557-89455:Jayden Reed</t>
  </si>
  <si>
    <t>106609-79970:Cooper Kupp</t>
  </si>
  <si>
    <t>106609-129368:Jahmyr Gibbs</t>
  </si>
  <si>
    <t>106609-6654:Matthew Stafford</t>
  </si>
  <si>
    <t>106609-73273:David Montgomery</t>
  </si>
  <si>
    <t>106699-91372:Jake Moody</t>
  </si>
  <si>
    <t>106699-56018:Deebo Samuel Sr.</t>
  </si>
  <si>
    <t>106699-103064:Breece Hall</t>
  </si>
  <si>
    <t>106699-86875:Jordan Mason</t>
  </si>
  <si>
    <t>106989-69531:Jalen Hurts</t>
  </si>
  <si>
    <t>106989-22038:Kirk Cousins</t>
  </si>
  <si>
    <t>106989-90576:DeVonta Smith</t>
  </si>
  <si>
    <t>106989-53212:Younghoe Koo</t>
  </si>
  <si>
    <t>106717-91626:James Cook</t>
  </si>
  <si>
    <t>106717-138820:De'Von Achane</t>
  </si>
  <si>
    <t>106717-62239:Josh Allen</t>
  </si>
  <si>
    <t>106717-12526:Buffalo Bills</t>
  </si>
  <si>
    <t>106876-91419:Nico Collins</t>
  </si>
  <si>
    <t>106876-129471:C.J. Stroud</t>
  </si>
  <si>
    <t>106876-29932:Ka'imi Fairbairn</t>
  </si>
  <si>
    <t>106876-33714:Cairo Santos</t>
  </si>
  <si>
    <t>WR3:JAC</t>
  </si>
  <si>
    <t>107260-62239:Josh Allen</t>
  </si>
  <si>
    <t>107260-91626:James Cook</t>
  </si>
  <si>
    <t>107260-86518:Khalil Shakir</t>
  </si>
  <si>
    <t>107260-60858:Christian Kirk</t>
  </si>
  <si>
    <t>107208-111311:Rashee Rice</t>
  </si>
  <si>
    <t>107208-57439:Patrick Mahomes</t>
  </si>
  <si>
    <t>107208-112745:Drake London</t>
  </si>
  <si>
    <t>107208-69777:Darnell Mooney</t>
  </si>
  <si>
    <t>107022-6894:Aaron Rodgers</t>
  </si>
  <si>
    <t>107022-103064:Breece Hall</t>
  </si>
  <si>
    <t>107022-12544:New York Jets</t>
  </si>
  <si>
    <t>107022-56809:Allen Lazard</t>
  </si>
  <si>
    <t>107261-85701:Ja'Marr Chase</t>
  </si>
  <si>
    <t>107261-102785:Jayden Daniels</t>
  </si>
  <si>
    <t>107261-63336:Joe Burrow</t>
  </si>
  <si>
    <t>107261-56250:Terry McLaurin</t>
  </si>
  <si>
    <t>107485-39280:Derrick Henry</t>
  </si>
  <si>
    <t>107485-63115:Lamar Jackson</t>
  </si>
  <si>
    <t>107485-86518:Khalil Shakir</t>
  </si>
  <si>
    <t>107485-12555:Baltimore Ravens</t>
  </si>
  <si>
    <t>107283-151761:Malik Nabers</t>
  </si>
  <si>
    <t>107283-86631:CeeDee Lamb</t>
  </si>
  <si>
    <t>107283-103539:Wan'Dale Robinson</t>
  </si>
  <si>
    <t>107283-55515:Greg Joseph</t>
  </si>
  <si>
    <t>TE:SEA</t>
  </si>
  <si>
    <t>107540-103342:Kenneth Walker III</t>
  </si>
  <si>
    <t>107540-26483:Geno Smith</t>
  </si>
  <si>
    <t>107540-38435:Jared Goff</t>
  </si>
  <si>
    <t>107540-129368:Jahmyr Gibbs</t>
  </si>
  <si>
    <t>107540-73273:David Montgomery</t>
  </si>
  <si>
    <t>107539-6642:Nick Folk</t>
  </si>
  <si>
    <t>107539-63759:Tony Pollard</t>
  </si>
  <si>
    <t>107539-12534:Tennessee Titans</t>
  </si>
  <si>
    <t>107539-70051:Tyler Huntley</t>
  </si>
  <si>
    <t>TE:PIT</t>
  </si>
  <si>
    <t>107769-31716:Dak Prescott</t>
  </si>
  <si>
    <t>107769-91591:Justin Fields</t>
  </si>
  <si>
    <t>107769-72297:Rico Dowdle</t>
  </si>
  <si>
    <t>107769-88548:Jalen Tolbert</t>
  </si>
  <si>
    <t>107841-45229:Kareem Hunt</t>
  </si>
  <si>
    <t>107841-57439:Patrick Mahomes</t>
  </si>
  <si>
    <t>107841-170287:Rashid Shaheed</t>
  </si>
  <si>
    <t>107841-41642:Harrison Butker</t>
  </si>
  <si>
    <t>107555-22038:Kirk Cousins</t>
  </si>
  <si>
    <t>107555-41535:Baker Mayfield</t>
  </si>
  <si>
    <t>107555-112745:Drake London</t>
  </si>
  <si>
    <t>107555-53212:Younghoe Koo</t>
  </si>
  <si>
    <t>107899-103564:Garrett Wilson</t>
  </si>
  <si>
    <t>107899-103064:Breece Hall</t>
  </si>
  <si>
    <t>107899-6894:Aaron Rodgers</t>
  </si>
  <si>
    <t>107899-56809:Allen Lazard</t>
  </si>
  <si>
    <t>108048-63336:Joe Burrow</t>
  </si>
  <si>
    <t>108048-63519:Daniel Jones</t>
  </si>
  <si>
    <t>108048-89493:Chase Brown</t>
  </si>
  <si>
    <t>108048-86153:Tyrone Tracy Jr.</t>
  </si>
  <si>
    <t>107861-85607:Brock Purdy</t>
  </si>
  <si>
    <t>107861-26483:Geno Smith</t>
  </si>
  <si>
    <t>107861-56018:Deebo Samuel Sr.</t>
  </si>
  <si>
    <t>107861-39793:George Kittle</t>
  </si>
  <si>
    <t>RB:TB</t>
  </si>
  <si>
    <t>108397-137902:Rachaad White</t>
  </si>
  <si>
    <t>WR4:NO</t>
  </si>
  <si>
    <t>108145-93541:Javonte Williams</t>
  </si>
  <si>
    <t>108145-102965:Bo Nix</t>
  </si>
  <si>
    <t>108145-48380:Wil Lutz</t>
  </si>
  <si>
    <t>108145-12531:Denver Broncos</t>
  </si>
  <si>
    <t>RB:LAR</t>
  </si>
  <si>
    <t>WR1:MIN</t>
  </si>
  <si>
    <t>WR3:LAR</t>
  </si>
  <si>
    <t>WR:LAR</t>
  </si>
  <si>
    <t>108416-6654:Matthew Stafford</t>
  </si>
  <si>
    <t>108416-104433:Kyren Williams</t>
  </si>
  <si>
    <t>108416-85671:Justin Jefferson</t>
  </si>
  <si>
    <t>108416-38264:Demarcus Robinson</t>
  </si>
  <si>
    <t>RB2:NYG</t>
  </si>
  <si>
    <t>D:PIT</t>
  </si>
  <si>
    <t>WR3:NYG</t>
  </si>
  <si>
    <t>108707-86153:Tyrone Tracy Jr.</t>
  </si>
  <si>
    <t>108707-90575:Najee Harris</t>
  </si>
  <si>
    <t>108707-12547:Pittsburgh Steelers</t>
  </si>
  <si>
    <t>108707-63819:Darius Slayton</t>
  </si>
  <si>
    <t>WR1:HOU</t>
  </si>
  <si>
    <t>108750-103564:Garrett Wilson</t>
  </si>
  <si>
    <t>108750-6894:Aaron Rodgers</t>
  </si>
  <si>
    <t>108750-129291:Tank Dell</t>
  </si>
  <si>
    <t>108750-45889:Davante Adams</t>
  </si>
  <si>
    <t>QB:MIN</t>
  </si>
  <si>
    <t>WR2:MIN</t>
  </si>
  <si>
    <t>D:IND</t>
  </si>
  <si>
    <t>TE:MIN</t>
  </si>
  <si>
    <t>108941-85671:Justin Jefferson</t>
  </si>
  <si>
    <t>108941-63589:Sam Darnold</t>
  </si>
  <si>
    <t>108941-129210:Jordan Addison</t>
  </si>
  <si>
    <t>108941-12535:Indianapolis Colts</t>
  </si>
  <si>
    <t>109053-16606:DeAndre Hopkins</t>
  </si>
  <si>
    <t>109053-45229:Kareem Hunt</t>
  </si>
  <si>
    <t>109053-86811:Cade Otton</t>
  </si>
  <si>
    <t>109053-57439:Patrick Mahomes</t>
  </si>
  <si>
    <t>WR:BAL</t>
  </si>
  <si>
    <t>109087-85701:Ja'Marr Chase</t>
  </si>
  <si>
    <t>109087-63336:Joe Burrow</t>
  </si>
  <si>
    <t>109087-63115:Lamar Jackson</t>
  </si>
  <si>
    <t>109087-52436:Mark Andrews</t>
  </si>
  <si>
    <t>RB:HOU</t>
  </si>
  <si>
    <t>TE:DET</t>
  </si>
  <si>
    <t>WR:HOU</t>
  </si>
  <si>
    <t>109259-52442:Joe Mixon</t>
  </si>
  <si>
    <t>109259-86997:Amon-Ra St. Brown</t>
  </si>
  <si>
    <t>109259-105646:Sam LaPorta</t>
  </si>
  <si>
    <t>109259-29932:Ka'imi Fairbairn</t>
  </si>
  <si>
    <t>K:LAR</t>
  </si>
  <si>
    <t>WR2:LAR</t>
  </si>
  <si>
    <t>K:MIA</t>
  </si>
  <si>
    <t>109359-133172:Joshua Karty</t>
  </si>
  <si>
    <t>109359-103020:Puka Nacua</t>
  </si>
  <si>
    <t>109359-6654:Matthew Stafford</t>
  </si>
  <si>
    <t>109359-79970:Cooper Kupp</t>
  </si>
  <si>
    <t>RB1:WAS</t>
  </si>
  <si>
    <t>TE:WAS</t>
  </si>
  <si>
    <t>109392-64401:Saquon Barkley</t>
  </si>
  <si>
    <t>109392-69531:Jalen Hurts</t>
  </si>
  <si>
    <t>109392-90562:Brian Robinson Jr.</t>
  </si>
  <si>
    <t>109392-80001:Austin Ekeler</t>
  </si>
  <si>
    <t>QB:LAC</t>
  </si>
  <si>
    <t>WR2:CIN</t>
  </si>
  <si>
    <t>WR1:LAC</t>
  </si>
  <si>
    <t>TE:LAC</t>
  </si>
  <si>
    <t>109589-63336:Joe Burrow</t>
  </si>
  <si>
    <t>109589-69189:Justin Herbert</t>
  </si>
  <si>
    <t>109589-89981:Tee Higgins</t>
  </si>
  <si>
    <t>109589-133472:Ladd McConkey</t>
  </si>
  <si>
    <t>WR:DAL</t>
  </si>
  <si>
    <t>109667-52442:Joe Mixon</t>
  </si>
  <si>
    <t>109667-44715:Cooper Rush</t>
  </si>
  <si>
    <t>109667-12556:Houston Texans</t>
  </si>
  <si>
    <t>109667-86631:CeeDee Lamb</t>
  </si>
  <si>
    <t>Games</t>
  </si>
  <si>
    <t>Picks</t>
  </si>
  <si>
    <t>WR4</t>
  </si>
  <si>
    <t>RB1:CLE</t>
  </si>
  <si>
    <t>QB:CLE</t>
  </si>
  <si>
    <t>109710-53562:Nick Chubb</t>
  </si>
  <si>
    <t>109710-24849:Jameis Winston</t>
  </si>
  <si>
    <t>109710-112057:Jaylen Warren</t>
  </si>
  <si>
    <t>109710-22015:Russell Wilson</t>
  </si>
  <si>
    <t>RB:CLE</t>
  </si>
  <si>
    <t>K:PHI</t>
  </si>
  <si>
    <t>109885-64401:Saquon Barkley</t>
  </si>
  <si>
    <t>109885-72846:A.J. Brown</t>
  </si>
  <si>
    <t>109885-6654:Matthew Stafford</t>
  </si>
  <si>
    <t>109885-38264:Demarcus Robinson</t>
  </si>
  <si>
    <t>TE1:BAL</t>
  </si>
  <si>
    <t>K:LAC</t>
  </si>
  <si>
    <t>109995-63115:Lamar Jackson</t>
  </si>
  <si>
    <t>109995-69189:Justin Herbert</t>
  </si>
  <si>
    <t>109995-52436:Mark Andrews</t>
  </si>
  <si>
    <t>109995-92496:Cameron Dicker</t>
  </si>
  <si>
    <t>RB:GB</t>
  </si>
  <si>
    <t>QB:GB</t>
  </si>
  <si>
    <t>110092-90572:Tua Tagovailoa</t>
  </si>
  <si>
    <t>110092-72731:Josh Jacobs</t>
  </si>
  <si>
    <t>110092-69017:Jordan Love</t>
  </si>
  <si>
    <t>110092-48116:Jonnu Smith</t>
  </si>
  <si>
    <t>TE:LV</t>
  </si>
  <si>
    <t>WR1:LV</t>
  </si>
  <si>
    <t>WR2:LV</t>
  </si>
  <si>
    <t>QB:LV</t>
  </si>
  <si>
    <t>110093-151794:Brock Bowers</t>
  </si>
  <si>
    <t>110093-57439:Patrick Mahomes</t>
  </si>
  <si>
    <t>110093-63634:Jakobi Meyers</t>
  </si>
  <si>
    <t>110093-103619:Tre Tucker</t>
  </si>
  <si>
    <t>WR1:CLE</t>
  </si>
  <si>
    <t>TE:CLE</t>
  </si>
  <si>
    <t>WR:DEN</t>
  </si>
  <si>
    <t>110324-90561:Jerry Jeudy</t>
  </si>
  <si>
    <t>110324-55335:David Njoku</t>
  </si>
  <si>
    <t>110324-24849:Jameis Winston</t>
  </si>
  <si>
    <t>110324-12531:Denver Broncos</t>
  </si>
  <si>
    <t>Wins by Key</t>
  </si>
  <si>
    <t>MVP by Position</t>
  </si>
  <si>
    <t>SELECT substr(MVP_pos,1,instr(mvp_pos,":")-1) AS Position
              ,COUNT(mvp_pos) as Count
              ,CAST(COUNT(mvp_pos) AS DOUBLE) / (SELECT COUNT(*) FROM a) AS Percentage
FROM a 
GROUP BY SUBSTR(MVP_pos,1,INSTR(mvp_pos,":")-1) 
ORDER BY 2 DESC,1</t>
  </si>
  <si>
    <t>MVP by Player</t>
  </si>
  <si>
    <t>SELECT mvp_pos AS Player
             ,COUNT(mvp_pos) AS Count
FROM a
GROUP BY mvp_pos
ORDER BY SUBSTR(mvp_pos,INSTR(mvp_pos,":")+1)</t>
  </si>
  <si>
    <t>SELECT SUBSTR(key,1,1) as  Key
              ,COUNT(substr(key,1,1)) as Count
              ,CAST(COUNT(SUBSTR(key,1,1)) AS REAL)/(SELECT COUNT(*) FROM a) AS Percentage 
FROM a 
GROUP BY SUBSTR(key,1,1) 
ORDER BY 1</t>
  </si>
  <si>
    <t>RB1Q:GB</t>
  </si>
  <si>
    <t>WR3:DET</t>
  </si>
  <si>
    <t>110352-72731:Josh Jacobs</t>
  </si>
  <si>
    <t>110352-38435:Jared Goff</t>
  </si>
  <si>
    <t>110352-69017:Jordan Love</t>
  </si>
  <si>
    <t>110352-73273:David Montgomery</t>
  </si>
  <si>
    <t>Wins by Team Count</t>
  </si>
  <si>
    <t>SELECT team_cnt as 'Team Count'
             ,COUNT(team_cnt) as Count
            ,CAST(COUNT(team_cnt) AS REAL)/(SELECT COUNT(*) FROM a) AS Percentage
FROM a
GROUP BY team_cnt
ORDER BY 1</t>
  </si>
  <si>
    <t>ID</t>
  </si>
  <si>
    <t>SELECT key, COUNT(*) FROM A GROUP BY key</t>
  </si>
  <si>
    <t>SELECT key as Key
             ,team_cnt as 'Team Count'
            ,COUNT(*) as Count
           ,(SELECT COUNT(*) FROM b WHERE a.key = b.key GROUP BY key) AS Total
FROM a
GROUP BY key,team_cnt
HAVING COUNT(*) &gt; 0
ORDER BY 1</t>
  </si>
  <si>
    <t>WR2:LAC</t>
  </si>
  <si>
    <t>110543-57330:Matthew Wright</t>
  </si>
  <si>
    <t>110543-69189:Justin Herbert</t>
  </si>
  <si>
    <t>110543-16606:DeAndre Hopkins</t>
  </si>
  <si>
    <t>110543-120639:Quentin Johnston</t>
  </si>
  <si>
    <t>SELECT key as Key 
              ,COUNT(key) as Count
             ,CAST(COUNT(key) AS REAL)/(SELECT COUNT(*) FROM a) AS Percentage  
FROM a 
GROUP BY key 
ORDER BY 2 DESC, 1</t>
  </si>
  <si>
    <t>TE:CIN</t>
  </si>
  <si>
    <t>110656-85701:Ja'Marr Chase</t>
  </si>
  <si>
    <t>110656-63336:Joe Burrow</t>
  </si>
  <si>
    <t>110656-89493:Chase Brown</t>
  </si>
  <si>
    <t>110656-72297:Rico Dowdle</t>
  </si>
  <si>
    <t>RB1:LAR</t>
  </si>
  <si>
    <t>RB1Q:SF</t>
  </si>
  <si>
    <t>D:LAR</t>
  </si>
  <si>
    <t>110677-104433:Kyren Williams</t>
  </si>
  <si>
    <t>110677-103020:Puka Nacua</t>
  </si>
  <si>
    <t>110677-89644:Isaac Guerendo</t>
  </si>
  <si>
    <t>110677-12538:Los Angeles Rams</t>
  </si>
  <si>
    <t>D:ATL</t>
  </si>
  <si>
    <t>WR:ATL</t>
  </si>
  <si>
    <t>RB:ATL</t>
  </si>
  <si>
    <t>RB:LV</t>
  </si>
  <si>
    <t>110830-12525:Atlanta Falcons</t>
  </si>
  <si>
    <t>110830-112745:Drake London</t>
  </si>
  <si>
    <t>110830-86278:Desmond Ridder</t>
  </si>
  <si>
    <t>110830-136855:Bijan Robinson</t>
  </si>
  <si>
    <t>RB:MIN</t>
  </si>
  <si>
    <t>WR2:CHI</t>
  </si>
  <si>
    <t>RB:CHI</t>
  </si>
  <si>
    <t>K:MIN</t>
  </si>
  <si>
    <t>110829-40442:Aaron Jones Sr.</t>
  </si>
  <si>
    <t>110829-85671:Justin Jefferson</t>
  </si>
  <si>
    <t>110829-29253:Keenan Allen</t>
  </si>
  <si>
    <t>110829-91598:D'Andre Swift</t>
  </si>
  <si>
    <t>RB:LAC</t>
  </si>
  <si>
    <t>110933-69189:Justin Herbert</t>
  </si>
  <si>
    <t>110933-102965:Bo Nix</t>
  </si>
  <si>
    <t>110933-40167:Gus Edwards</t>
  </si>
  <si>
    <t>110933-48380:Wil Lutz</t>
  </si>
  <si>
    <t>WR1:BAL</t>
  </si>
  <si>
    <t>111066-39280:Derrick Henry</t>
  </si>
  <si>
    <t>111066-63115:Lamar Jackson</t>
  </si>
  <si>
    <t>111066-112295:Zay Flowers</t>
  </si>
  <si>
    <t>111066-12555:Baltimore Ravens</t>
  </si>
  <si>
    <t>RB1:TB</t>
  </si>
  <si>
    <t>WR2:TB</t>
  </si>
  <si>
    <t>K:DAL</t>
  </si>
  <si>
    <t>111129-41535:Baker Mayfield</t>
  </si>
  <si>
    <t>111129-152664:Bucky Irving</t>
  </si>
  <si>
    <t>111129-44715:Cooper Rush</t>
  </si>
  <si>
    <t>111129-120042:Jalen McMillan</t>
  </si>
  <si>
    <t>QB:NO</t>
  </si>
  <si>
    <t>D:GB</t>
  </si>
  <si>
    <t>111201-72731:Josh Jacobs</t>
  </si>
  <si>
    <t>111201-111557:Spencer Rattler</t>
  </si>
  <si>
    <t>111201-12533:Green Bay Packers</t>
  </si>
  <si>
    <t>111201-26247:Brandon McManus</t>
  </si>
  <si>
    <t>WR3:HOU</t>
  </si>
  <si>
    <t>111283-63115:Lamar Jackson</t>
  </si>
  <si>
    <t>111283-39280:Derrick Henry</t>
  </si>
  <si>
    <t>111283-52436:Mark Andrews</t>
  </si>
  <si>
    <t>111283-12555:Baltimore Ravens</t>
  </si>
  <si>
    <t>D:SEA</t>
  </si>
  <si>
    <t>WR1:CHI</t>
  </si>
  <si>
    <t>D:CHI</t>
  </si>
  <si>
    <t>111288-12550:Seattle Seahawks</t>
  </si>
  <si>
    <t>111288-63043:DJ Moore</t>
  </si>
  <si>
    <t>111288-91598:D'Andre Swift</t>
  </si>
  <si>
    <t>111288-26483:Geno Smith</t>
  </si>
  <si>
    <t>WR2:WAS</t>
  </si>
  <si>
    <t>111435-102785:Jayden Daniels</t>
  </si>
  <si>
    <t>111435-136855:Bijan Robinson</t>
  </si>
  <si>
    <t>111435-112745:Drake London</t>
  </si>
  <si>
    <t>111435-29780:Zach Ertz</t>
  </si>
  <si>
    <t>WR3:SF</t>
  </si>
  <si>
    <t>111516-85607:Brock Purdy</t>
  </si>
  <si>
    <t>111516-38435:Jared Goff</t>
  </si>
  <si>
    <t>111516-111631:Jameson Williams</t>
  </si>
  <si>
    <t>111516-105646:Sam LaPorta</t>
  </si>
  <si>
    <t>K:CIN</t>
  </si>
  <si>
    <t>111590-85701:Ja'Marr Chase</t>
  </si>
  <si>
    <t>111590-63336:Joe Burrow</t>
  </si>
  <si>
    <t>111590-90575:Najee Harris</t>
  </si>
  <si>
    <t>111590-102901:Cade York</t>
  </si>
  <si>
    <t>111711-129368:Jahmyr Gibbs</t>
  </si>
  <si>
    <t>111711-38435:Jared Goff</t>
  </si>
  <si>
    <t>111711-86997:Amon-Ra St. Brown</t>
  </si>
  <si>
    <t>111711-105646:Sam LaPorta</t>
  </si>
  <si>
    <t>111869-133472:Ladd McConkey</t>
  </si>
  <si>
    <t>111869-52442:Joe Mixon</t>
  </si>
  <si>
    <t>111869-91419:Nico Collins</t>
  </si>
  <si>
    <t>111869-29932:Ka'imi Fairbairn</t>
  </si>
  <si>
    <t>WR2:PIT</t>
  </si>
  <si>
    <t>111870-39280:Derrick Henry</t>
  </si>
  <si>
    <t>111870-22015:Russell Wilson</t>
  </si>
  <si>
    <t>111870-110246:George Pickens</t>
  </si>
  <si>
    <t>111870-71521:Justice Hill</t>
  </si>
  <si>
    <t>WR1:TB</t>
  </si>
  <si>
    <t>RB2:WAS</t>
  </si>
  <si>
    <t>WR:WAS</t>
  </si>
  <si>
    <t>111899-102785:Jayden Daniels</t>
  </si>
  <si>
    <t>111899-32384:Mike Evans</t>
  </si>
  <si>
    <t>111899-56250:Terry McLaurin</t>
  </si>
  <si>
    <t>111899-80001:Austin Ekeler</t>
  </si>
  <si>
    <t>111900-12538:Los Angeles Rams</t>
  </si>
  <si>
    <t>111900-63589:Sam Darnold</t>
  </si>
  <si>
    <t>111900-6654:Matthew Stafford</t>
  </si>
  <si>
    <t>111900-71706:T.J. Hockenson</t>
  </si>
  <si>
    <t>TE:KC</t>
  </si>
  <si>
    <t>RB1:KC</t>
  </si>
  <si>
    <t>D:KC</t>
  </si>
  <si>
    <t>112103-33076:Travis Kelce</t>
  </si>
  <si>
    <t>112103-52442:Joe Mixon</t>
  </si>
  <si>
    <t>112103-129471:C.J. Stroud</t>
  </si>
  <si>
    <t>112103-45229:Kareem Hunt</t>
  </si>
  <si>
    <t>D:WAS</t>
  </si>
  <si>
    <t>WR3:WAS</t>
  </si>
  <si>
    <t>112094-129368:Jahmyr Gibbs</t>
  </si>
  <si>
    <t>112094-102785:Jayden Daniels</t>
  </si>
  <si>
    <t>112094-90562:Brian Robinson Jr.</t>
  </si>
  <si>
    <t>112094-12552:Washington Commanders</t>
  </si>
  <si>
    <t>K:BUF</t>
  </si>
  <si>
    <t>TE2:BAL</t>
  </si>
  <si>
    <t>112146-62239:Josh Allen</t>
  </si>
  <si>
    <t>112146-63115:Lamar Jackson</t>
  </si>
  <si>
    <t>112146-85845:Rashod Bateman</t>
  </si>
  <si>
    <t>112146-65128:Tyler Bass</t>
  </si>
  <si>
    <t>WR1:BUF</t>
  </si>
  <si>
    <t>TE:BUF</t>
  </si>
  <si>
    <t>WR3:BUF</t>
  </si>
  <si>
    <t>TE:LAR</t>
  </si>
  <si>
    <t>112145-64401:Saquon Barkley</t>
  </si>
  <si>
    <t>112145-69531:Jalen Hurts</t>
  </si>
  <si>
    <t>112145-6654:Matthew Stafford</t>
  </si>
  <si>
    <t>112145-47870:Tyler Higbee</t>
  </si>
  <si>
    <t>WR:BUF</t>
  </si>
  <si>
    <t>112411-57439:Patrick Mahomes</t>
  </si>
  <si>
    <t>112411-91626:James Cook</t>
  </si>
  <si>
    <t>112411-45229:Kareem Hunt</t>
  </si>
  <si>
    <t>112411-158974:Xavier Worthy</t>
  </si>
  <si>
    <t>112419-64401:Saquon Barkley</t>
  </si>
  <si>
    <t>112419-102785:Jayden Daniels</t>
  </si>
  <si>
    <t>112419-69531:Jalen Hurts</t>
  </si>
  <si>
    <t>112419-29780:Zach Ertz</t>
  </si>
  <si>
    <t>D:PHI</t>
  </si>
  <si>
    <t>112626-158974:Xavier Worthy</t>
  </si>
  <si>
    <t>112626-69531:Jalen Hurts</t>
  </si>
  <si>
    <t>112626-57439:Patrick Mahomes</t>
  </si>
  <si>
    <t>112626-41235:Jake Elliott</t>
  </si>
  <si>
    <t>SELECT s_key as "Salary Rank"
              ,COUNT(s_key) AS "Count(Salary)"
FROM a
GROUP BY s_key
ORDER BY 2 desc, 1</t>
  </si>
  <si>
    <t>SELECT f_key AS "FPPG Rank"
              ,COUNT(f_key) AS "Count(FPPG)"
FROM a
GROUP BY f_key
ORDER BY 2 desc, 1</t>
  </si>
  <si>
    <t>SELECT cast(s_key as INTEGER) || " " ||cast( f_key as INTEGER)
             ,COUNT(*)
FROM a
GROUP BY cast(s_key as INTEGER) || cast( f_key as INTEGER)
ORDER BY 2 desc, 1</t>
  </si>
  <si>
    <t>Column1</t>
  </si>
  <si>
    <t>Key</t>
  </si>
  <si>
    <t>Wins</t>
  </si>
  <si>
    <t>Wins + MVP</t>
  </si>
  <si>
    <t>Wins%</t>
  </si>
  <si>
    <t>MVP%</t>
  </si>
  <si>
    <t>Winnings</t>
  </si>
  <si>
    <t>Winners</t>
  </si>
  <si>
    <t>HS Position</t>
  </si>
  <si>
    <t>HS MVP</t>
  </si>
  <si>
    <t>HS Wins</t>
  </si>
  <si>
    <t>MVP Pts Rank</t>
  </si>
  <si>
    <t>MVP Position</t>
  </si>
  <si>
    <t>Key 1</t>
  </si>
  <si>
    <t>Key 2</t>
  </si>
  <si>
    <t>MVP Key</t>
  </si>
  <si>
    <t>LS Key</t>
  </si>
  <si>
    <t>105733-87260:Isaiah Likely</t>
  </si>
  <si>
    <t>Group ID</t>
  </si>
  <si>
    <t>p6_pos</t>
  </si>
  <si>
    <t>p6_name</t>
  </si>
  <si>
    <t>106557-85622:Brayden Narveson</t>
  </si>
  <si>
    <t>106609-111631:Jameson Williams</t>
  </si>
  <si>
    <t>106699-56809:Allen Lazard</t>
  </si>
  <si>
    <t>RB3:BUF</t>
  </si>
  <si>
    <t>107260-63050:Ty Johnson</t>
  </si>
  <si>
    <t>107208-41642:Harrison Butker</t>
  </si>
  <si>
    <t>107022-111876:DeMario Douglas</t>
  </si>
  <si>
    <t>RB3:WAS</t>
  </si>
  <si>
    <t>107261-56648:Jeremy McNichols</t>
  </si>
  <si>
    <t>106989-69777:Darnell Mooney</t>
  </si>
  <si>
    <t>106717-48116:Jonnu Smith</t>
  </si>
  <si>
    <t>106876-12556:Houston Texans</t>
  </si>
  <si>
    <t>107485-71521:Justice Hill</t>
  </si>
  <si>
    <t>107283-72297:Rico Dowdle</t>
  </si>
  <si>
    <t>107540-137953:AJ Barner</t>
  </si>
  <si>
    <t>107540-111631:Jameson Williams</t>
  </si>
  <si>
    <t>107539-107293:Tyjae Spears</t>
  </si>
  <si>
    <t>TE3:PIT</t>
  </si>
  <si>
    <t>107769-92882:Connor Heyward</t>
  </si>
  <si>
    <t>107841-55987:JuJu Smith-Schuster</t>
  </si>
  <si>
    <t>107555-69777:Darnell Mooney</t>
  </si>
  <si>
    <t>107899-103694:Ray Davis</t>
  </si>
  <si>
    <t>RB:CIN Q</t>
  </si>
  <si>
    <t>RB1:NYG</t>
  </si>
  <si>
    <t>108048-63819:Darius Slayton</t>
  </si>
  <si>
    <t>107861-27050:Tyler Lockett</t>
  </si>
  <si>
    <t>RB2:TB Q</t>
  </si>
  <si>
    <t>108397-85845:Rashod Bateman</t>
  </si>
  <si>
    <t>RB1:DEN</t>
  </si>
  <si>
    <t>WR3:NO Q</t>
  </si>
  <si>
    <t>108145-69581:Cedrick Wilson Jr.</t>
  </si>
  <si>
    <t>RB1:PIT</t>
  </si>
  <si>
    <t>108347-64581:Van Jefferson</t>
  </si>
  <si>
    <t>TE:SF Q</t>
  </si>
  <si>
    <t>108584-89644:Isaac Guerendo</t>
  </si>
  <si>
    <t>WR5:LAR IR</t>
  </si>
  <si>
    <t>108416-103020:Puka Nacua</t>
  </si>
  <si>
    <t>108707-90870:Calvin Austin III</t>
  </si>
  <si>
    <t>108750-12544:New York Jets</t>
  </si>
  <si>
    <t>TE2:MIN</t>
  </si>
  <si>
    <t>108941-63907:Josh Oliver</t>
  </si>
  <si>
    <t>RB2:KC</t>
  </si>
  <si>
    <t>109053-52451:Samaje Perine</t>
  </si>
  <si>
    <t>WR5:BAL Q</t>
  </si>
  <si>
    <t>109087-87515:Tylan Wallace</t>
  </si>
  <si>
    <t>RB1:HOU</t>
  </si>
  <si>
    <t>109259-102696:John Metchie III</t>
  </si>
  <si>
    <t>109359-52767:Jason Sanders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</si>
</sst>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6" applyNumberFormat="0" applyAlignment="0" applyProtection="0"/>
    <xf numFmtId="0" fontId="11" fillId="6" borderId="7" applyNumberFormat="0" applyAlignment="0" applyProtection="0"/>
    <xf numFmtId="0" fontId="12" fillId="6" borderId="6" applyNumberFormat="0" applyAlignment="0" applyProtection="0"/>
    <xf numFmtId="0" fontId="13" fillId="0" borderId="8" applyNumberFormat="0" applyFill="0" applyAlignment="0" applyProtection="0"/>
    <xf numFmtId="0" fontId="14" fillId="7" borderId="9" applyNumberFormat="0" applyAlignment="0" applyProtection="0"/>
    <xf numFmtId="0" fontId="15" fillId="0" borderId="0" applyNumberFormat="0" applyFill="0" applyBorder="0" applyAlignment="0" applyProtection="0"/>
    <xf numFmtId="0" fontId="2" fillId="8" borderId="10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/>
  </cellStyleXfs>
  <cellXfs count="98">
    <xf numFmtId="0" fontId="0" fillId="0" borderId="0" xfId="0"/>
    <xf numFmtId="0" fontId="0" fillId="0" borderId="0" xfId="0" applyFont="1"/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/>
    <xf numFmtId="0" fontId="0" fillId="0" borderId="0" xfId="0"/>
    <xf numFmtId="0" fontId="0" fillId="0" borderId="0" xfId="0" applyFill="1"/>
    <xf numFmtId="9" fontId="0" fillId="0" borderId="0" xfId="0" applyNumberFormat="1" applyFill="1"/>
    <xf numFmtId="1" fontId="0" fillId="0" borderId="0" xfId="0" applyNumberFormat="1" applyFill="1"/>
    <xf numFmtId="0" fontId="0" fillId="0" borderId="0" xfId="0"/>
    <xf numFmtId="0" fontId="1" fillId="0" borderId="0" xfId="0" applyFont="1" applyBorder="1"/>
    <xf numFmtId="0" fontId="0" fillId="0" borderId="1" xfId="0" applyBorder="1"/>
    <xf numFmtId="0" fontId="0" fillId="0" borderId="0" xfId="0" applyBorder="1"/>
    <xf numFmtId="0" fontId="0" fillId="0" borderId="0" xfId="0"/>
    <xf numFmtId="0" fontId="0" fillId="0" borderId="0" xfId="0"/>
    <xf numFmtId="9" fontId="0" fillId="0" borderId="0" xfId="0" applyNumberFormat="1"/>
    <xf numFmtId="1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/>
    <xf numFmtId="0" fontId="1" fillId="0" borderId="2" xfId="0" applyFont="1" applyBorder="1"/>
    <xf numFmtId="0" fontId="0" fillId="0" borderId="2" xfId="0" applyBorder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/>
    <xf numFmtId="9" fontId="0" fillId="0" borderId="0" xfId="0" applyNumberFormat="1" applyFill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" fontId="0" fillId="0" borderId="0" xfId="0" applyNumberFormat="1"/>
    <xf numFmtId="0" fontId="15" fillId="0" borderId="0" xfId="0" applyFont="1"/>
    <xf numFmtId="0" fontId="18" fillId="0" borderId="0" xfId="0" applyFont="1"/>
    <xf numFmtId="0" fontId="1" fillId="0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Wins by Key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'Wins by Key'!$F$24</c:f>
              <c:strCache>
                <c:ptCount val="1"/>
                <c:pt idx="0">
                  <c:v>Wins%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'Wins by Key'!$F$25:$F$28</c:f>
              <c:numCache>
                <c:formatCode>0%</c:formatCode>
                <c:ptCount val="4"/>
                <c:pt idx="0">
                  <c:v>0.30985915492957744</c:v>
                </c:pt>
                <c:pt idx="1">
                  <c:v>0.14084507042253522</c:v>
                </c:pt>
                <c:pt idx="2">
                  <c:v>5.6338028169014086E-2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F-4F48-943D-E248012B92E6}"/>
            </c:ext>
          </c:extLst>
        </c:ser>
        <c:ser>
          <c:idx val="1"/>
          <c:order val="1"/>
          <c:tx>
            <c:strRef>
              <c:f>'Wins by Key'!$G$24</c:f>
              <c:strCache>
                <c:ptCount val="1"/>
                <c:pt idx="0">
                  <c:v>MVP%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'Wins by Key'!$G$25:$G$28</c:f>
              <c:numCache>
                <c:formatCode>0%</c:formatCode>
                <c:ptCount val="4"/>
                <c:pt idx="0">
                  <c:v>0.15492957746478872</c:v>
                </c:pt>
                <c:pt idx="1">
                  <c:v>8.4507042253521125E-2</c:v>
                </c:pt>
                <c:pt idx="2">
                  <c:v>1.4084507042253521E-2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F-4F48-943D-E248012B9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49297536"/>
        <c:axId val="212664704"/>
      </c:barChart>
      <c:catAx>
        <c:axId val="249297536"/>
        <c:scaling>
          <c:orientation val="minMax"/>
        </c:scaling>
        <c:delete val="0"/>
        <c:axPos val="b"/>
        <c:majorTickMark val="out"/>
        <c:minorTickMark val="none"/>
        <c:tickLblPos val="nextTo"/>
        <c:crossAx val="212664704"/>
        <c:crosses val="autoZero"/>
        <c:auto val="1"/>
        <c:lblAlgn val="ctr"/>
        <c:lblOffset val="100"/>
        <c:noMultiLvlLbl val="0"/>
      </c:catAx>
      <c:valAx>
        <c:axId val="2126647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49297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Wins by Key (2)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4289856913047158E-2"/>
          <c:y val="3.5171862509992005E-2"/>
          <c:w val="0.88713487426974857"/>
          <c:h val="0.88472692711972156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'Wins by Key'!$L$25:$L$37</c:f>
              <c:strCache>
                <c:ptCount val="13"/>
                <c:pt idx="0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1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2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3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4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5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6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7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8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9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10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11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  <c:pt idx="12">
                  <c:v>sqlite3.OperationalError: no such column: key
    ~~~~~~~~~^^^^^^^
    c.execute(query)
  File "C:\Users\mxmei\anaconda3\Lib\site-packages\xlwings\ext\sql.py", line 68, in _sql
    return _sql(query, *tables)
  File "C:\Users\mxmei\anaconda3\Lib\site-packa</c:v>
                </c:pt>
              </c:strCache>
            </c:strRef>
          </c:cat>
          <c:val>
            <c:numRef>
              <c:f>'Wins by Key'!$M$25:$M$37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5-4744-A835-868E1D495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80704"/>
        <c:axId val="212682240"/>
      </c:barChart>
      <c:catAx>
        <c:axId val="212680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2682240"/>
        <c:crosses val="autoZero"/>
        <c:auto val="1"/>
        <c:lblAlgn val="ctr"/>
        <c:lblOffset val="100"/>
        <c:noMultiLvlLbl val="0"/>
      </c:catAx>
      <c:valAx>
        <c:axId val="2126822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2680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Wins by Position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Postion'!$M$2:$M$11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Postion'!$N$2:$N$11</c:f>
              <c:numCache>
                <c:formatCode>General</c:formatCode>
                <c:ptCount val="10"/>
                <c:pt idx="0">
                  <c:v>71</c:v>
                </c:pt>
                <c:pt idx="1">
                  <c:v>22</c:v>
                </c:pt>
                <c:pt idx="2">
                  <c:v>29</c:v>
                </c:pt>
                <c:pt idx="3">
                  <c:v>62</c:v>
                </c:pt>
                <c:pt idx="4">
                  <c:v>55</c:v>
                </c:pt>
                <c:pt idx="5">
                  <c:v>28</c:v>
                </c:pt>
                <c:pt idx="6">
                  <c:v>42</c:v>
                </c:pt>
                <c:pt idx="7" formatCode="0">
                  <c:v>28</c:v>
                </c:pt>
                <c:pt idx="8">
                  <c:v>14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E-42D9-9825-176F0A6C0612}"/>
            </c:ext>
          </c:extLst>
        </c:ser>
        <c:ser>
          <c:idx val="1"/>
          <c:order val="1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Postion'!$M$2:$M$11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Postion'!$O$2:$O$11</c:f>
              <c:numCache>
                <c:formatCode>General</c:formatCode>
                <c:ptCount val="10"/>
                <c:pt idx="1">
                  <c:v>1</c:v>
                </c:pt>
                <c:pt idx="2">
                  <c:v>3</c:v>
                </c:pt>
                <c:pt idx="3">
                  <c:v>25</c:v>
                </c:pt>
                <c:pt idx="4">
                  <c:v>27</c:v>
                </c:pt>
                <c:pt idx="5">
                  <c:v>0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E-42D9-9825-176F0A6C0612}"/>
            </c:ext>
          </c:extLst>
        </c:ser>
        <c:ser>
          <c:idx val="2"/>
          <c:order val="2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'Wins by Postion'!$M$2:$M$11</c:f>
              <c:strCache>
                <c:ptCount val="10"/>
                <c:pt idx="0">
                  <c:v>Games</c:v>
                </c:pt>
                <c:pt idx="1">
                  <c:v>D</c:v>
                </c:pt>
                <c:pt idx="2">
                  <c:v>K</c:v>
                </c:pt>
                <c:pt idx="3">
                  <c:v>QB</c:v>
                </c:pt>
                <c:pt idx="4">
                  <c:v>RB</c:v>
                </c:pt>
                <c:pt idx="5">
                  <c:v>TE</c:v>
                </c:pt>
                <c:pt idx="6">
                  <c:v>WR1</c:v>
                </c:pt>
                <c:pt idx="7">
                  <c:v>WR2</c:v>
                </c:pt>
                <c:pt idx="8">
                  <c:v>WR3</c:v>
                </c:pt>
                <c:pt idx="9">
                  <c:v>WR4</c:v>
                </c:pt>
              </c:strCache>
            </c:strRef>
          </c:cat>
          <c:val>
            <c:numRef>
              <c:f>'Wins by Postion'!$P$2:$P$11</c:f>
              <c:numCache>
                <c:formatCode>General</c:formatCode>
                <c:ptCount val="10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AE-42D9-9825-176F0A6C06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45154944"/>
        <c:axId val="245156480"/>
      </c:barChart>
      <c:catAx>
        <c:axId val="245154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5156480"/>
        <c:crosses val="autoZero"/>
        <c:auto val="1"/>
        <c:lblAlgn val="ctr"/>
        <c:lblOffset val="100"/>
        <c:noMultiLvlLbl val="0"/>
      </c:catAx>
      <c:valAx>
        <c:axId val="245156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54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MVP by Position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'MVP by Position'!$K$3:$K$10</c:f>
              <c:strCache>
                <c:ptCount val="8"/>
                <c:pt idx="0">
                  <c:v>QB</c:v>
                </c:pt>
                <c:pt idx="1">
                  <c:v>RB</c:v>
                </c:pt>
                <c:pt idx="2">
                  <c:v>WR1</c:v>
                </c:pt>
                <c:pt idx="3">
                  <c:v>RB1</c:v>
                </c:pt>
                <c:pt idx="4">
                  <c:v>K</c:v>
                </c:pt>
                <c:pt idx="5">
                  <c:v>D</c:v>
                </c:pt>
                <c:pt idx="6">
                  <c:v>TE</c:v>
                </c:pt>
                <c:pt idx="7">
                  <c:v>WR2</c:v>
                </c:pt>
              </c:strCache>
            </c:strRef>
          </c:cat>
          <c:val>
            <c:numRef>
              <c:f>'MVP by Position'!$L$3:$L$10</c:f>
              <c:numCache>
                <c:formatCode>General</c:formatCode>
                <c:ptCount val="8"/>
                <c:pt idx="0">
                  <c:v>21</c:v>
                </c:pt>
                <c:pt idx="1">
                  <c:v>17</c:v>
                </c:pt>
                <c:pt idx="2">
                  <c:v>15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A-40F9-A818-173FAEAE7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986880"/>
        <c:axId val="212992768"/>
      </c:barChart>
      <c:catAx>
        <c:axId val="21298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992768"/>
        <c:crosses val="autoZero"/>
        <c:auto val="1"/>
        <c:lblAlgn val="ctr"/>
        <c:lblOffset val="100"/>
        <c:noMultiLvlLbl val="0"/>
      </c:catAx>
      <c:valAx>
        <c:axId val="21299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986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MVP by Player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'MVP by Player'!$U$3:$U$49</c:f>
              <c:strCache>
                <c:ptCount val="47"/>
                <c:pt idx="0">
                  <c:v>D:ATL</c:v>
                </c:pt>
                <c:pt idx="1">
                  <c:v>QB:ATL</c:v>
                </c:pt>
                <c:pt idx="2">
                  <c:v>QB:BAL</c:v>
                </c:pt>
                <c:pt idx="3">
                  <c:v>RB:BAL</c:v>
                </c:pt>
                <c:pt idx="4">
                  <c:v>QB:BUF</c:v>
                </c:pt>
                <c:pt idx="5">
                  <c:v>RB:BUF</c:v>
                </c:pt>
                <c:pt idx="6">
                  <c:v>QB:CIN</c:v>
                </c:pt>
                <c:pt idx="7">
                  <c:v>WR1:CIN</c:v>
                </c:pt>
                <c:pt idx="8">
                  <c:v>RB1:CLE</c:v>
                </c:pt>
                <c:pt idx="9">
                  <c:v>WR1:CLE</c:v>
                </c:pt>
                <c:pt idx="10">
                  <c:v>QB:DAL</c:v>
                </c:pt>
                <c:pt idx="11">
                  <c:v>WR1:DAL</c:v>
                </c:pt>
                <c:pt idx="12">
                  <c:v>RB1:DEN</c:v>
                </c:pt>
                <c:pt idx="13">
                  <c:v>RB:DET</c:v>
                </c:pt>
                <c:pt idx="14">
                  <c:v>RB1Q:GB</c:v>
                </c:pt>
                <c:pt idx="15">
                  <c:v>RB:GB</c:v>
                </c:pt>
                <c:pt idx="16">
                  <c:v>RB1:HOU</c:v>
                </c:pt>
                <c:pt idx="17">
                  <c:v>RB:HOU</c:v>
                </c:pt>
                <c:pt idx="18">
                  <c:v>WR2:HOU</c:v>
                </c:pt>
                <c:pt idx="19">
                  <c:v>K:KC</c:v>
                </c:pt>
                <c:pt idx="20">
                  <c:v>QB:KC</c:v>
                </c:pt>
                <c:pt idx="21">
                  <c:v>RB:KC</c:v>
                </c:pt>
                <c:pt idx="22">
                  <c:v>TE:KC</c:v>
                </c:pt>
                <c:pt idx="23">
                  <c:v>WR1:KC</c:v>
                </c:pt>
                <c:pt idx="24">
                  <c:v>WR2:KC</c:v>
                </c:pt>
                <c:pt idx="25">
                  <c:v>QB:LAC</c:v>
                </c:pt>
                <c:pt idx="26">
                  <c:v>WR1:LAC</c:v>
                </c:pt>
                <c:pt idx="27">
                  <c:v>D:LAR</c:v>
                </c:pt>
                <c:pt idx="28">
                  <c:v>K:LAR</c:v>
                </c:pt>
                <c:pt idx="29">
                  <c:v>QB:LAR</c:v>
                </c:pt>
                <c:pt idx="30">
                  <c:v>RB1:LAR</c:v>
                </c:pt>
                <c:pt idx="31">
                  <c:v>WR1:LAR</c:v>
                </c:pt>
                <c:pt idx="32">
                  <c:v>TE:LV</c:v>
                </c:pt>
                <c:pt idx="33">
                  <c:v>QB:MIA</c:v>
                </c:pt>
                <c:pt idx="34">
                  <c:v>RB:MIN</c:v>
                </c:pt>
                <c:pt idx="35">
                  <c:v>WR1:MIN</c:v>
                </c:pt>
                <c:pt idx="36">
                  <c:v>RB2:NYG</c:v>
                </c:pt>
                <c:pt idx="37">
                  <c:v>WR1:NYG</c:v>
                </c:pt>
                <c:pt idx="38">
                  <c:v>QB:NYJ</c:v>
                </c:pt>
                <c:pt idx="39">
                  <c:v>RB1:NYJ</c:v>
                </c:pt>
                <c:pt idx="40">
                  <c:v>WR1:NYJ</c:v>
                </c:pt>
                <c:pt idx="41">
                  <c:v>QB:PHI</c:v>
                </c:pt>
                <c:pt idx="42">
                  <c:v>RB:PHI</c:v>
                </c:pt>
                <c:pt idx="43">
                  <c:v>D:SEA</c:v>
                </c:pt>
                <c:pt idx="44">
                  <c:v>RB:SEA</c:v>
                </c:pt>
                <c:pt idx="45">
                  <c:v>K:SF</c:v>
                </c:pt>
                <c:pt idx="46">
                  <c:v>QB:SF</c:v>
                </c:pt>
              </c:strCache>
            </c:strRef>
          </c:cat>
          <c:val>
            <c:numRef>
              <c:f>'MVP by Player'!$V$3:$V$49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5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6-4FB1-BB58-8754ADB22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023744"/>
        <c:axId val="213033728"/>
      </c:barChart>
      <c:catAx>
        <c:axId val="21302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60000"/>
          <a:lstStyle/>
          <a:p>
            <a:pPr>
              <a:defRPr/>
            </a:pPr>
            <a:endParaRPr lang="en-US"/>
          </a:p>
        </c:txPr>
        <c:crossAx val="213033728"/>
        <c:crosses val="autoZero"/>
        <c:auto val="1"/>
        <c:lblAlgn val="ctr"/>
        <c:lblOffset val="100"/>
        <c:noMultiLvlLbl val="0"/>
      </c:catAx>
      <c:valAx>
        <c:axId val="213033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023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66907261592301"/>
          <c:y val="3.75116652085156E-2"/>
          <c:w val="0.74519291338582672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'Team Count'!$I$3:$I$6</c:f>
              <c:numCache>
                <c:formatCode>General</c:formatCode>
                <c:ptCount val="4"/>
                <c:pt idx="0">
                  <c:v>7</c:v>
                </c:pt>
                <c:pt idx="1">
                  <c:v>22</c:v>
                </c:pt>
                <c:pt idx="2">
                  <c:v>23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5-4881-AFA0-3E3EB5E53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449280"/>
        <c:axId val="246450816"/>
      </c:barChart>
      <c:catAx>
        <c:axId val="24644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6450816"/>
        <c:crosses val="autoZero"/>
        <c:auto val="1"/>
        <c:lblAlgn val="ctr"/>
        <c:lblOffset val="100"/>
        <c:noMultiLvlLbl val="0"/>
      </c:catAx>
      <c:valAx>
        <c:axId val="246450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6449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MVP by Salary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'MVP Keys'!$C$18</c:f>
              <c:strCache>
                <c:ptCount val="1"/>
                <c:pt idx="0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</c:v>
                </c:pt>
              </c:strCache>
            </c:strRef>
          </c:tx>
          <c:val>
            <c:numRef>
              <c:f>'MVP Keys'!$C$19:$C$31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0-49A0-8F33-F28F2E03A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99072"/>
        <c:axId val="212509056"/>
      </c:lineChart>
      <c:catAx>
        <c:axId val="212499072"/>
        <c:scaling>
          <c:orientation val="minMax"/>
        </c:scaling>
        <c:delete val="0"/>
        <c:axPos val="b"/>
        <c:majorTickMark val="out"/>
        <c:minorTickMark val="none"/>
        <c:tickLblPos val="nextTo"/>
        <c:crossAx val="212509056"/>
        <c:crosses val="autoZero"/>
        <c:auto val="1"/>
        <c:lblAlgn val="ctr"/>
        <c:lblOffset val="100"/>
        <c:noMultiLvlLbl val="0"/>
      </c:catAx>
      <c:valAx>
        <c:axId val="21250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499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'MVP Keys'!$K$18</c:f>
              <c:strCache>
                <c:ptCount val="1"/>
                <c:pt idx="0">
                  <c:v>sqlite3.OperationalError: no such column: f_key
    ~~~~~~~~~^^^^^^^
    c.execute(query)
  File "C:\Users\mxmei\anaconda3\Lib\site-packages\xlwings\ext\sql.py", line 68, in _sql
    return _sql(query, *tables)
  File "C:\Users\mxmei\anaconda3\Lib\site-pa</c:v>
                </c:pt>
              </c:strCache>
            </c:strRef>
          </c:tx>
          <c:val>
            <c:numRef>
              <c:f>'MVP Keys'!$K$19:$K$34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8-4908-93F7-5CD045540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522880"/>
        <c:axId val="212524416"/>
      </c:lineChart>
      <c:catAx>
        <c:axId val="21252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212524416"/>
        <c:crosses val="autoZero"/>
        <c:auto val="1"/>
        <c:lblAlgn val="ctr"/>
        <c:lblOffset val="100"/>
        <c:noMultiLvlLbl val="0"/>
      </c:catAx>
      <c:valAx>
        <c:axId val="21252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22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'MVP Keys'!$C$36</c:f>
              <c:strCache>
                <c:ptCount val="1"/>
                <c:pt idx="0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</c:v>
                </c:pt>
              </c:strCache>
            </c:strRef>
          </c:tx>
          <c:invertIfNegative val="0"/>
          <c:cat>
            <c:strRef>
              <c:f>'MVP Keys'!$B$37:$B$74</c:f>
              <c:strCache>
                <c:ptCount val="38"/>
                <c:pt idx="0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3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4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5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6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7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8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9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0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1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2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3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4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5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6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7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8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19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0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1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2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3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4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5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6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7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8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29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30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31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32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33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34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35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36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  <c:pt idx="37">
                  <c:v>sqlite3.OperationalError: no such column: s_key
    ~~~~~~~~~^^^^^^^
    c.execute(query)
  File "C:\Users\mxmei\anaconda3\Lib\site-packages\xlwings\ext\sql.py", line 68, in _sql
    return _sql(query, *tables)
  File "C:\Users\mxmei\anaconda3\Lib\site-pac</c:v>
                </c:pt>
              </c:strCache>
            </c:strRef>
          </c:cat>
          <c:val>
            <c:numRef>
              <c:f>'MVP Keys'!$C$37:$C$74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7-4E77-AA0D-D504B279E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261056"/>
        <c:axId val="250938112"/>
      </c:barChart>
      <c:catAx>
        <c:axId val="249261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"/>
          <a:lstStyle/>
          <a:p>
            <a:pPr>
              <a:defRPr/>
            </a:pPr>
            <a:endParaRPr lang="en-US"/>
          </a:p>
        </c:txPr>
        <c:crossAx val="250938112"/>
        <c:crosses val="autoZero"/>
        <c:auto val="1"/>
        <c:lblAlgn val="ctr"/>
        <c:lblOffset val="100"/>
        <c:noMultiLvlLbl val="0"/>
      </c:catAx>
      <c:valAx>
        <c:axId val="25093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261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</xdr:row>
      <xdr:rowOff>0</xdr:rowOff>
    </xdr:from>
    <xdr:to>
      <xdr:col>8</xdr:col>
      <xdr:colOff>590550</xdr:colOff>
      <xdr:row>22</xdr:row>
      <xdr:rowOff>0</xdr:rowOff>
    </xdr:to>
    <xdr:graphicFrame macro="">
      <xdr:nvGraphicFramePr>
        <xdr:cNvPr id="2" name="Ke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9524</xdr:colOff>
      <xdr:row>0</xdr:row>
      <xdr:rowOff>190499</xdr:rowOff>
    </xdr:from>
    <xdr:to>
      <xdr:col>19</xdr:col>
      <xdr:colOff>323849</xdr:colOff>
      <xdr:row>22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304799</xdr:colOff>
      <xdr:row>1</xdr:row>
      <xdr:rowOff>14286</xdr:rowOff>
    </xdr:from>
    <xdr:to>
      <xdr:col>10</xdr:col>
      <xdr:colOff>590550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1</xdr:rowOff>
    </xdr:from>
    <xdr:to>
      <xdr:col>8</xdr:col>
      <xdr:colOff>600076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604835</xdr:colOff>
      <xdr:row>0</xdr:row>
      <xdr:rowOff>171453</xdr:rowOff>
    </xdr:from>
    <xdr:to>
      <xdr:col>19</xdr:col>
      <xdr:colOff>0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14286</xdr:colOff>
      <xdr:row>1</xdr:row>
      <xdr:rowOff>9525</xdr:rowOff>
    </xdr:from>
    <xdr:to>
      <xdr:col>5</xdr:col>
      <xdr:colOff>609599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0</xdr:row>
      <xdr:rowOff>180975</xdr:rowOff>
    </xdr:from>
    <xdr:to>
      <xdr:col>8</xdr:col>
      <xdr:colOff>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23811</xdr:colOff>
      <xdr:row>1</xdr:row>
      <xdr:rowOff>9525</xdr:rowOff>
    </xdr:from>
    <xdr:to>
      <xdr:col>16</xdr:col>
      <xdr:colOff>600074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4761</xdr:colOff>
      <xdr:row>36</xdr:row>
      <xdr:rowOff>0</xdr:rowOff>
    </xdr:from>
    <xdr:to>
      <xdr:col>14</xdr:col>
      <xdr:colOff>581024</xdr:colOff>
      <xdr:row>50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xmei\AppData\Roaming\Microsoft\Excel\XLSTART\xlwings.xlam" TargetMode="External"/><Relationship Id="rId1" Type="http://schemas.microsoft.com/office/2006/relationships/xlExternalLinkPath/xlStartup" Target="xlwing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sql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D0C82-FAF2-484E-828F-AA8D6CAFC929}" name="tRetro" displayName="tRetro" ref="A1:AE72" totalsRowShown="0" headerRowDxfId="15">
  <autoFilter ref="A1:AE72" xr:uid="{FDDD0C82-FAF2-484E-828F-AA8D6CAFC929}"/>
  <tableColumns count="31">
    <tableColumn id="1" xr3:uid="{A309DEE9-EBF9-4155-8F73-D65E7E419CA6}" name="Winnings" dataDxfId="14"/>
    <tableColumn id="2" xr3:uid="{EF7DA449-8CF3-4461-A42B-1F23C3450754}" name="Winners" dataDxfId="13"/>
    <tableColumn id="3" xr3:uid="{B9A12372-0AC1-421A-943E-13E6D67CA4DF}" name="HS Position" dataDxfId="12"/>
    <tableColumn id="4" xr3:uid="{EFFF01AE-9A97-41E7-91DA-C204ED1CBDFC}" name="HS MVP" dataDxfId="11">
      <calculatedColumnFormula>COUNTIF(tRetro[[#This Row],[Key 1]],tRetro[[#This Row],[MVP Key]])</calculatedColumnFormula>
    </tableColumn>
    <tableColumn id="5" xr3:uid="{0163B759-7983-4EEF-B1AE-088661196B67}" name="HS Wins" dataDxfId="10">
      <calculatedColumnFormula>COUNTIF(tRetro[[#This Row],[Key 1]],"&lt;&gt;"&amp;tRetro[[#This Row],[MVP Key]])</calculatedColumnFormula>
    </tableColumn>
    <tableColumn id="7" xr3:uid="{4E671FA6-0160-4A2F-8BA2-4FF089DD2674}" name="MVP Pts Rank" dataDxfId="9"/>
    <tableColumn id="8" xr3:uid="{85B2D56D-FA2A-4437-8D71-F58BB6719163}" name="MVP Position" dataDxfId="8">
      <calculatedColumnFormula>MID(tRetro[[#This Row],[MVP_pos]],1,FIND(":",tRetro[[#This Row],[MVP_pos]])-1)</calculatedColumnFormula>
    </tableColumn>
    <tableColumn id="9" xr3:uid="{A2AA53F8-BAF7-4972-8CAC-AB0E7CF9F1BE}" name="Key 1" dataDxfId="7">
      <calculatedColumnFormula>INT(MID(tRetro[[#This Row],[Key 2]],1,1))</calculatedColumnFormula>
    </tableColumn>
    <tableColumn id="10" xr3:uid="{F670DBD0-F167-41A3-8B3C-5968C396B952}" name="ID"/>
    <tableColumn id="6" xr3:uid="{F0D0B201-549B-4EA7-A3EE-C12D9924185B}" name="Group ID"/>
    <tableColumn id="11" xr3:uid="{4CE7EC70-305A-4B38-9016-373E82B0D506}" name="Key 2"/>
    <tableColumn id="12" xr3:uid="{97D221B2-D247-47AF-8199-99115D8D62F2}" name="MVP Key"/>
    <tableColumn id="13" xr3:uid="{1088DC0D-E0CA-4155-9B08-CBC0EFBF00E9}" name="LS Key"/>
    <tableColumn id="14" xr3:uid="{EE198348-5805-4E97-B728-B4DE5A796A95}" name="MVP_pos"/>
    <tableColumn id="15" xr3:uid="{E42BEDA1-870D-4D73-B93C-1557A91ADAA4}" name="p2_pos"/>
    <tableColumn id="16" xr3:uid="{3DEBD2E2-BC64-46C1-AC9B-2132B59E2009}" name="p3_pos"/>
    <tableColumn id="17" xr3:uid="{715404EE-3C81-4543-B5E2-AC28A4DE64D7}" name="p4_pos"/>
    <tableColumn id="18" xr3:uid="{AB67051D-78FD-46DF-B415-247DF4DD9557}" name="p5_pos"/>
    <tableColumn id="31" xr3:uid="{D36DF87E-8F04-43DC-84F5-342417CC1094}" name="p6_pos"/>
    <tableColumn id="19" xr3:uid="{DBCB7C43-E0B5-4401-994E-676A6B7DA24A}" name="select"/>
    <tableColumn id="20" xr3:uid="{5F558141-5A92-4788-92FE-4413B62673CE}" name="team_cnt"/>
    <tableColumn id="21" xr3:uid="{319D0B6F-24D3-4481-8C90-A397CD858A3C}" name="total_salary"/>
    <tableColumn id="22" xr3:uid="{2AA50DB7-BF2A-4188-98F2-BA1A79A68CBC}" name="total_fppg"/>
    <tableColumn id="23" xr3:uid="{795EC28B-A724-4CEA-BCB5-5F8ABD409EE8}" name="total_ppts"/>
    <tableColumn id="24" xr3:uid="{B19EB3A5-3E52-4DD3-B962-055131350F23}" name="total_pts"/>
    <tableColumn id="25" xr3:uid="{8A5229E8-8717-44CE-B664-7890F0B7E410}" name="p2_name"/>
    <tableColumn id="26" xr3:uid="{ADD27657-353D-4105-8C31-A7E228371684}" name="Column1"/>
    <tableColumn id="27" xr3:uid="{960E04C7-6590-4E46-B62D-10449FC017BF}" name="p3_name"/>
    <tableColumn id="28" xr3:uid="{F659C895-021A-4E87-91DC-95CCDDCD6033}" name="p4_name"/>
    <tableColumn id="29" xr3:uid="{CA95DEC0-6077-4004-B6CA-490C28B7B7AC}" name="p5_name" dataDxfId="6"/>
    <tableColumn id="30" xr3:uid="{A06DE1A4-6814-46F5-9FC4-C6FF38D02B4E}" name="p6_name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:Z38"/>
  <sheetViews>
    <sheetView workbookViewId="0">
      <selection activeCell="B24" sqref="B24"/>
    </sheetView>
  </sheetViews>
  <sheetFormatPr defaultRowHeight="14.25" x14ac:dyDescent="0.45"/>
  <cols>
    <col min="1" max="1" width="7" bestFit="1" customWidth="1"/>
    <col min="2" max="2" width="6.59765625" customWidth="1"/>
    <col min="3" max="3" width="6.265625" bestFit="1" customWidth="1"/>
    <col min="4" max="4" width="11.73046875" bestFit="1" customWidth="1"/>
    <col min="5" max="5" width="11" bestFit="1" customWidth="1"/>
    <col min="6" max="6" width="7" bestFit="1" customWidth="1"/>
    <col min="7" max="7" width="6.86328125" bestFit="1" customWidth="1"/>
    <col min="8" max="8" width="5.3984375" bestFit="1" customWidth="1"/>
    <col min="12" max="12" width="11" bestFit="1" customWidth="1"/>
    <col min="15" max="15" width="11" bestFit="1" customWidth="1"/>
    <col min="17" max="17" width="7" bestFit="1" customWidth="1"/>
    <col min="18" max="18" width="5.3984375" bestFit="1" customWidth="1"/>
    <col min="19" max="19" width="4.265625" bestFit="1" customWidth="1"/>
    <col min="20" max="20" width="11.59765625" bestFit="1" customWidth="1"/>
    <col min="21" max="21" width="6.265625" bestFit="1" customWidth="1"/>
    <col min="22" max="22" width="5.3984375" bestFit="1" customWidth="1"/>
  </cols>
  <sheetData>
    <row r="2" spans="19:26" x14ac:dyDescent="0.45">
      <c r="S2" s="3"/>
      <c r="T2" s="3"/>
      <c r="U2" s="3"/>
    </row>
    <row r="3" spans="19:26" x14ac:dyDescent="0.45">
      <c r="S3" s="24"/>
      <c r="T3" s="24"/>
      <c r="U3" s="24"/>
      <c r="V3" s="17"/>
      <c r="W3" s="17"/>
      <c r="X3" s="17"/>
    </row>
    <row r="4" spans="19:26" x14ac:dyDescent="0.45">
      <c r="S4" s="24"/>
      <c r="T4" s="24"/>
      <c r="U4" s="24"/>
      <c r="V4" s="17"/>
      <c r="W4" s="17"/>
      <c r="X4" s="17"/>
    </row>
    <row r="5" spans="19:26" x14ac:dyDescent="0.45">
      <c r="S5" s="24"/>
      <c r="T5" s="24"/>
      <c r="U5" s="24"/>
      <c r="V5" s="17"/>
      <c r="W5" s="17"/>
      <c r="X5" s="17"/>
    </row>
    <row r="6" spans="19:26" x14ac:dyDescent="0.45">
      <c r="S6" s="24"/>
      <c r="T6" s="24"/>
      <c r="U6" s="24"/>
      <c r="V6" s="17"/>
      <c r="W6" s="17"/>
      <c r="X6" s="17"/>
    </row>
    <row r="7" spans="19:26" x14ac:dyDescent="0.45">
      <c r="S7" s="24"/>
      <c r="T7" s="24"/>
      <c r="U7" s="24"/>
      <c r="V7" s="17"/>
      <c r="W7" s="17"/>
      <c r="X7" s="17"/>
    </row>
    <row r="8" spans="19:26" x14ac:dyDescent="0.45">
      <c r="S8" s="24"/>
      <c r="T8" s="24"/>
      <c r="U8" s="24"/>
      <c r="V8" s="17"/>
      <c r="W8" s="17"/>
      <c r="X8" s="17"/>
    </row>
    <row r="9" spans="19:26" x14ac:dyDescent="0.45">
      <c r="S9" s="24"/>
      <c r="T9" s="24"/>
      <c r="U9" s="24"/>
      <c r="V9" s="17"/>
      <c r="W9" s="17"/>
      <c r="X9" s="17"/>
    </row>
    <row r="10" spans="19:26" x14ac:dyDescent="0.45">
      <c r="S10" s="24"/>
      <c r="T10" s="24"/>
      <c r="U10" s="24"/>
      <c r="V10" s="17"/>
      <c r="W10" s="17"/>
      <c r="X10" s="17"/>
    </row>
    <row r="11" spans="19:26" x14ac:dyDescent="0.45">
      <c r="S11" s="24"/>
      <c r="T11" s="24"/>
      <c r="U11" s="24"/>
      <c r="V11" s="17"/>
      <c r="W11" s="17"/>
      <c r="X11" s="17"/>
    </row>
    <row r="12" spans="19:26" x14ac:dyDescent="0.45">
      <c r="S12" s="24"/>
      <c r="T12" s="24"/>
      <c r="U12" s="24"/>
      <c r="V12" s="17"/>
      <c r="W12" s="17"/>
      <c r="X12" s="17"/>
    </row>
    <row r="13" spans="19:26" x14ac:dyDescent="0.45">
      <c r="S13" s="24"/>
      <c r="T13" s="24"/>
      <c r="U13" s="24"/>
      <c r="V13" s="17"/>
      <c r="W13" s="17"/>
      <c r="X13" s="17"/>
      <c r="Y13" s="17"/>
    </row>
    <row r="14" spans="19:26" x14ac:dyDescent="0.45">
      <c r="S14" s="24"/>
      <c r="T14" s="24"/>
      <c r="U14" s="24"/>
      <c r="V14" s="17"/>
      <c r="W14" s="17"/>
      <c r="X14" s="17"/>
      <c r="Z14" s="24"/>
    </row>
    <row r="15" spans="19:26" x14ac:dyDescent="0.45">
      <c r="S15" s="24"/>
      <c r="T15" s="24"/>
      <c r="U15" s="24"/>
      <c r="V15" s="17"/>
    </row>
    <row r="16" spans="19:26" x14ac:dyDescent="0.45">
      <c r="S16" s="24"/>
      <c r="T16" s="24"/>
      <c r="U16" s="24"/>
      <c r="V16" s="17"/>
      <c r="X16" s="17"/>
      <c r="Z16" s="24"/>
    </row>
    <row r="17" spans="2:26" x14ac:dyDescent="0.45">
      <c r="S17" s="24"/>
      <c r="T17" s="24"/>
      <c r="U17" s="24"/>
      <c r="V17" s="17"/>
      <c r="Z17" s="24"/>
    </row>
    <row r="18" spans="2:26" x14ac:dyDescent="0.45">
      <c r="S18" s="24"/>
      <c r="T18" s="24"/>
      <c r="U18" s="24"/>
      <c r="V18" s="17"/>
    </row>
    <row r="19" spans="2:26" x14ac:dyDescent="0.45">
      <c r="S19" s="24"/>
      <c r="T19" s="24"/>
      <c r="U19" s="24"/>
      <c r="V19" s="17"/>
    </row>
    <row r="20" spans="2:26" x14ac:dyDescent="0.45">
      <c r="S20" s="24"/>
      <c r="T20" s="24"/>
      <c r="U20" s="24"/>
      <c r="V20" s="17"/>
    </row>
    <row r="21" spans="2:26" x14ac:dyDescent="0.45">
      <c r="S21" s="24"/>
      <c r="T21" s="24"/>
      <c r="U21" s="24"/>
      <c r="V21" s="17"/>
    </row>
    <row r="22" spans="2:26" x14ac:dyDescent="0.45">
      <c r="S22" s="24"/>
      <c r="T22" s="24"/>
      <c r="U22" s="24"/>
      <c r="V22" s="17"/>
    </row>
    <row r="23" spans="2:26" x14ac:dyDescent="0.45">
      <c r="S23" s="24"/>
      <c r="T23" s="24"/>
      <c r="U23" s="24"/>
      <c r="V23" s="17"/>
    </row>
    <row r="24" spans="2:26" x14ac:dyDescent="0.45">
      <c r="B24" s="87" t="s">
        <v>502</v>
      </c>
      <c r="C24" s="89" t="s">
        <v>503</v>
      </c>
      <c r="D24" s="89" t="s">
        <v>504</v>
      </c>
      <c r="E24" s="89" t="s">
        <v>290</v>
      </c>
      <c r="F24" s="89" t="s">
        <v>505</v>
      </c>
      <c r="G24" s="89" t="s">
        <v>506</v>
      </c>
      <c r="L24" s="3" t="str">
        <f t="array" ref="L24:N37">[1]!sql(SQL!B3,retro)</f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24" s="3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24" s="3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O24" s="3"/>
      <c r="P24" s="3" t="s">
        <v>290</v>
      </c>
      <c r="Q24" s="3" t="s">
        <v>291</v>
      </c>
      <c r="S24" s="24"/>
      <c r="T24" s="24"/>
      <c r="U24" s="24"/>
      <c r="V24" s="17"/>
    </row>
    <row r="25" spans="2:26" x14ac:dyDescent="0.45">
      <c r="B25" s="93">
        <v>1</v>
      </c>
      <c r="C25" s="88">
        <f>COUNTIFS(Retro!$K$2:$K$72,"&gt;=10",Retro!$K$2:$K$72,"&lt;=19")</f>
        <v>22</v>
      </c>
      <c r="D25" s="88">
        <f>COUNTIFS(Retro!$K$2:$K$72,"&gt;=10",Retro!$K$2:$K$72,"&lt;=19",Retro!$L$2:$L$72,1)</f>
        <v>11</v>
      </c>
      <c r="E25" s="88">
        <f>COUNT(Retro!$K$2:$K$72)</f>
        <v>71</v>
      </c>
      <c r="F25" s="90">
        <f>C25/E25</f>
        <v>0.30985915492957744</v>
      </c>
      <c r="G25" s="90">
        <f>D25/E25</f>
        <v>0.15492957746478872</v>
      </c>
      <c r="L25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25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25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P25">
        <v>10</v>
      </c>
      <c r="Q25" s="9" t="e">
        <f t="shared" ref="Q25:Q37" si="0">$P$25*N25</f>
        <v>#VALUE!</v>
      </c>
      <c r="R25">
        <v>4</v>
      </c>
      <c r="S25" s="24"/>
      <c r="T25" s="24"/>
      <c r="U25" s="24"/>
      <c r="V25" s="17"/>
    </row>
    <row r="26" spans="2:26" x14ac:dyDescent="0.45">
      <c r="B26" s="93">
        <v>2</v>
      </c>
      <c r="C26" s="88">
        <f>COUNTIFS(Retro!$K$2:$K$72,"&gt;=20",Retro!$K$2:$K$72,"&lt;=29")</f>
        <v>10</v>
      </c>
      <c r="D26" s="88">
        <f>COUNTIFS(Retro!$K$2:$K$72,"&gt;=20",Retro!$K$2:$K$72,"&lt;=29",Retro!$L$2:$L$72,2)</f>
        <v>6</v>
      </c>
      <c r="E26" s="88">
        <f>COUNT(Retro!$K$2:$K$72)</f>
        <v>71</v>
      </c>
      <c r="F26" s="90">
        <f t="shared" ref="F26:F28" si="1">C26/E26</f>
        <v>0.14084507042253522</v>
      </c>
      <c r="G26" s="90">
        <f t="shared" ref="G26:G28" si="2">D26/E26</f>
        <v>8.4507042253521125E-2</v>
      </c>
      <c r="L26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26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26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26" s="9" t="e">
        <f t="shared" si="0"/>
        <v>#VALUE!</v>
      </c>
      <c r="R26">
        <v>3</v>
      </c>
      <c r="S26" s="24"/>
      <c r="T26" s="24"/>
      <c r="U26" s="24"/>
      <c r="V26" s="17"/>
    </row>
    <row r="27" spans="2:26" x14ac:dyDescent="0.45">
      <c r="B27" s="93">
        <v>3</v>
      </c>
      <c r="C27" s="88">
        <f>COUNTIFS(Retro!$K$2:$K$72,"&gt;=30",Retro!$K$2:$K$72,"&lt;=39")</f>
        <v>4</v>
      </c>
      <c r="D27" s="88">
        <f>COUNTIFS(Retro!$K$2:$K$72,"&gt;=30",Retro!$K$2:$K$72,"&lt;=39",Retro!$L$2:$L$72,3)</f>
        <v>1</v>
      </c>
      <c r="E27" s="88">
        <f>COUNT(Retro!$K$2:$K$72)</f>
        <v>71</v>
      </c>
      <c r="F27" s="90">
        <f t="shared" si="1"/>
        <v>5.6338028169014086E-2</v>
      </c>
      <c r="G27" s="90">
        <f t="shared" si="2"/>
        <v>1.4084507042253521E-2</v>
      </c>
      <c r="L27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27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27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27" s="9" t="e">
        <f t="shared" si="0"/>
        <v>#VALUE!</v>
      </c>
      <c r="R27">
        <v>2</v>
      </c>
      <c r="S27" s="24"/>
      <c r="T27" s="24"/>
      <c r="U27" s="24"/>
      <c r="V27" s="17"/>
    </row>
    <row r="28" spans="2:26" x14ac:dyDescent="0.45">
      <c r="B28" s="93">
        <v>4</v>
      </c>
      <c r="C28" s="91">
        <f>COUNTIFS(Retro!$K$2:$K$72,"&gt;=40",Retro!$K$2:$K$72,"&lt;=49")</f>
        <v>0</v>
      </c>
      <c r="D28" s="91">
        <f>COUNTIFS(Retro!$K$2:$K$72,"&gt;=40",Retro!$K$2:$K$72,"&lt;=49",Retro!$L$2:$L$72,4)</f>
        <v>0</v>
      </c>
      <c r="E28" s="88">
        <f>COUNT(Retro!$K$2:$K$72)</f>
        <v>71</v>
      </c>
      <c r="F28" s="90">
        <f t="shared" si="1"/>
        <v>0</v>
      </c>
      <c r="G28" s="90">
        <f t="shared" si="2"/>
        <v>0</v>
      </c>
      <c r="L28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28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28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28" s="9" t="e">
        <f t="shared" si="0"/>
        <v>#VALUE!</v>
      </c>
      <c r="R28">
        <v>1</v>
      </c>
      <c r="S28" s="24"/>
      <c r="T28" s="24"/>
      <c r="U28" s="24"/>
      <c r="V28" s="17"/>
    </row>
    <row r="29" spans="2:26" x14ac:dyDescent="0.45">
      <c r="B29" s="92"/>
      <c r="C29" s="88">
        <f>SUM(C25:C28)</f>
        <v>36</v>
      </c>
      <c r="D29" s="88">
        <f>SUM(D25:D28)</f>
        <v>18</v>
      </c>
      <c r="E29" s="88"/>
      <c r="F29" s="90"/>
      <c r="G29" s="90"/>
      <c r="L29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29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29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29" s="9" t="e">
        <f t="shared" si="0"/>
        <v>#VALUE!</v>
      </c>
      <c r="S29" s="24"/>
      <c r="T29" s="24"/>
      <c r="U29" s="24"/>
      <c r="V29" s="17"/>
    </row>
    <row r="30" spans="2:26" x14ac:dyDescent="0.45">
      <c r="L30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30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30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30" s="9" t="e">
        <f t="shared" si="0"/>
        <v>#VALUE!</v>
      </c>
    </row>
    <row r="31" spans="2:26" x14ac:dyDescent="0.45">
      <c r="L31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31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31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31" s="9" t="e">
        <f t="shared" si="0"/>
        <v>#VALUE!</v>
      </c>
    </row>
    <row r="32" spans="2:26" x14ac:dyDescent="0.45">
      <c r="L32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32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32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32" s="9" t="e">
        <f t="shared" si="0"/>
        <v>#VALUE!</v>
      </c>
    </row>
    <row r="33" spans="12:18" x14ac:dyDescent="0.45">
      <c r="L33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33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33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33" s="9" t="e">
        <f t="shared" si="0"/>
        <v>#VALUE!</v>
      </c>
    </row>
    <row r="34" spans="12:18" x14ac:dyDescent="0.45">
      <c r="L34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34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34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34" s="9" t="e">
        <f t="shared" si="0"/>
        <v>#VALUE!</v>
      </c>
    </row>
    <row r="35" spans="12:18" x14ac:dyDescent="0.45">
      <c r="L35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35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35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35" s="9" t="e">
        <f t="shared" si="0"/>
        <v>#VALUE!</v>
      </c>
    </row>
    <row r="36" spans="12:18" x14ac:dyDescent="0.45">
      <c r="L36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36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36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36" s="9" t="e">
        <f t="shared" si="0"/>
        <v>#VALUE!</v>
      </c>
    </row>
    <row r="37" spans="12:18" x14ac:dyDescent="0.45">
      <c r="L37" s="7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M37" s="1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N37" s="8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Q37" s="9" t="e">
        <f t="shared" si="0"/>
        <v>#VALUE!</v>
      </c>
    </row>
    <row r="38" spans="12:18" x14ac:dyDescent="0.45">
      <c r="M38" s="7"/>
      <c r="N38" s="13"/>
      <c r="O38" s="8"/>
      <c r="R38" s="9"/>
    </row>
  </sheetData>
  <sortState xmlns:xlrd2="http://schemas.microsoft.com/office/spreadsheetml/2017/richdata2" ref="X4:AA13">
    <sortCondition ref="X3"/>
  </sortState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M2:S11"/>
  <sheetViews>
    <sheetView workbookViewId="0">
      <selection activeCell="M2" sqref="M2"/>
    </sheetView>
  </sheetViews>
  <sheetFormatPr defaultRowHeight="14.25" x14ac:dyDescent="0.45"/>
  <sheetData>
    <row r="2" spans="13:19" x14ac:dyDescent="0.45">
      <c r="M2" s="3" t="s">
        <v>290</v>
      </c>
      <c r="N2" s="86">
        <v>71</v>
      </c>
      <c r="O2" s="86"/>
      <c r="P2" s="86"/>
      <c r="R2" s="19" t="s">
        <v>290</v>
      </c>
      <c r="S2" s="19" t="s">
        <v>291</v>
      </c>
    </row>
    <row r="3" spans="13:19" x14ac:dyDescent="0.45">
      <c r="M3" s="11" t="s">
        <v>43</v>
      </c>
      <c r="N3" s="86">
        <v>22</v>
      </c>
      <c r="O3" s="86">
        <v>1</v>
      </c>
      <c r="P3" s="86"/>
      <c r="R3" s="7">
        <v>50</v>
      </c>
      <c r="S3" s="9">
        <f>P3*$F$19</f>
        <v>0</v>
      </c>
    </row>
    <row r="4" spans="13:19" x14ac:dyDescent="0.45">
      <c r="M4" s="11" t="s">
        <v>44</v>
      </c>
      <c r="N4" s="86">
        <v>29</v>
      </c>
      <c r="O4" s="86">
        <v>3</v>
      </c>
      <c r="P4" s="86"/>
      <c r="R4" s="19"/>
      <c r="S4" s="9">
        <f>P4*$F$19</f>
        <v>0</v>
      </c>
    </row>
    <row r="5" spans="13:19" x14ac:dyDescent="0.45">
      <c r="M5" s="11" t="s">
        <v>37</v>
      </c>
      <c r="N5" s="86">
        <v>62</v>
      </c>
      <c r="O5" s="86">
        <v>25</v>
      </c>
      <c r="P5" s="86"/>
      <c r="R5" s="19"/>
      <c r="S5" s="9">
        <f>P5*$F$19</f>
        <v>0</v>
      </c>
    </row>
    <row r="6" spans="13:19" x14ac:dyDescent="0.45">
      <c r="M6" s="11" t="s">
        <v>38</v>
      </c>
      <c r="N6" s="86">
        <v>55</v>
      </c>
      <c r="O6" s="86">
        <v>27</v>
      </c>
      <c r="P6" s="86">
        <v>1</v>
      </c>
      <c r="R6" s="19"/>
      <c r="S6" s="9">
        <f>P6*$F$19</f>
        <v>0</v>
      </c>
    </row>
    <row r="7" spans="13:19" x14ac:dyDescent="0.45">
      <c r="M7" s="11" t="s">
        <v>39</v>
      </c>
      <c r="N7" s="86">
        <v>28</v>
      </c>
      <c r="O7" s="86">
        <v>0</v>
      </c>
      <c r="P7" s="86"/>
    </row>
    <row r="8" spans="13:19" x14ac:dyDescent="0.45">
      <c r="M8" s="11" t="s">
        <v>40</v>
      </c>
      <c r="N8" s="86">
        <v>42</v>
      </c>
      <c r="O8" s="86">
        <v>7</v>
      </c>
      <c r="P8" s="86"/>
    </row>
    <row r="9" spans="13:19" x14ac:dyDescent="0.45">
      <c r="M9" s="11" t="s">
        <v>41</v>
      </c>
      <c r="N9" s="17">
        <v>28</v>
      </c>
      <c r="O9" s="86">
        <v>1</v>
      </c>
      <c r="P9" s="86"/>
    </row>
    <row r="10" spans="13:19" x14ac:dyDescent="0.45">
      <c r="M10" s="11" t="s">
        <v>42</v>
      </c>
      <c r="N10" s="86">
        <v>14</v>
      </c>
      <c r="O10" s="86">
        <v>2</v>
      </c>
      <c r="P10" s="86"/>
    </row>
    <row r="11" spans="13:19" x14ac:dyDescent="0.45">
      <c r="M11" s="11" t="s">
        <v>292</v>
      </c>
      <c r="N11" s="86">
        <v>8</v>
      </c>
      <c r="O11" s="86"/>
      <c r="P11" s="86"/>
    </row>
  </sheetData>
  <sortState xmlns:xlrd2="http://schemas.microsoft.com/office/spreadsheetml/2017/richdata2" ref="M3:P11">
    <sortCondition descending="1" ref="N3:N1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2:P69"/>
  <sheetViews>
    <sheetView workbookViewId="0">
      <selection activeCell="K3" sqref="K3"/>
    </sheetView>
  </sheetViews>
  <sheetFormatPr defaultRowHeight="14.25" x14ac:dyDescent="0.45"/>
  <cols>
    <col min="4" max="4" width="11" bestFit="1" customWidth="1"/>
    <col min="7" max="7" width="5.3984375" bestFit="1" customWidth="1"/>
    <col min="13" max="13" width="11" bestFit="1" customWidth="1"/>
    <col min="16" max="16" width="5.3984375" bestFit="1" customWidth="1"/>
  </cols>
  <sheetData>
    <row r="2" spans="11:16" x14ac:dyDescent="0.45">
      <c r="K2" s="3" t="str">
        <f t="array" ref="K2:M12">[1]!sql(SQL!B5,retro)</f>
        <v>Position</v>
      </c>
      <c r="L2" s="3" t="str">
        <v>Count</v>
      </c>
      <c r="M2" s="3" t="str">
        <v>Percentage</v>
      </c>
      <c r="N2" s="3"/>
      <c r="O2" s="3" t="s">
        <v>290</v>
      </c>
      <c r="P2" s="3" t="s">
        <v>291</v>
      </c>
    </row>
    <row r="3" spans="11:16" x14ac:dyDescent="0.45">
      <c r="K3" t="str">
        <v>QB</v>
      </c>
      <c r="L3">
        <v>21</v>
      </c>
      <c r="M3" s="16">
        <v>0.29577464788732394</v>
      </c>
      <c r="O3">
        <v>50</v>
      </c>
      <c r="P3" s="17">
        <f t="shared" ref="P3:P10" si="0">M3*$O$3</f>
        <v>14.788732394366196</v>
      </c>
    </row>
    <row r="4" spans="11:16" x14ac:dyDescent="0.45">
      <c r="K4" t="str">
        <v>RB</v>
      </c>
      <c r="L4">
        <v>17</v>
      </c>
      <c r="M4" s="16">
        <v>0.23943661971830985</v>
      </c>
      <c r="P4" s="17">
        <f t="shared" si="0"/>
        <v>11.971830985915492</v>
      </c>
    </row>
    <row r="5" spans="11:16" x14ac:dyDescent="0.45">
      <c r="K5" t="str">
        <v>WR1</v>
      </c>
      <c r="L5">
        <v>15</v>
      </c>
      <c r="M5" s="16">
        <v>0.21126760563380281</v>
      </c>
      <c r="P5" s="17">
        <f t="shared" si="0"/>
        <v>10.56338028169014</v>
      </c>
    </row>
    <row r="6" spans="11:16" x14ac:dyDescent="0.45">
      <c r="K6" t="str">
        <v>RB1</v>
      </c>
      <c r="L6">
        <v>5</v>
      </c>
      <c r="M6" s="16">
        <v>7.0422535211267609E-2</v>
      </c>
      <c r="P6" s="17">
        <f t="shared" si="0"/>
        <v>3.5211267605633805</v>
      </c>
    </row>
    <row r="7" spans="11:16" x14ac:dyDescent="0.45">
      <c r="K7" t="str">
        <v>K</v>
      </c>
      <c r="L7">
        <v>4</v>
      </c>
      <c r="M7" s="16">
        <v>5.6338028169014086E-2</v>
      </c>
      <c r="P7" s="17">
        <f t="shared" si="0"/>
        <v>2.8169014084507045</v>
      </c>
    </row>
    <row r="8" spans="11:16" x14ac:dyDescent="0.45">
      <c r="K8" t="str">
        <v>D</v>
      </c>
      <c r="L8">
        <v>3</v>
      </c>
      <c r="M8" s="16">
        <v>4.2253521126760563E-2</v>
      </c>
      <c r="P8" s="17">
        <f t="shared" si="0"/>
        <v>2.112676056338028</v>
      </c>
    </row>
    <row r="9" spans="11:16" x14ac:dyDescent="0.45">
      <c r="K9" t="str">
        <v>TE</v>
      </c>
      <c r="L9">
        <v>2</v>
      </c>
      <c r="M9" s="16">
        <v>2.8169014084507043E-2</v>
      </c>
      <c r="P9" s="17">
        <f t="shared" si="0"/>
        <v>1.4084507042253522</v>
      </c>
    </row>
    <row r="10" spans="11:16" x14ac:dyDescent="0.45">
      <c r="K10" t="str">
        <v>WR2</v>
      </c>
      <c r="L10">
        <v>2</v>
      </c>
      <c r="M10" s="16">
        <v>2.8169014084507043E-2</v>
      </c>
      <c r="P10" s="17">
        <f t="shared" si="0"/>
        <v>1.4084507042253522</v>
      </c>
    </row>
    <row r="11" spans="11:16" x14ac:dyDescent="0.45">
      <c r="K11" t="str">
        <v>RB1Q</v>
      </c>
      <c r="L11">
        <v>1</v>
      </c>
      <c r="M11" s="16">
        <v>1.4084507042253521E-2</v>
      </c>
    </row>
    <row r="12" spans="11:16" x14ac:dyDescent="0.45">
      <c r="K12" t="str">
        <v>RB2</v>
      </c>
      <c r="L12">
        <v>1</v>
      </c>
      <c r="M12" s="16">
        <v>1.4084507042253521E-2</v>
      </c>
    </row>
    <row r="30" spans="1:3" x14ac:dyDescent="0.45">
      <c r="A30" s="7"/>
    </row>
    <row r="31" spans="1:3" x14ac:dyDescent="0.45">
      <c r="A31" s="7"/>
    </row>
    <row r="32" spans="1:3" x14ac:dyDescent="0.45">
      <c r="A32" s="7"/>
      <c r="C32" s="21"/>
    </row>
    <row r="33" spans="1:1" x14ac:dyDescent="0.45">
      <c r="A33" s="7"/>
    </row>
    <row r="34" spans="1:1" x14ac:dyDescent="0.45">
      <c r="A34" s="7"/>
    </row>
    <row r="35" spans="1:1" x14ac:dyDescent="0.45">
      <c r="A35" s="7"/>
    </row>
    <row r="36" spans="1:1" x14ac:dyDescent="0.45">
      <c r="A36" s="7"/>
    </row>
    <row r="37" spans="1:1" x14ac:dyDescent="0.45">
      <c r="A37" s="7"/>
    </row>
    <row r="38" spans="1:1" x14ac:dyDescent="0.45">
      <c r="A38" s="7"/>
    </row>
    <row r="39" spans="1:1" x14ac:dyDescent="0.45">
      <c r="A39" s="7"/>
    </row>
    <row r="40" spans="1:1" x14ac:dyDescent="0.45">
      <c r="A40" s="7"/>
    </row>
    <row r="41" spans="1:1" x14ac:dyDescent="0.45">
      <c r="A41" s="7"/>
    </row>
    <row r="42" spans="1:1" x14ac:dyDescent="0.45">
      <c r="A42" s="7"/>
    </row>
    <row r="43" spans="1:1" x14ac:dyDescent="0.45">
      <c r="A43" s="7"/>
    </row>
    <row r="44" spans="1:1" x14ac:dyDescent="0.45">
      <c r="A44" s="7"/>
    </row>
    <row r="45" spans="1:1" x14ac:dyDescent="0.45">
      <c r="A45" s="7"/>
    </row>
    <row r="46" spans="1:1" x14ac:dyDescent="0.45">
      <c r="A46" s="7"/>
    </row>
    <row r="47" spans="1:1" x14ac:dyDescent="0.45">
      <c r="A47" s="7"/>
    </row>
    <row r="48" spans="1:1" x14ac:dyDescent="0.45">
      <c r="A48" s="7"/>
    </row>
    <row r="49" spans="1:1" x14ac:dyDescent="0.45">
      <c r="A49" s="7"/>
    </row>
    <row r="50" spans="1:1" x14ac:dyDescent="0.45">
      <c r="A50" s="7"/>
    </row>
    <row r="51" spans="1:1" x14ac:dyDescent="0.45">
      <c r="A51" s="7"/>
    </row>
    <row r="52" spans="1:1" x14ac:dyDescent="0.45">
      <c r="A52" s="7"/>
    </row>
    <row r="53" spans="1:1" x14ac:dyDescent="0.45">
      <c r="A53" s="7"/>
    </row>
    <row r="54" spans="1:1" x14ac:dyDescent="0.45">
      <c r="A54" s="7"/>
    </row>
    <row r="55" spans="1:1" x14ac:dyDescent="0.45">
      <c r="A55" s="7"/>
    </row>
    <row r="56" spans="1:1" x14ac:dyDescent="0.45">
      <c r="A56" s="7"/>
    </row>
    <row r="57" spans="1:1" x14ac:dyDescent="0.45">
      <c r="A57" s="7"/>
    </row>
    <row r="58" spans="1:1" x14ac:dyDescent="0.45">
      <c r="A58" s="7"/>
    </row>
    <row r="59" spans="1:1" x14ac:dyDescent="0.45">
      <c r="A59" s="7"/>
    </row>
    <row r="60" spans="1:1" x14ac:dyDescent="0.45">
      <c r="A60" s="7"/>
    </row>
    <row r="61" spans="1:1" x14ac:dyDescent="0.45">
      <c r="A61" s="7"/>
    </row>
    <row r="62" spans="1:1" x14ac:dyDescent="0.45">
      <c r="A62" s="7"/>
    </row>
    <row r="63" spans="1:1" x14ac:dyDescent="0.45">
      <c r="A63" s="7"/>
    </row>
    <row r="64" spans="1:1" x14ac:dyDescent="0.45">
      <c r="A64" s="7"/>
    </row>
    <row r="65" spans="1:1" x14ac:dyDescent="0.45">
      <c r="A65" s="7"/>
    </row>
    <row r="66" spans="1:1" x14ac:dyDescent="0.45">
      <c r="A66" s="7"/>
    </row>
    <row r="67" spans="1:1" x14ac:dyDescent="0.45">
      <c r="A67" s="7"/>
    </row>
    <row r="68" spans="1:1" x14ac:dyDescent="0.45">
      <c r="A68" s="7"/>
    </row>
    <row r="69" spans="1:1" x14ac:dyDescent="0.45">
      <c r="A69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2:V72"/>
  <sheetViews>
    <sheetView topLeftCell="B1" workbookViewId="0">
      <selection activeCell="U2" sqref="U2"/>
    </sheetView>
  </sheetViews>
  <sheetFormatPr defaultRowHeight="14.25" x14ac:dyDescent="0.45"/>
  <cols>
    <col min="1" max="1" width="9.1328125" style="10"/>
    <col min="3" max="3" width="6.265625" bestFit="1" customWidth="1"/>
  </cols>
  <sheetData>
    <row r="2" spans="21:22" x14ac:dyDescent="0.45">
      <c r="U2" s="3" t="str">
        <f t="array" ref="U2:V50">[1]!sql(SQL!B7,retro)</f>
        <v>Player</v>
      </c>
      <c r="V2" s="3" t="str">
        <v>Count</v>
      </c>
    </row>
    <row r="3" spans="21:22" x14ac:dyDescent="0.45">
      <c r="U3" t="str">
        <v>D:ATL</v>
      </c>
      <c r="V3">
        <v>1</v>
      </c>
    </row>
    <row r="4" spans="21:22" x14ac:dyDescent="0.45">
      <c r="U4" t="str">
        <v>QB:ATL</v>
      </c>
      <c r="V4">
        <v>1</v>
      </c>
    </row>
    <row r="5" spans="21:22" x14ac:dyDescent="0.45">
      <c r="U5" t="str">
        <v>QB:BAL</v>
      </c>
      <c r="V5">
        <v>4</v>
      </c>
    </row>
    <row r="6" spans="21:22" x14ac:dyDescent="0.45">
      <c r="U6" t="str">
        <v>RB:BAL</v>
      </c>
      <c r="V6">
        <v>3</v>
      </c>
    </row>
    <row r="7" spans="21:22" x14ac:dyDescent="0.45">
      <c r="U7" t="str">
        <v>QB:BUF</v>
      </c>
      <c r="V7">
        <v>2</v>
      </c>
    </row>
    <row r="8" spans="21:22" x14ac:dyDescent="0.45">
      <c r="U8" t="str">
        <v>RB:BUF</v>
      </c>
      <c r="V8">
        <v>1</v>
      </c>
    </row>
    <row r="9" spans="21:22" x14ac:dyDescent="0.45">
      <c r="U9" s="7" t="str">
        <v>QB:CIN</v>
      </c>
      <c r="V9" s="15">
        <v>2</v>
      </c>
    </row>
    <row r="10" spans="21:22" x14ac:dyDescent="0.45">
      <c r="U10" s="7" t="str">
        <v>WR1:CIN</v>
      </c>
      <c r="V10" s="18">
        <v>4</v>
      </c>
    </row>
    <row r="11" spans="21:22" x14ac:dyDescent="0.45">
      <c r="U11" s="7" t="str">
        <v>RB1:CLE</v>
      </c>
      <c r="V11" s="18">
        <v>1</v>
      </c>
    </row>
    <row r="12" spans="21:22" x14ac:dyDescent="0.45">
      <c r="U12" s="7" t="str">
        <v>WR1:CLE</v>
      </c>
      <c r="V12" s="18">
        <v>1</v>
      </c>
    </row>
    <row r="13" spans="21:22" x14ac:dyDescent="0.45">
      <c r="U13" s="7" t="str">
        <v>QB:DAL</v>
      </c>
      <c r="V13" s="18">
        <v>1</v>
      </c>
    </row>
    <row r="14" spans="21:22" x14ac:dyDescent="0.45">
      <c r="U14" s="7" t="str">
        <v>WR1:DAL</v>
      </c>
      <c r="V14" s="18">
        <v>2</v>
      </c>
    </row>
    <row r="15" spans="21:22" x14ac:dyDescent="0.45">
      <c r="U15" s="7" t="str">
        <v>RB1:DEN</v>
      </c>
      <c r="V15" s="18">
        <v>1</v>
      </c>
    </row>
    <row r="16" spans="21:22" x14ac:dyDescent="0.45">
      <c r="U16" s="14" t="str">
        <v>RB:DET</v>
      </c>
      <c r="V16" s="18">
        <v>2</v>
      </c>
    </row>
    <row r="17" spans="1:22" x14ac:dyDescent="0.45">
      <c r="U17" s="18" t="str">
        <v>RB1Q:GB</v>
      </c>
      <c r="V17" s="18">
        <v>1</v>
      </c>
    </row>
    <row r="18" spans="1:22" x14ac:dyDescent="0.45">
      <c r="U18" s="7" t="str">
        <v>RB:GB</v>
      </c>
      <c r="V18" s="18">
        <v>1</v>
      </c>
    </row>
    <row r="19" spans="1:22" x14ac:dyDescent="0.45">
      <c r="U19" s="7" t="str">
        <v>RB1:HOU</v>
      </c>
      <c r="V19" s="18">
        <v>1</v>
      </c>
    </row>
    <row r="20" spans="1:22" x14ac:dyDescent="0.45">
      <c r="U20" s="7" t="str">
        <v>RB:HOU</v>
      </c>
      <c r="V20" s="18">
        <v>1</v>
      </c>
    </row>
    <row r="21" spans="1:22" x14ac:dyDescent="0.45">
      <c r="U21" s="7" t="str">
        <v>WR2:HOU</v>
      </c>
      <c r="V21" s="18">
        <v>1</v>
      </c>
    </row>
    <row r="22" spans="1:22" x14ac:dyDescent="0.45">
      <c r="U22" s="7" t="str">
        <v>K:KC</v>
      </c>
      <c r="V22" s="18">
        <v>1</v>
      </c>
    </row>
    <row r="23" spans="1:22" x14ac:dyDescent="0.45">
      <c r="U23" s="7" t="str">
        <v>QB:KC</v>
      </c>
      <c r="V23" s="18">
        <v>1</v>
      </c>
    </row>
    <row r="24" spans="1:22" x14ac:dyDescent="0.45">
      <c r="U24" s="7" t="str">
        <v>RB:KC</v>
      </c>
      <c r="V24" s="18">
        <v>1</v>
      </c>
    </row>
    <row r="25" spans="1:22" x14ac:dyDescent="0.45">
      <c r="U25" s="7" t="str">
        <v>TE:KC</v>
      </c>
      <c r="V25" s="18">
        <v>1</v>
      </c>
    </row>
    <row r="26" spans="1:22" x14ac:dyDescent="0.45">
      <c r="U26" s="7" t="str">
        <v>WR1:KC</v>
      </c>
      <c r="V26" s="18">
        <v>2</v>
      </c>
    </row>
    <row r="27" spans="1:22" x14ac:dyDescent="0.45">
      <c r="U27" s="7" t="str">
        <v>WR2:KC</v>
      </c>
      <c r="V27" s="18">
        <v>1</v>
      </c>
    </row>
    <row r="28" spans="1:22" x14ac:dyDescent="0.45">
      <c r="U28" s="15" t="str">
        <v>QB:LAC</v>
      </c>
      <c r="V28" s="18">
        <v>1</v>
      </c>
    </row>
    <row r="29" spans="1:22" x14ac:dyDescent="0.45">
      <c r="U29" s="7" t="str">
        <v>WR1:LAC</v>
      </c>
      <c r="V29" s="18">
        <v>1</v>
      </c>
    </row>
    <row r="30" spans="1:22" x14ac:dyDescent="0.45">
      <c r="A30" s="7"/>
      <c r="F30" s="19"/>
      <c r="G30" s="7"/>
      <c r="U30" s="7" t="str">
        <v>D:LAR</v>
      </c>
      <c r="V30" s="18">
        <v>1</v>
      </c>
    </row>
    <row r="31" spans="1:22" x14ac:dyDescent="0.45">
      <c r="A31" s="7"/>
      <c r="F31" s="19"/>
      <c r="G31" s="7"/>
      <c r="U31" s="7" t="str">
        <v>K:LAR</v>
      </c>
      <c r="V31" s="18">
        <v>1</v>
      </c>
    </row>
    <row r="32" spans="1:22" x14ac:dyDescent="0.45">
      <c r="A32" s="7"/>
      <c r="E32" s="7"/>
      <c r="F32" s="19"/>
      <c r="G32" s="7"/>
      <c r="U32" s="7" t="str">
        <v>QB:LAR</v>
      </c>
      <c r="V32" s="18">
        <v>1</v>
      </c>
    </row>
    <row r="33" spans="1:22" x14ac:dyDescent="0.45">
      <c r="A33" s="7"/>
      <c r="D33" s="10"/>
      <c r="F33" s="19"/>
      <c r="G33" s="7"/>
      <c r="U33" s="7" t="str">
        <v>RB1:LAR</v>
      </c>
      <c r="V33" s="18">
        <v>1</v>
      </c>
    </row>
    <row r="34" spans="1:22" x14ac:dyDescent="0.45">
      <c r="A34" s="7"/>
      <c r="D34" s="10"/>
      <c r="F34" s="19"/>
      <c r="G34" s="7"/>
      <c r="U34" s="7" t="str">
        <v>WR1:LAR</v>
      </c>
      <c r="V34" s="18">
        <v>1</v>
      </c>
    </row>
    <row r="35" spans="1:22" x14ac:dyDescent="0.45">
      <c r="A35" s="7"/>
      <c r="D35" s="10"/>
      <c r="F35" s="19"/>
      <c r="G35" s="7"/>
      <c r="U35" s="7" t="str">
        <v>TE:LV</v>
      </c>
      <c r="V35" s="18">
        <v>1</v>
      </c>
    </row>
    <row r="36" spans="1:22" x14ac:dyDescent="0.45">
      <c r="A36" s="7"/>
      <c r="D36" s="10"/>
      <c r="F36" s="19"/>
      <c r="G36" s="7"/>
      <c r="U36" t="str">
        <v>QB:MIA</v>
      </c>
      <c r="V36">
        <v>1</v>
      </c>
    </row>
    <row r="37" spans="1:22" x14ac:dyDescent="0.45">
      <c r="A37" s="7"/>
      <c r="D37" s="10"/>
      <c r="F37" s="19"/>
      <c r="G37" s="19"/>
      <c r="U37" t="str">
        <v>RB:MIN</v>
      </c>
      <c r="V37">
        <v>1</v>
      </c>
    </row>
    <row r="38" spans="1:22" s="18" customFormat="1" x14ac:dyDescent="0.45">
      <c r="A38" s="7"/>
      <c r="F38" s="19"/>
      <c r="G38" s="19"/>
      <c r="U38" s="18" t="str">
        <v>WR1:MIN</v>
      </c>
      <c r="V38" s="18">
        <v>1</v>
      </c>
    </row>
    <row r="39" spans="1:22" x14ac:dyDescent="0.45">
      <c r="A39" s="7"/>
      <c r="D39" s="10"/>
      <c r="F39" s="19"/>
      <c r="G39" s="7"/>
      <c r="U39" t="str">
        <v>RB2:NYG</v>
      </c>
      <c r="V39">
        <v>1</v>
      </c>
    </row>
    <row r="40" spans="1:22" x14ac:dyDescent="0.45">
      <c r="A40" s="7"/>
      <c r="F40" s="19"/>
      <c r="G40" s="7"/>
      <c r="U40" t="str">
        <v>WR1:NYG</v>
      </c>
      <c r="V40">
        <v>1</v>
      </c>
    </row>
    <row r="41" spans="1:22" x14ac:dyDescent="0.45">
      <c r="A41" s="7"/>
      <c r="F41" s="19"/>
      <c r="G41" s="7"/>
      <c r="U41" t="str">
        <v>QB:NYJ</v>
      </c>
      <c r="V41">
        <v>1</v>
      </c>
    </row>
    <row r="42" spans="1:22" x14ac:dyDescent="0.45">
      <c r="A42" s="7"/>
      <c r="F42" s="19"/>
      <c r="G42" s="7"/>
      <c r="U42" t="str">
        <v>RB1:NYJ</v>
      </c>
      <c r="V42">
        <v>1</v>
      </c>
    </row>
    <row r="43" spans="1:22" x14ac:dyDescent="0.45">
      <c r="A43" s="7"/>
      <c r="F43" s="19"/>
      <c r="G43" s="7"/>
      <c r="U43" t="str">
        <v>WR1:NYJ</v>
      </c>
      <c r="V43">
        <v>2</v>
      </c>
    </row>
    <row r="44" spans="1:22" x14ac:dyDescent="0.45">
      <c r="A44" s="7"/>
      <c r="F44" s="19"/>
      <c r="G44" s="7"/>
      <c r="U44" t="str">
        <v>QB:PHI</v>
      </c>
      <c r="V44">
        <v>1</v>
      </c>
    </row>
    <row r="45" spans="1:22" x14ac:dyDescent="0.45">
      <c r="A45" s="7"/>
      <c r="F45" s="19"/>
      <c r="G45" s="7"/>
      <c r="U45" t="str">
        <v>RB:PHI</v>
      </c>
      <c r="V45">
        <v>5</v>
      </c>
    </row>
    <row r="46" spans="1:22" x14ac:dyDescent="0.45">
      <c r="A46" s="7"/>
      <c r="F46" s="19"/>
      <c r="G46" s="7"/>
      <c r="U46" t="str">
        <v>D:SEA</v>
      </c>
      <c r="V46">
        <v>1</v>
      </c>
    </row>
    <row r="47" spans="1:22" x14ac:dyDescent="0.45">
      <c r="A47" s="7"/>
      <c r="F47" s="19"/>
      <c r="G47" s="7"/>
      <c r="U47" t="str">
        <v>RB:SEA</v>
      </c>
      <c r="V47">
        <v>2</v>
      </c>
    </row>
    <row r="48" spans="1:22" x14ac:dyDescent="0.45">
      <c r="A48" s="7"/>
      <c r="F48" s="19"/>
      <c r="G48" s="7"/>
      <c r="U48" t="str">
        <v>K:SF</v>
      </c>
      <c r="V48">
        <v>1</v>
      </c>
    </row>
    <row r="49" spans="1:22" s="15" customFormat="1" x14ac:dyDescent="0.45">
      <c r="A49" s="7"/>
      <c r="F49" s="19"/>
      <c r="G49" s="19"/>
      <c r="U49" s="15" t="str">
        <v>QB:SF</v>
      </c>
      <c r="V49" s="15">
        <v>2</v>
      </c>
    </row>
    <row r="50" spans="1:22" x14ac:dyDescent="0.45">
      <c r="A50" s="7"/>
      <c r="F50" s="19"/>
      <c r="G50" s="7"/>
      <c r="U50" t="str">
        <v>QB:TB</v>
      </c>
      <c r="V50">
        <v>1</v>
      </c>
    </row>
    <row r="51" spans="1:22" x14ac:dyDescent="0.45">
      <c r="A51" s="7"/>
      <c r="F51" s="19"/>
      <c r="G51" s="7"/>
    </row>
    <row r="52" spans="1:22" x14ac:dyDescent="0.45">
      <c r="A52" s="7"/>
      <c r="F52" s="19"/>
      <c r="G52" s="7"/>
    </row>
    <row r="53" spans="1:22" x14ac:dyDescent="0.45">
      <c r="A53" s="7"/>
      <c r="F53" s="19"/>
      <c r="G53" s="7"/>
    </row>
    <row r="54" spans="1:22" x14ac:dyDescent="0.45">
      <c r="A54" s="7"/>
      <c r="F54" s="19"/>
      <c r="G54" s="7"/>
    </row>
    <row r="55" spans="1:22" x14ac:dyDescent="0.45">
      <c r="A55" s="7"/>
      <c r="F55" s="19"/>
      <c r="G55" s="7"/>
    </row>
    <row r="56" spans="1:22" x14ac:dyDescent="0.45">
      <c r="A56" s="7"/>
      <c r="F56" s="19"/>
      <c r="G56" s="7"/>
    </row>
    <row r="57" spans="1:22" x14ac:dyDescent="0.45">
      <c r="A57" s="7"/>
      <c r="B57" s="7"/>
      <c r="C57" s="18"/>
      <c r="F57" s="19"/>
      <c r="G57" s="7"/>
    </row>
    <row r="58" spans="1:22" x14ac:dyDescent="0.45">
      <c r="A58" s="7"/>
      <c r="B58" s="7"/>
      <c r="C58" s="18"/>
      <c r="F58" s="19"/>
      <c r="G58" s="7"/>
    </row>
    <row r="59" spans="1:22" x14ac:dyDescent="0.45">
      <c r="A59" s="7"/>
      <c r="B59" s="7"/>
      <c r="C59" s="18"/>
      <c r="F59" s="19"/>
      <c r="G59" s="7"/>
    </row>
    <row r="60" spans="1:22" x14ac:dyDescent="0.45">
      <c r="A60" s="7"/>
      <c r="B60" s="7"/>
      <c r="C60" s="18"/>
      <c r="F60" s="19"/>
      <c r="G60" s="7"/>
    </row>
    <row r="61" spans="1:22" x14ac:dyDescent="0.45">
      <c r="A61" s="7"/>
      <c r="B61" s="7"/>
      <c r="C61" s="18"/>
      <c r="F61" s="19"/>
      <c r="G61" s="7"/>
    </row>
    <row r="62" spans="1:22" x14ac:dyDescent="0.45">
      <c r="A62" s="7"/>
      <c r="B62" s="7"/>
      <c r="C62" s="18"/>
      <c r="F62" s="19"/>
      <c r="G62" s="7"/>
    </row>
    <row r="72" spans="1:1" x14ac:dyDescent="0.45">
      <c r="A72" s="7"/>
    </row>
  </sheetData>
  <sortState xmlns:xlrd2="http://schemas.microsoft.com/office/spreadsheetml/2017/richdata2" ref="A30:C61">
    <sortCondition ref="A30:A61"/>
    <sortCondition ref="B30:B61"/>
    <sortCondition ref="C30:C6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H2:J6"/>
  <sheetViews>
    <sheetView workbookViewId="0">
      <selection activeCell="H2" sqref="H2"/>
    </sheetView>
  </sheetViews>
  <sheetFormatPr defaultRowHeight="14.25" x14ac:dyDescent="0.45"/>
  <cols>
    <col min="1" max="1" width="11.59765625" bestFit="1" customWidth="1"/>
    <col min="2" max="2" width="6.265625" bestFit="1" customWidth="1"/>
    <col min="3" max="3" width="12" bestFit="1" customWidth="1"/>
    <col min="7" max="8" width="11.59765625" bestFit="1" customWidth="1"/>
    <col min="9" max="9" width="12" bestFit="1" customWidth="1"/>
    <col min="10" max="10" width="11" bestFit="1" customWidth="1"/>
  </cols>
  <sheetData>
    <row r="2" spans="8:10" x14ac:dyDescent="0.45">
      <c r="H2" s="3" t="str">
        <f t="array" ref="H2:J6">[1]!sql(SQL!B9,retro)</f>
        <v>Team Count</v>
      </c>
      <c r="I2" s="3" t="str">
        <v>Count</v>
      </c>
      <c r="J2" s="3" t="str">
        <v>Percentage</v>
      </c>
    </row>
    <row r="3" spans="8:10" x14ac:dyDescent="0.45">
      <c r="H3">
        <v>1</v>
      </c>
      <c r="I3">
        <v>7</v>
      </c>
      <c r="J3" s="16">
        <v>9.8591549295774641E-2</v>
      </c>
    </row>
    <row r="4" spans="8:10" x14ac:dyDescent="0.45">
      <c r="H4">
        <v>2</v>
      </c>
      <c r="I4">
        <v>22</v>
      </c>
      <c r="J4" s="16">
        <v>0.30985915492957744</v>
      </c>
    </row>
    <row r="5" spans="8:10" x14ac:dyDescent="0.45">
      <c r="H5">
        <v>3</v>
      </c>
      <c r="I5">
        <v>23</v>
      </c>
      <c r="J5" s="16">
        <v>0.323943661971831</v>
      </c>
    </row>
    <row r="6" spans="8:10" x14ac:dyDescent="0.45">
      <c r="H6">
        <v>4</v>
      </c>
      <c r="I6">
        <v>19</v>
      </c>
      <c r="J6" s="16">
        <v>0.26760563380281688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AF77"/>
  <sheetViews>
    <sheetView tabSelected="1" topLeftCell="H1" zoomScaleNormal="100" workbookViewId="0">
      <pane ySplit="1" topLeftCell="A2" activePane="bottomLeft" state="frozenSplit"/>
      <selection pane="bottomLeft" activeCell="I36" sqref="I36"/>
    </sheetView>
  </sheetViews>
  <sheetFormatPr defaultColWidth="9.1328125" defaultRowHeight="14.25" x14ac:dyDescent="0.45"/>
  <cols>
    <col min="1" max="1" width="11" style="7" bestFit="1" customWidth="1"/>
    <col min="2" max="2" width="10.19921875" style="7" bestFit="1" customWidth="1"/>
    <col min="3" max="3" width="12.46484375" style="7" bestFit="1" customWidth="1"/>
    <col min="4" max="4" width="9.6640625" style="7" bestFit="1" customWidth="1"/>
    <col min="5" max="5" width="9.9296875" style="7" bestFit="1" customWidth="1"/>
    <col min="6" max="6" width="14.59765625" style="7" bestFit="1" customWidth="1"/>
    <col min="7" max="7" width="14.46484375" style="7" bestFit="1" customWidth="1"/>
    <col min="8" max="8" width="7.53125" style="7" bestFit="1" customWidth="1"/>
    <col min="9" max="9" width="6.73046875" style="7" bestFit="1" customWidth="1"/>
    <col min="10" max="10" width="10.46484375" style="7" bestFit="1" customWidth="1"/>
    <col min="11" max="11" width="7.53125" style="7" bestFit="1" customWidth="1"/>
    <col min="12" max="12" width="10.59765625" style="7" bestFit="1" customWidth="1"/>
    <col min="13" max="13" width="8.33203125" style="7" bestFit="1" customWidth="1"/>
    <col min="14" max="14" width="11" style="7" bestFit="1" customWidth="1"/>
    <col min="15" max="18" width="9" style="7" bestFit="1" customWidth="1"/>
    <col min="19" max="19" width="9" style="7" customWidth="1"/>
    <col min="20" max="20" width="8.06640625" style="7" bestFit="1" customWidth="1"/>
    <col min="21" max="21" width="10.86328125" style="7" bestFit="1" customWidth="1"/>
    <col min="22" max="22" width="12.73046875" style="7" bestFit="1" customWidth="1"/>
    <col min="23" max="23" width="11.6640625" style="7" bestFit="1" customWidth="1"/>
    <col min="24" max="24" width="11.53125" style="7" bestFit="1" customWidth="1"/>
    <col min="25" max="25" width="10.46484375" style="7" bestFit="1" customWidth="1"/>
    <col min="26" max="26" width="29.265625" style="7" bestFit="1" customWidth="1"/>
    <col min="27" max="27" width="28.86328125" style="7" bestFit="1" customWidth="1"/>
    <col min="28" max="28" width="29.9296875" style="7" bestFit="1" customWidth="1"/>
    <col min="29" max="29" width="34.33203125" style="7" bestFit="1" customWidth="1"/>
    <col min="30" max="30" width="22.73046875" style="7" bestFit="1" customWidth="1"/>
    <col min="31" max="16384" width="9.1328125" style="7"/>
  </cols>
  <sheetData>
    <row r="1" spans="1:32" s="97" customFormat="1" x14ac:dyDescent="0.45">
      <c r="A1" s="89" t="s">
        <v>507</v>
      </c>
      <c r="B1" s="89" t="s">
        <v>508</v>
      </c>
      <c r="C1" s="89" t="s">
        <v>509</v>
      </c>
      <c r="D1" s="89" t="s">
        <v>510</v>
      </c>
      <c r="E1" s="89" t="s">
        <v>511</v>
      </c>
      <c r="F1" s="89" t="s">
        <v>512</v>
      </c>
      <c r="G1" s="89" t="s">
        <v>513</v>
      </c>
      <c r="H1" s="89" t="s">
        <v>514</v>
      </c>
      <c r="I1" s="89" t="s">
        <v>346</v>
      </c>
      <c r="J1" s="89" t="s">
        <v>519</v>
      </c>
      <c r="K1" s="89" t="s">
        <v>515</v>
      </c>
      <c r="L1" s="89" t="s">
        <v>516</v>
      </c>
      <c r="M1" s="89" t="s">
        <v>517</v>
      </c>
      <c r="N1" s="89" t="s">
        <v>121</v>
      </c>
      <c r="O1" s="89" t="s">
        <v>0</v>
      </c>
      <c r="P1" s="89" t="s">
        <v>1</v>
      </c>
      <c r="Q1" s="89" t="s">
        <v>2</v>
      </c>
      <c r="R1" s="89" t="s">
        <v>3</v>
      </c>
      <c r="S1" s="89" t="s">
        <v>520</v>
      </c>
      <c r="T1" s="89" t="s">
        <v>122</v>
      </c>
      <c r="U1" s="89" t="s">
        <v>123</v>
      </c>
      <c r="V1" s="89" t="s">
        <v>8</v>
      </c>
      <c r="W1" s="89" t="s">
        <v>9</v>
      </c>
      <c r="X1" s="89" t="s">
        <v>35</v>
      </c>
      <c r="Y1" s="89" t="s">
        <v>124</v>
      </c>
      <c r="Z1" s="89" t="s">
        <v>4</v>
      </c>
      <c r="AA1" s="89" t="s">
        <v>501</v>
      </c>
      <c r="AB1" s="89" t="s">
        <v>5</v>
      </c>
      <c r="AC1" s="89" t="s">
        <v>6</v>
      </c>
      <c r="AD1" s="89" t="s">
        <v>7</v>
      </c>
      <c r="AE1" s="97" t="s">
        <v>521</v>
      </c>
    </row>
    <row r="2" spans="1:32" x14ac:dyDescent="0.45">
      <c r="A2" s="94"/>
      <c r="B2" s="88"/>
      <c r="C2" s="88"/>
      <c r="D2" s="88">
        <f>COUNTIF(tRetro[[#This Row],[Key 1]],tRetro[[#This Row],[MVP Key]])</f>
        <v>1</v>
      </c>
      <c r="E2" s="88">
        <f>COUNTIF(tRetro[[#This Row],[Key 1]],"&lt;&gt;"&amp;tRetro[[#This Row],[MVP Key]])</f>
        <v>0</v>
      </c>
      <c r="F2" s="95"/>
      <c r="G2" s="96" t="str">
        <f>MID(tRetro[[#This Row],[MVP_pos]],1,FIND(":",tRetro[[#This Row],[MVP_pos]])-1)</f>
        <v>QB</v>
      </c>
      <c r="H2" s="88">
        <f>INT(MID(tRetro[[#This Row],[Key 2]],1,1))</f>
        <v>2</v>
      </c>
      <c r="I2" s="88">
        <v>21341</v>
      </c>
      <c r="J2" s="88">
        <v>4269</v>
      </c>
      <c r="K2" s="88">
        <v>2</v>
      </c>
      <c r="L2" s="88">
        <v>2</v>
      </c>
      <c r="M2" s="88">
        <v>17</v>
      </c>
      <c r="N2" s="88" t="s">
        <v>12</v>
      </c>
      <c r="O2" s="88" t="s">
        <v>11</v>
      </c>
      <c r="P2" s="88" t="s">
        <v>13</v>
      </c>
      <c r="Q2" s="88" t="s">
        <v>14</v>
      </c>
      <c r="R2" s="88" t="s">
        <v>10</v>
      </c>
      <c r="S2" s="88"/>
      <c r="T2" s="88"/>
      <c r="U2" s="88">
        <v>2</v>
      </c>
      <c r="V2" s="88">
        <v>56000</v>
      </c>
      <c r="W2" s="88">
        <v>52.94</v>
      </c>
      <c r="X2" s="88">
        <v>15</v>
      </c>
      <c r="Y2" s="88">
        <v>118.18</v>
      </c>
      <c r="Z2" s="88" t="s">
        <v>125</v>
      </c>
      <c r="AA2" s="88" t="s">
        <v>126</v>
      </c>
      <c r="AB2" s="88" t="s">
        <v>127</v>
      </c>
      <c r="AC2" s="88" t="s">
        <v>128</v>
      </c>
      <c r="AD2" s="7" t="s">
        <v>518</v>
      </c>
      <c r="AF2" s="88"/>
    </row>
    <row r="3" spans="1:32" x14ac:dyDescent="0.45">
      <c r="D3" s="7">
        <f>COUNTIF(tRetro[[#This Row],[Key 1]],tRetro[[#This Row],[MVP Key]])</f>
        <v>0</v>
      </c>
      <c r="E3" s="7">
        <f>COUNTIF(tRetro[[#This Row],[Key 1]],"&lt;&gt;"&amp;tRetro[[#This Row],[MVP Key]])</f>
        <v>1</v>
      </c>
      <c r="G3" s="7" t="str">
        <f>MID(tRetro[[#This Row],[MVP_pos]],1,FIND(":",tRetro[[#This Row],[MVP_pos]])-1)</f>
        <v>RB</v>
      </c>
      <c r="H3" s="7">
        <f>INT(MID(tRetro[[#This Row],[Key 2]],1,1))</f>
        <v>3</v>
      </c>
      <c r="I3" s="88">
        <v>18307</v>
      </c>
      <c r="J3" s="88">
        <v>3662</v>
      </c>
      <c r="K3" s="88">
        <v>3</v>
      </c>
      <c r="L3" s="88">
        <v>4</v>
      </c>
      <c r="M3" s="88">
        <v>15</v>
      </c>
      <c r="N3" s="88" t="s">
        <v>15</v>
      </c>
      <c r="O3" s="88" t="s">
        <v>16</v>
      </c>
      <c r="P3" s="88" t="s">
        <v>17</v>
      </c>
      <c r="Q3" s="88" t="s">
        <v>18</v>
      </c>
      <c r="R3" s="88" t="s">
        <v>19</v>
      </c>
      <c r="S3" s="88"/>
      <c r="T3" s="88"/>
      <c r="U3" s="88">
        <v>3</v>
      </c>
      <c r="V3" s="88">
        <v>57500</v>
      </c>
      <c r="W3" s="88">
        <v>51.15</v>
      </c>
      <c r="X3" s="88">
        <v>59.95</v>
      </c>
      <c r="Y3" s="88">
        <v>133.19999999999999</v>
      </c>
      <c r="Z3" s="88" t="s">
        <v>129</v>
      </c>
      <c r="AA3" s="88" t="s">
        <v>130</v>
      </c>
      <c r="AB3" s="88" t="s">
        <v>131</v>
      </c>
      <c r="AC3" s="88" t="s">
        <v>132</v>
      </c>
      <c r="AD3" s="88" t="s">
        <v>522</v>
      </c>
    </row>
    <row r="4" spans="1:32" x14ac:dyDescent="0.45">
      <c r="D4" s="7">
        <f>COUNTIF(tRetro[[#This Row],[Key 1]],tRetro[[#This Row],[MVP Key]])</f>
        <v>0</v>
      </c>
      <c r="E4" s="7">
        <f>COUNTIF(tRetro[[#This Row],[Key 1]],"&lt;&gt;"&amp;tRetro[[#This Row],[MVP Key]])</f>
        <v>1</v>
      </c>
      <c r="G4" s="7" t="str">
        <f>MID(tRetro[[#This Row],[MVP_pos]],1,FIND(":",tRetro[[#This Row],[MVP_pos]])-1)</f>
        <v>WR1</v>
      </c>
      <c r="H4" s="7">
        <f>INT(MID(tRetro[[#This Row],[Key 2]],1,1))</f>
        <v>4</v>
      </c>
      <c r="I4" s="88">
        <v>46488</v>
      </c>
      <c r="J4" s="88">
        <v>9298</v>
      </c>
      <c r="K4" s="88">
        <v>4</v>
      </c>
      <c r="L4" s="88">
        <v>8</v>
      </c>
      <c r="M4" s="88">
        <v>10</v>
      </c>
      <c r="N4" s="88" t="s">
        <v>22</v>
      </c>
      <c r="O4" s="88" t="s">
        <v>24</v>
      </c>
      <c r="P4" s="88" t="s">
        <v>23</v>
      </c>
      <c r="Q4" s="88" t="s">
        <v>20</v>
      </c>
      <c r="R4" s="88" t="s">
        <v>21</v>
      </c>
      <c r="S4" s="88"/>
      <c r="T4" s="88"/>
      <c r="U4" s="88">
        <v>2</v>
      </c>
      <c r="V4" s="88">
        <v>54000</v>
      </c>
      <c r="W4" s="88">
        <v>61.11</v>
      </c>
      <c r="X4" s="88">
        <v>61.11</v>
      </c>
      <c r="Y4" s="88">
        <v>116.78</v>
      </c>
      <c r="Z4" s="88" t="s">
        <v>133</v>
      </c>
      <c r="AA4" s="88" t="s">
        <v>135</v>
      </c>
      <c r="AB4" s="88" t="s">
        <v>134</v>
      </c>
      <c r="AC4" s="88" t="s">
        <v>523</v>
      </c>
      <c r="AD4" s="88" t="s">
        <v>136</v>
      </c>
    </row>
    <row r="5" spans="1:32" x14ac:dyDescent="0.45">
      <c r="D5" s="7">
        <f>COUNTIF(tRetro[[#This Row],[Key 1]],tRetro[[#This Row],[MVP Key]])</f>
        <v>0</v>
      </c>
      <c r="E5" s="7">
        <f>COUNTIF(tRetro[[#This Row],[Key 1]],"&lt;&gt;"&amp;tRetro[[#This Row],[MVP Key]])</f>
        <v>1</v>
      </c>
      <c r="G5" s="7" t="str">
        <f>MID(tRetro[[#This Row],[MVP_pos]],1,FIND(":",tRetro[[#This Row],[MVP_pos]])-1)</f>
        <v>K</v>
      </c>
      <c r="H5" s="7">
        <f>INT(MID(tRetro[[#This Row],[Key 2]],1,1))</f>
        <v>1</v>
      </c>
      <c r="I5" s="88">
        <v>7478</v>
      </c>
      <c r="J5" s="88">
        <v>1496</v>
      </c>
      <c r="K5" s="88">
        <v>1</v>
      </c>
      <c r="L5" s="88">
        <v>12</v>
      </c>
      <c r="M5" s="88">
        <v>16</v>
      </c>
      <c r="N5" s="88" t="s">
        <v>25</v>
      </c>
      <c r="O5" s="88" t="s">
        <v>26</v>
      </c>
      <c r="P5" s="88" t="s">
        <v>27</v>
      </c>
      <c r="Q5" s="88" t="s">
        <v>28</v>
      </c>
      <c r="R5" s="88" t="s">
        <v>29</v>
      </c>
      <c r="S5" s="88"/>
      <c r="T5" s="88"/>
      <c r="U5" s="88">
        <v>2</v>
      </c>
      <c r="V5" s="88">
        <v>49500</v>
      </c>
      <c r="W5" s="88">
        <v>42.83</v>
      </c>
      <c r="X5" s="88">
        <v>42.83</v>
      </c>
      <c r="Y5" s="88">
        <v>119.6</v>
      </c>
      <c r="Z5" s="88" t="s">
        <v>137</v>
      </c>
      <c r="AA5" s="88" t="s">
        <v>139</v>
      </c>
      <c r="AB5" s="88" t="s">
        <v>138</v>
      </c>
      <c r="AC5" s="88" t="s">
        <v>140</v>
      </c>
      <c r="AD5" s="88" t="s">
        <v>524</v>
      </c>
      <c r="AE5" s="88"/>
    </row>
    <row r="6" spans="1:32" x14ac:dyDescent="0.45">
      <c r="D6" s="7">
        <f>COUNTIF(tRetro[[#This Row],[Key 1]],tRetro[[#This Row],[MVP Key]])</f>
        <v>1</v>
      </c>
      <c r="E6" s="7">
        <f>COUNTIF(tRetro[[#This Row],[Key 1]],"&lt;&gt;"&amp;tRetro[[#This Row],[MVP Key]])</f>
        <v>0</v>
      </c>
      <c r="G6" s="7" t="str">
        <f>MID(tRetro[[#This Row],[MVP_pos]],1,FIND(":",tRetro[[#This Row],[MVP_pos]])-1)</f>
        <v>QB</v>
      </c>
      <c r="H6" s="7">
        <f>INT(MID(tRetro[[#This Row],[Key 2]],1,1))</f>
        <v>1</v>
      </c>
      <c r="I6" s="88">
        <v>1876</v>
      </c>
      <c r="J6" s="88">
        <v>376</v>
      </c>
      <c r="K6" s="88">
        <v>1</v>
      </c>
      <c r="L6" s="88">
        <v>1</v>
      </c>
      <c r="M6" s="88">
        <v>13</v>
      </c>
      <c r="N6" s="88" t="s">
        <v>56</v>
      </c>
      <c r="O6" s="88" t="s">
        <v>57</v>
      </c>
      <c r="P6" s="88" t="s">
        <v>16</v>
      </c>
      <c r="Q6" s="88" t="s">
        <v>55</v>
      </c>
      <c r="R6" s="88" t="s">
        <v>54</v>
      </c>
      <c r="S6" s="88"/>
      <c r="T6" s="88"/>
      <c r="U6" s="88">
        <v>2</v>
      </c>
      <c r="V6" s="88">
        <v>59500</v>
      </c>
      <c r="W6" s="88">
        <v>44.52</v>
      </c>
      <c r="X6" s="88">
        <v>44.52</v>
      </c>
      <c r="Y6" s="88">
        <v>98.17</v>
      </c>
      <c r="Z6" s="88" t="s">
        <v>141</v>
      </c>
      <c r="AA6" s="88" t="s">
        <v>142</v>
      </c>
      <c r="AB6" s="88" t="s">
        <v>143</v>
      </c>
      <c r="AC6" s="88" t="s">
        <v>144</v>
      </c>
      <c r="AD6" s="88" t="s">
        <v>531</v>
      </c>
    </row>
    <row r="7" spans="1:32" x14ac:dyDescent="0.45">
      <c r="D7" s="7">
        <f>COUNTIF(tRetro[[#This Row],[Key 1]],tRetro[[#This Row],[MVP Key]])</f>
        <v>0</v>
      </c>
      <c r="E7" s="7">
        <f>COUNTIF(tRetro[[#This Row],[Key 1]],"&lt;&gt;"&amp;tRetro[[#This Row],[MVP Key]])</f>
        <v>1</v>
      </c>
      <c r="G7" s="7" t="str">
        <f>MID(tRetro[[#This Row],[MVP_pos]],1,FIND(":",tRetro[[#This Row],[MVP_pos]])-1)</f>
        <v>RB</v>
      </c>
      <c r="H7" s="7">
        <f>INT(MID(tRetro[[#This Row],[Key 2]],1,1))</f>
        <v>1</v>
      </c>
      <c r="I7" s="88">
        <v>8763</v>
      </c>
      <c r="J7" s="88">
        <v>1753</v>
      </c>
      <c r="K7" s="88">
        <v>1</v>
      </c>
      <c r="L7" s="88">
        <v>5</v>
      </c>
      <c r="M7" s="88">
        <v>16</v>
      </c>
      <c r="N7" s="88" t="s">
        <v>30</v>
      </c>
      <c r="O7" s="88" t="s">
        <v>32</v>
      </c>
      <c r="P7" s="88" t="s">
        <v>33</v>
      </c>
      <c r="Q7" s="88" t="s">
        <v>34</v>
      </c>
      <c r="R7" s="88" t="s">
        <v>31</v>
      </c>
      <c r="S7" s="88"/>
      <c r="T7" s="88"/>
      <c r="U7" s="88">
        <v>3</v>
      </c>
      <c r="V7" s="88">
        <v>57500</v>
      </c>
      <c r="W7" s="88">
        <v>69.680000000000007</v>
      </c>
      <c r="X7" s="88">
        <v>38</v>
      </c>
      <c r="Y7" s="88">
        <v>104.06</v>
      </c>
      <c r="Z7" s="88" t="s">
        <v>145</v>
      </c>
      <c r="AA7" s="88" t="s">
        <v>147</v>
      </c>
      <c r="AB7" s="88" t="s">
        <v>146</v>
      </c>
      <c r="AC7" s="88" t="s">
        <v>148</v>
      </c>
      <c r="AD7" s="88" t="s">
        <v>532</v>
      </c>
    </row>
    <row r="8" spans="1:32" x14ac:dyDescent="0.45">
      <c r="D8" s="7">
        <f>COUNTIF(tRetro[[#This Row],[Key 1]],tRetro[[#This Row],[MVP Key]])</f>
        <v>0</v>
      </c>
      <c r="E8" s="7">
        <f>COUNTIF(tRetro[[#This Row],[Key 1]],"&lt;&gt;"&amp;tRetro[[#This Row],[MVP Key]])</f>
        <v>1</v>
      </c>
      <c r="G8" s="7" t="str">
        <f>MID(tRetro[[#This Row],[MVP_pos]],1,FIND(":",tRetro[[#This Row],[MVP_pos]])-1)</f>
        <v>WR2</v>
      </c>
      <c r="H8" s="7">
        <f>INT(MID(tRetro[[#This Row],[Key 2]],1,1))</f>
        <v>1</v>
      </c>
      <c r="I8" s="88">
        <v>7957</v>
      </c>
      <c r="J8" s="88">
        <v>1592</v>
      </c>
      <c r="K8" s="88">
        <v>1</v>
      </c>
      <c r="L8" s="88">
        <v>3</v>
      </c>
      <c r="M8" s="88">
        <v>14</v>
      </c>
      <c r="N8" s="88" t="s">
        <v>47</v>
      </c>
      <c r="O8" s="88" t="s">
        <v>48</v>
      </c>
      <c r="P8" s="88" t="s">
        <v>50</v>
      </c>
      <c r="Q8" s="88" t="s">
        <v>49</v>
      </c>
      <c r="R8" s="88" t="s">
        <v>51</v>
      </c>
      <c r="S8" s="88"/>
      <c r="T8" s="88"/>
      <c r="U8" s="88">
        <v>4</v>
      </c>
      <c r="V8" s="88">
        <v>56000</v>
      </c>
      <c r="W8" s="88">
        <v>70.36</v>
      </c>
      <c r="X8" s="88">
        <v>104.3</v>
      </c>
      <c r="Y8" s="88">
        <v>100.05</v>
      </c>
      <c r="Z8" s="88" t="s">
        <v>149</v>
      </c>
      <c r="AA8" s="88" t="s">
        <v>150</v>
      </c>
      <c r="AB8" s="88" t="s">
        <v>152</v>
      </c>
      <c r="AC8" s="88" t="s">
        <v>151</v>
      </c>
      <c r="AD8" s="88" t="s">
        <v>533</v>
      </c>
    </row>
    <row r="9" spans="1:32" x14ac:dyDescent="0.45">
      <c r="D9" s="7">
        <f>COUNTIF(tRetro[[#This Row],[Key 1]],tRetro[[#This Row],[MVP Key]])</f>
        <v>1</v>
      </c>
      <c r="E9" s="7">
        <f>COUNTIF(tRetro[[#This Row],[Key 1]],"&lt;&gt;"&amp;tRetro[[#This Row],[MVP Key]])</f>
        <v>0</v>
      </c>
      <c r="G9" s="7" t="str">
        <f>MID(tRetro[[#This Row],[MVP_pos]],1,FIND(":",tRetro[[#This Row],[MVP_pos]])-1)</f>
        <v>QB</v>
      </c>
      <c r="H9" s="7">
        <f>INT(MID(tRetro[[#This Row],[Key 2]],1,1))</f>
        <v>1</v>
      </c>
      <c r="I9" s="88">
        <v>2556</v>
      </c>
      <c r="J9" s="88">
        <v>512</v>
      </c>
      <c r="K9" s="88">
        <v>1</v>
      </c>
      <c r="L9" s="88">
        <v>1</v>
      </c>
      <c r="M9" s="88">
        <v>22</v>
      </c>
      <c r="N9" s="88" t="s">
        <v>32</v>
      </c>
      <c r="O9" s="88" t="s">
        <v>30</v>
      </c>
      <c r="P9" s="88" t="s">
        <v>64</v>
      </c>
      <c r="Q9" s="88" t="s">
        <v>153</v>
      </c>
      <c r="R9" s="88" t="s">
        <v>525</v>
      </c>
      <c r="S9" s="88"/>
      <c r="T9" s="88"/>
      <c r="U9" s="88">
        <v>4</v>
      </c>
      <c r="V9" s="88">
        <v>59000</v>
      </c>
      <c r="W9" s="88">
        <v>54.42</v>
      </c>
      <c r="X9" s="88">
        <v>108.8</v>
      </c>
      <c r="Y9" s="88">
        <v>103.28</v>
      </c>
      <c r="Z9" s="88" t="s">
        <v>154</v>
      </c>
      <c r="AA9" s="88" t="s">
        <v>155</v>
      </c>
      <c r="AB9" s="88" t="s">
        <v>156</v>
      </c>
      <c r="AC9" s="88" t="s">
        <v>157</v>
      </c>
      <c r="AD9" s="88" t="s">
        <v>526</v>
      </c>
    </row>
    <row r="10" spans="1:32" x14ac:dyDescent="0.45">
      <c r="D10" s="7">
        <f>COUNTIF(tRetro[[#This Row],[Key 1]],tRetro[[#This Row],[MVP Key]])</f>
        <v>0</v>
      </c>
      <c r="E10" s="7">
        <f>COUNTIF(tRetro[[#This Row],[Key 1]],"&lt;&gt;"&amp;tRetro[[#This Row],[MVP Key]])</f>
        <v>1</v>
      </c>
      <c r="G10" s="7" t="str">
        <f>MID(tRetro[[#This Row],[MVP_pos]],1,FIND(":",tRetro[[#This Row],[MVP_pos]])-1)</f>
        <v>WR1</v>
      </c>
      <c r="H10" s="7">
        <f>INT(MID(tRetro[[#This Row],[Key 2]],1,1))</f>
        <v>1</v>
      </c>
      <c r="I10" s="88">
        <v>3812</v>
      </c>
      <c r="J10" s="88">
        <v>763</v>
      </c>
      <c r="K10" s="88">
        <v>1</v>
      </c>
      <c r="L10" s="88">
        <v>4</v>
      </c>
      <c r="M10" s="88">
        <v>11</v>
      </c>
      <c r="N10" s="88" t="s">
        <v>13</v>
      </c>
      <c r="O10" s="88" t="s">
        <v>62</v>
      </c>
      <c r="P10" s="88" t="s">
        <v>53</v>
      </c>
      <c r="Q10" s="88" t="s">
        <v>54</v>
      </c>
      <c r="R10" s="88" t="s">
        <v>63</v>
      </c>
      <c r="S10" s="88"/>
      <c r="T10" s="88"/>
      <c r="U10" s="88">
        <v>3</v>
      </c>
      <c r="V10" s="88">
        <v>60000</v>
      </c>
      <c r="W10" s="88">
        <v>58.79</v>
      </c>
      <c r="X10" s="88">
        <v>114.6</v>
      </c>
      <c r="Y10" s="88">
        <v>95.83</v>
      </c>
      <c r="Z10" s="88" t="s">
        <v>158</v>
      </c>
      <c r="AA10" s="88" t="s">
        <v>159</v>
      </c>
      <c r="AB10" s="88" t="s">
        <v>160</v>
      </c>
      <c r="AC10" s="88" t="s">
        <v>161</v>
      </c>
      <c r="AD10" s="88" t="s">
        <v>527</v>
      </c>
    </row>
    <row r="11" spans="1:32" x14ac:dyDescent="0.45">
      <c r="D11" s="7">
        <f>COUNTIF(tRetro[[#This Row],[Key 1]],tRetro[[#This Row],[MVP Key]])</f>
        <v>0</v>
      </c>
      <c r="E11" s="7">
        <f>COUNTIF(tRetro[[#This Row],[Key 1]],"&lt;&gt;"&amp;tRetro[[#This Row],[MVP Key]])</f>
        <v>1</v>
      </c>
      <c r="G11" s="7" t="str">
        <f>MID(tRetro[[#This Row],[MVP_pos]],1,FIND(":",tRetro[[#This Row],[MVP_pos]])-1)</f>
        <v>QB</v>
      </c>
      <c r="H11" s="7">
        <f>INT(MID(tRetro[[#This Row],[Key 2]],1,1))</f>
        <v>1</v>
      </c>
      <c r="I11" s="88">
        <v>8492</v>
      </c>
      <c r="J11" s="88">
        <v>1699</v>
      </c>
      <c r="K11" s="88">
        <v>1</v>
      </c>
      <c r="L11" s="88">
        <v>3</v>
      </c>
      <c r="M11" s="88">
        <v>18</v>
      </c>
      <c r="N11" s="88" t="s">
        <v>58</v>
      </c>
      <c r="O11" s="88" t="s">
        <v>59</v>
      </c>
      <c r="P11" s="88" t="s">
        <v>97</v>
      </c>
      <c r="Q11" s="88" t="s">
        <v>60</v>
      </c>
      <c r="R11" s="88" t="s">
        <v>61</v>
      </c>
      <c r="S11" s="88"/>
      <c r="T11" s="88"/>
      <c r="U11" s="88">
        <v>4</v>
      </c>
      <c r="V11" s="88">
        <v>56500</v>
      </c>
      <c r="W11" s="88">
        <v>52.41</v>
      </c>
      <c r="X11" s="88">
        <v>83.1</v>
      </c>
      <c r="Y11" s="88">
        <v>87.46</v>
      </c>
      <c r="Z11" s="88" t="s">
        <v>162</v>
      </c>
      <c r="AA11" s="88" t="s">
        <v>163</v>
      </c>
      <c r="AB11" s="88" t="s">
        <v>165</v>
      </c>
      <c r="AC11" s="88" t="s">
        <v>164</v>
      </c>
      <c r="AD11" s="88" t="s">
        <v>528</v>
      </c>
    </row>
    <row r="12" spans="1:32" x14ac:dyDescent="0.45">
      <c r="D12" s="7">
        <f>COUNTIF(tRetro[[#This Row],[Key 1]],tRetro[[#This Row],[MVP Key]])</f>
        <v>1</v>
      </c>
      <c r="E12" s="7">
        <f>COUNTIF(tRetro[[#This Row],[Key 1]],"&lt;&gt;"&amp;tRetro[[#This Row],[MVP Key]])</f>
        <v>0</v>
      </c>
      <c r="G12" s="7" t="str">
        <f>MID(tRetro[[#This Row],[MVP_pos]],1,FIND(":",tRetro[[#This Row],[MVP_pos]])-1)</f>
        <v>WR1</v>
      </c>
      <c r="H12" s="7">
        <f>INT(MID(tRetro[[#This Row],[Key 2]],1,1))</f>
        <v>1</v>
      </c>
      <c r="I12" s="88">
        <v>1</v>
      </c>
      <c r="J12" s="88">
        <v>1</v>
      </c>
      <c r="K12" s="88">
        <v>1</v>
      </c>
      <c r="L12" s="88">
        <v>1</v>
      </c>
      <c r="M12" s="88">
        <v>21</v>
      </c>
      <c r="N12" s="88" t="s">
        <v>65</v>
      </c>
      <c r="O12" s="88" t="s">
        <v>67</v>
      </c>
      <c r="P12" s="88" t="s">
        <v>66</v>
      </c>
      <c r="Q12" s="88" t="s">
        <v>68</v>
      </c>
      <c r="R12" s="88" t="s">
        <v>529</v>
      </c>
      <c r="S12" s="88"/>
      <c r="T12" s="88"/>
      <c r="U12" s="88">
        <v>2</v>
      </c>
      <c r="V12" s="88">
        <v>60000</v>
      </c>
      <c r="W12" s="88">
        <v>44.74</v>
      </c>
      <c r="X12" s="88">
        <v>82.8</v>
      </c>
      <c r="Y12" s="88">
        <v>122.22</v>
      </c>
      <c r="Z12" s="88" t="s">
        <v>166</v>
      </c>
      <c r="AA12" s="88" t="s">
        <v>167</v>
      </c>
      <c r="AB12" s="88" t="s">
        <v>168</v>
      </c>
      <c r="AC12" s="88" t="s">
        <v>169</v>
      </c>
      <c r="AD12" s="88" t="s">
        <v>530</v>
      </c>
    </row>
    <row r="13" spans="1:32" x14ac:dyDescent="0.45">
      <c r="D13" s="7">
        <f>COUNTIF(tRetro[[#This Row],[Key 1]],tRetro[[#This Row],[MVP Key]])</f>
        <v>0</v>
      </c>
      <c r="E13" s="7">
        <f>COUNTIF(tRetro[[#This Row],[Key 1]],"&lt;&gt;"&amp;tRetro[[#This Row],[MVP Key]])</f>
        <v>1</v>
      </c>
      <c r="G13" s="7" t="str">
        <f>MID(tRetro[[#This Row],[MVP_pos]],1,FIND(":",tRetro[[#This Row],[MVP_pos]])-1)</f>
        <v>RB</v>
      </c>
      <c r="H13" s="7">
        <f>INT(MID(tRetro[[#This Row],[Key 2]],1,1))</f>
        <v>2</v>
      </c>
      <c r="I13" s="88">
        <v>32747</v>
      </c>
      <c r="J13" s="88">
        <v>6550</v>
      </c>
      <c r="K13" s="88">
        <v>2</v>
      </c>
      <c r="L13" s="88">
        <v>3</v>
      </c>
      <c r="M13" s="88">
        <v>11</v>
      </c>
      <c r="N13" s="88" t="s">
        <v>75</v>
      </c>
      <c r="O13" s="88" t="s">
        <v>12</v>
      </c>
      <c r="P13" s="88" t="s">
        <v>476</v>
      </c>
      <c r="Q13" s="88" t="s">
        <v>76</v>
      </c>
      <c r="R13" s="88" t="s">
        <v>75</v>
      </c>
      <c r="S13" s="88"/>
      <c r="T13" s="88"/>
      <c r="U13" s="88">
        <v>4</v>
      </c>
      <c r="V13" s="88">
        <v>58500</v>
      </c>
      <c r="W13" s="88">
        <v>67.39</v>
      </c>
      <c r="X13" s="88">
        <v>67.39</v>
      </c>
      <c r="Y13" s="88">
        <v>115.54</v>
      </c>
      <c r="Z13" s="88" t="s">
        <v>170</v>
      </c>
      <c r="AA13" s="88" t="s">
        <v>171</v>
      </c>
      <c r="AB13" s="88" t="s">
        <v>172</v>
      </c>
      <c r="AC13" s="88" t="s">
        <v>173</v>
      </c>
      <c r="AD13" s="88" t="s">
        <v>534</v>
      </c>
    </row>
    <row r="14" spans="1:32" x14ac:dyDescent="0.45">
      <c r="D14" s="7">
        <f>COUNTIF(tRetro[[#This Row],[Key 1]],tRetro[[#This Row],[MVP Key]])</f>
        <v>1</v>
      </c>
      <c r="E14" s="7">
        <f>COUNTIF(tRetro[[#This Row],[Key 1]],"&lt;&gt;"&amp;tRetro[[#This Row],[MVP Key]])</f>
        <v>0</v>
      </c>
      <c r="G14" s="7" t="str">
        <f>MID(tRetro[[#This Row],[MVP_pos]],1,FIND(":",tRetro[[#This Row],[MVP_pos]])-1)</f>
        <v>WR1</v>
      </c>
      <c r="H14" s="7">
        <f>INT(MID(tRetro[[#This Row],[Key 2]],1,1))</f>
        <v>2</v>
      </c>
      <c r="I14" s="88">
        <v>14371</v>
      </c>
      <c r="J14" s="88">
        <v>2875</v>
      </c>
      <c r="K14" s="88">
        <v>2</v>
      </c>
      <c r="L14" s="88">
        <v>2</v>
      </c>
      <c r="M14" s="88">
        <v>15</v>
      </c>
      <c r="N14" s="88" t="s">
        <v>70</v>
      </c>
      <c r="O14" s="88" t="s">
        <v>74</v>
      </c>
      <c r="P14" s="88" t="s">
        <v>71</v>
      </c>
      <c r="Q14" s="88" t="s">
        <v>72</v>
      </c>
      <c r="R14" s="88" t="s">
        <v>73</v>
      </c>
      <c r="S14" s="88"/>
      <c r="T14" s="88"/>
      <c r="U14" s="88">
        <v>3</v>
      </c>
      <c r="V14" s="88">
        <v>56000</v>
      </c>
      <c r="W14" s="88">
        <v>49.9</v>
      </c>
      <c r="X14" s="88">
        <v>140.69999999999999</v>
      </c>
      <c r="Y14" s="88">
        <v>94.45</v>
      </c>
      <c r="Z14" s="88" t="s">
        <v>174</v>
      </c>
      <c r="AA14" s="88" t="s">
        <v>175</v>
      </c>
      <c r="AB14" s="88" t="s">
        <v>176</v>
      </c>
      <c r="AC14" s="88" t="s">
        <v>177</v>
      </c>
      <c r="AD14" s="88" t="s">
        <v>535</v>
      </c>
    </row>
    <row r="15" spans="1:32" x14ac:dyDescent="0.45">
      <c r="D15" s="7">
        <f>COUNTIF(tRetro[[#This Row],[Key 1]],tRetro[[#This Row],[MVP Key]])</f>
        <v>0</v>
      </c>
      <c r="E15" s="7">
        <f>COUNTIF(tRetro[[#This Row],[Key 1]],"&lt;&gt;"&amp;tRetro[[#This Row],[MVP Key]])</f>
        <v>1</v>
      </c>
      <c r="G15" s="7" t="str">
        <f>MID(tRetro[[#This Row],[MVP_pos]],1,FIND(":",tRetro[[#This Row],[MVP_pos]])-1)</f>
        <v>WR1</v>
      </c>
      <c r="H15" s="7">
        <f>INT(MID(tRetro[[#This Row],[Key 2]],1,1))</f>
        <v>2</v>
      </c>
      <c r="I15" s="88">
        <v>14372</v>
      </c>
      <c r="J15" s="88">
        <v>2875</v>
      </c>
      <c r="K15" s="88">
        <v>2</v>
      </c>
      <c r="L15" s="88">
        <v>3</v>
      </c>
      <c r="M15" s="88">
        <v>15</v>
      </c>
      <c r="N15" s="88" t="s">
        <v>74</v>
      </c>
      <c r="O15" s="88" t="s">
        <v>70</v>
      </c>
      <c r="P15" s="88" t="s">
        <v>71</v>
      </c>
      <c r="Q15" s="88" t="s">
        <v>72</v>
      </c>
      <c r="R15" s="88" t="s">
        <v>73</v>
      </c>
      <c r="S15" s="88"/>
      <c r="T15" s="88"/>
      <c r="U15" s="88">
        <v>3</v>
      </c>
      <c r="V15" s="88">
        <v>56000</v>
      </c>
      <c r="W15" s="88">
        <v>49.9</v>
      </c>
      <c r="X15" s="88">
        <v>140.69999999999999</v>
      </c>
      <c r="Y15" s="88">
        <v>94.45</v>
      </c>
      <c r="Z15" s="88" t="s">
        <v>175</v>
      </c>
      <c r="AA15" s="88" t="s">
        <v>174</v>
      </c>
      <c r="AB15" s="88" t="s">
        <v>176</v>
      </c>
      <c r="AC15" s="88" t="s">
        <v>177</v>
      </c>
      <c r="AD15" s="88" t="s">
        <v>535</v>
      </c>
    </row>
    <row r="16" spans="1:32" x14ac:dyDescent="0.45">
      <c r="D16" s="7">
        <f>COUNTIF(tRetro[[#This Row],[Key 1]],tRetro[[#This Row],[MVP Key]])</f>
        <v>0</v>
      </c>
      <c r="E16" s="7">
        <f>COUNTIF(tRetro[[#This Row],[Key 1]],"&lt;&gt;"&amp;tRetro[[#This Row],[MVP Key]])</f>
        <v>1</v>
      </c>
      <c r="G16" s="7" t="str">
        <f>MID(tRetro[[#This Row],[MVP_pos]],1,FIND(":",tRetro[[#This Row],[MVP_pos]])-1)</f>
        <v>RB</v>
      </c>
      <c r="H16" s="7">
        <f>INT(MID(tRetro[[#This Row],[Key 2]],1,1))</f>
        <v>2</v>
      </c>
      <c r="I16" s="88">
        <v>47949</v>
      </c>
      <c r="J16" s="88">
        <v>9590</v>
      </c>
      <c r="K16" s="88">
        <v>2</v>
      </c>
      <c r="L16" s="88">
        <v>7</v>
      </c>
      <c r="M16" s="88">
        <v>16</v>
      </c>
      <c r="N16" s="88" t="s">
        <v>81</v>
      </c>
      <c r="O16" s="88" t="s">
        <v>84</v>
      </c>
      <c r="P16" s="88" t="s">
        <v>83</v>
      </c>
      <c r="Q16" s="88" t="s">
        <v>82</v>
      </c>
      <c r="R16" s="88" t="s">
        <v>178</v>
      </c>
      <c r="S16" s="88"/>
      <c r="T16" s="88"/>
      <c r="U16" s="88">
        <v>2</v>
      </c>
      <c r="V16" s="88">
        <v>57500</v>
      </c>
      <c r="W16" s="88">
        <v>70.569999999999993</v>
      </c>
      <c r="X16" s="88">
        <v>155.30000000000001</v>
      </c>
      <c r="Y16" s="88">
        <v>129.18</v>
      </c>
      <c r="Z16" s="88" t="s">
        <v>179</v>
      </c>
      <c r="AA16" s="88" t="s">
        <v>182</v>
      </c>
      <c r="AB16" s="88" t="s">
        <v>180</v>
      </c>
      <c r="AC16" s="88" t="s">
        <v>181</v>
      </c>
      <c r="AD16" s="88" t="s">
        <v>536</v>
      </c>
    </row>
    <row r="17" spans="4:30" x14ac:dyDescent="0.45">
      <c r="D17" s="7">
        <f>COUNTIF(tRetro[[#This Row],[Key 1]],tRetro[[#This Row],[MVP Key]])</f>
        <v>0</v>
      </c>
      <c r="E17" s="7">
        <f>COUNTIF(tRetro[[#This Row],[Key 1]],"&lt;&gt;"&amp;tRetro[[#This Row],[MVP Key]])</f>
        <v>1</v>
      </c>
      <c r="G17" s="7" t="str">
        <f>MID(tRetro[[#This Row],[MVP_pos]],1,FIND(":",tRetro[[#This Row],[MVP_pos]])-1)</f>
        <v>RB</v>
      </c>
      <c r="H17" s="7">
        <f>INT(MID(tRetro[[#This Row],[Key 2]],1,1))</f>
        <v>4</v>
      </c>
      <c r="I17" s="88">
        <v>104479</v>
      </c>
      <c r="J17" s="88">
        <v>20896</v>
      </c>
      <c r="K17" s="88">
        <v>4</v>
      </c>
      <c r="L17" s="88">
        <v>7</v>
      </c>
      <c r="M17" s="88">
        <v>8</v>
      </c>
      <c r="N17" s="88" t="s">
        <v>81</v>
      </c>
      <c r="O17" s="88" t="s">
        <v>83</v>
      </c>
      <c r="P17" s="88" t="s">
        <v>82</v>
      </c>
      <c r="Q17" s="88" t="s">
        <v>84</v>
      </c>
      <c r="R17" s="88" t="s">
        <v>20</v>
      </c>
      <c r="S17" s="88"/>
      <c r="T17" s="88"/>
      <c r="U17" s="88">
        <v>2</v>
      </c>
      <c r="V17" s="88">
        <v>59500</v>
      </c>
      <c r="W17" s="88">
        <v>82.83</v>
      </c>
      <c r="X17" s="88">
        <v>191.7</v>
      </c>
      <c r="Y17" s="88">
        <v>129.18</v>
      </c>
      <c r="Z17" s="88" t="s">
        <v>179</v>
      </c>
      <c r="AA17" s="88" t="s">
        <v>180</v>
      </c>
      <c r="AB17" s="88" t="s">
        <v>181</v>
      </c>
      <c r="AC17" s="88" t="s">
        <v>183</v>
      </c>
      <c r="AD17" s="88" t="s">
        <v>537</v>
      </c>
    </row>
    <row r="18" spans="4:30" x14ac:dyDescent="0.45">
      <c r="D18" s="7">
        <f>COUNTIF(tRetro[[#This Row],[Key 1]],tRetro[[#This Row],[MVP Key]])</f>
        <v>0</v>
      </c>
      <c r="E18" s="7">
        <f>COUNTIF(tRetro[[#This Row],[Key 1]],"&lt;&gt;"&amp;tRetro[[#This Row],[MVP Key]])</f>
        <v>1</v>
      </c>
      <c r="G18" s="7" t="str">
        <f>MID(tRetro[[#This Row],[MVP_pos]],1,FIND(":",tRetro[[#This Row],[MVP_pos]])-1)</f>
        <v>K</v>
      </c>
      <c r="H18" s="7">
        <f>INT(MID(tRetro[[#This Row],[Key 2]],1,1))</f>
        <v>3</v>
      </c>
      <c r="I18" s="88">
        <v>46009</v>
      </c>
      <c r="J18" s="88">
        <v>9202</v>
      </c>
      <c r="K18" s="88">
        <v>3</v>
      </c>
      <c r="L18" s="88">
        <v>12</v>
      </c>
      <c r="M18" s="88">
        <v>17</v>
      </c>
      <c r="N18" s="88" t="s">
        <v>77</v>
      </c>
      <c r="O18" s="88" t="s">
        <v>80</v>
      </c>
      <c r="P18" s="88" t="s">
        <v>79</v>
      </c>
      <c r="Q18" s="88" t="s">
        <v>78</v>
      </c>
      <c r="R18" s="88" t="s">
        <v>79</v>
      </c>
      <c r="S18" s="88"/>
      <c r="T18" s="88"/>
      <c r="U18" s="88">
        <v>1</v>
      </c>
      <c r="V18" s="88">
        <v>53000</v>
      </c>
      <c r="W18" s="88">
        <v>29.79</v>
      </c>
      <c r="X18" s="88">
        <v>86.3</v>
      </c>
      <c r="Y18" s="88">
        <v>86.54</v>
      </c>
      <c r="Z18" s="88" t="s">
        <v>184</v>
      </c>
      <c r="AA18" s="88" t="s">
        <v>187</v>
      </c>
      <c r="AB18" s="88" t="s">
        <v>185</v>
      </c>
      <c r="AC18" s="88" t="s">
        <v>186</v>
      </c>
      <c r="AD18" s="88" t="s">
        <v>538</v>
      </c>
    </row>
    <row r="19" spans="4:30" x14ac:dyDescent="0.45">
      <c r="D19" s="7">
        <f>COUNTIF(tRetro[[#This Row],[Key 1]],tRetro[[#This Row],[MVP Key]])</f>
        <v>1</v>
      </c>
      <c r="E19" s="7">
        <f>COUNTIF(tRetro[[#This Row],[Key 1]],"&lt;&gt;"&amp;tRetro[[#This Row],[MVP Key]])</f>
        <v>0</v>
      </c>
      <c r="G19" s="7" t="str">
        <f>MID(tRetro[[#This Row],[MVP_pos]],1,FIND(":",tRetro[[#This Row],[MVP_pos]])-1)</f>
        <v>QB</v>
      </c>
      <c r="H19" s="7">
        <f>INT(MID(tRetro[[#This Row],[Key 2]],1,1))</f>
        <v>2</v>
      </c>
      <c r="I19" s="88">
        <v>70436</v>
      </c>
      <c r="J19" s="88">
        <v>14088</v>
      </c>
      <c r="K19" s="88">
        <v>2</v>
      </c>
      <c r="L19" s="88">
        <v>2</v>
      </c>
      <c r="M19" s="88">
        <v>22</v>
      </c>
      <c r="N19" s="88" t="s">
        <v>85</v>
      </c>
      <c r="O19" s="88" t="s">
        <v>86</v>
      </c>
      <c r="P19" s="88" t="s">
        <v>73</v>
      </c>
      <c r="Q19" s="88" t="s">
        <v>87</v>
      </c>
      <c r="R19" s="88" t="s">
        <v>539</v>
      </c>
      <c r="S19" s="88"/>
      <c r="T19" s="88"/>
      <c r="U19" s="88">
        <v>3</v>
      </c>
      <c r="V19" s="88">
        <v>57500</v>
      </c>
      <c r="W19" s="88">
        <v>54.07</v>
      </c>
      <c r="X19" s="88">
        <v>208.2</v>
      </c>
      <c r="Y19" s="88">
        <v>93.91</v>
      </c>
      <c r="Z19" s="88" t="s">
        <v>189</v>
      </c>
      <c r="AA19" s="88" t="s">
        <v>190</v>
      </c>
      <c r="AB19" s="88" t="s">
        <v>191</v>
      </c>
      <c r="AC19" s="88" t="s">
        <v>192</v>
      </c>
      <c r="AD19" s="88" t="s">
        <v>540</v>
      </c>
    </row>
    <row r="20" spans="4:30" x14ac:dyDescent="0.45">
      <c r="D20" s="7">
        <f>COUNTIF(tRetro[[#This Row],[Key 1]],tRetro[[#This Row],[MVP Key]])</f>
        <v>0</v>
      </c>
      <c r="E20" s="7">
        <f>COUNTIF(tRetro[[#This Row],[Key 1]],"&lt;&gt;"&amp;tRetro[[#This Row],[MVP Key]])</f>
        <v>1</v>
      </c>
      <c r="G20" s="7" t="str">
        <f>MID(tRetro[[#This Row],[MVP_pos]],1,FIND(":",tRetro[[#This Row],[MVP_pos]])-1)</f>
        <v>RB</v>
      </c>
      <c r="H20" s="7">
        <f>INT(MID(tRetro[[#This Row],[Key 2]],1,1))</f>
        <v>2</v>
      </c>
      <c r="I20" s="88">
        <v>45697</v>
      </c>
      <c r="J20" s="88">
        <v>9140</v>
      </c>
      <c r="K20" s="88">
        <v>2</v>
      </c>
      <c r="L20" s="88">
        <v>5</v>
      </c>
      <c r="M20" s="88">
        <v>13</v>
      </c>
      <c r="N20" s="88" t="s">
        <v>11</v>
      </c>
      <c r="O20" s="88" t="s">
        <v>62</v>
      </c>
      <c r="P20" s="88" t="s">
        <v>88</v>
      </c>
      <c r="Q20" s="88" t="s">
        <v>63</v>
      </c>
      <c r="R20" s="88" t="s">
        <v>89</v>
      </c>
      <c r="S20" s="88"/>
      <c r="T20" s="88"/>
      <c r="U20" s="88">
        <v>4</v>
      </c>
      <c r="V20" s="88">
        <v>54000</v>
      </c>
      <c r="W20" s="88">
        <v>49.94</v>
      </c>
      <c r="X20" s="88">
        <v>162.6</v>
      </c>
      <c r="Y20" s="88">
        <v>99.34</v>
      </c>
      <c r="Z20" s="88" t="s">
        <v>193</v>
      </c>
      <c r="AA20" s="88" t="s">
        <v>194</v>
      </c>
      <c r="AB20" s="88" t="s">
        <v>195</v>
      </c>
      <c r="AC20" s="88" t="s">
        <v>196</v>
      </c>
      <c r="AD20" s="88" t="s">
        <v>541</v>
      </c>
    </row>
    <row r="21" spans="4:30" x14ac:dyDescent="0.45">
      <c r="D21" s="7">
        <f>COUNTIF(tRetro[[#This Row],[Key 1]],tRetro[[#This Row],[MVP Key]])</f>
        <v>0</v>
      </c>
      <c r="E21" s="7">
        <f>COUNTIF(tRetro[[#This Row],[Key 1]],"&lt;&gt;"&amp;tRetro[[#This Row],[MVP Key]])</f>
        <v>1</v>
      </c>
      <c r="G21" s="7" t="str">
        <f>MID(tRetro[[#This Row],[MVP_pos]],1,FIND(":",tRetro[[#This Row],[MVP_pos]])-1)</f>
        <v>QB</v>
      </c>
      <c r="H21" s="7">
        <f>INT(MID(tRetro[[#This Row],[Key 2]],1,1))</f>
        <v>1</v>
      </c>
      <c r="I21" s="88">
        <v>4612</v>
      </c>
      <c r="J21" s="88">
        <v>923</v>
      </c>
      <c r="K21" s="88">
        <v>1</v>
      </c>
      <c r="L21" s="88">
        <v>4</v>
      </c>
      <c r="M21" s="88">
        <v>15</v>
      </c>
      <c r="N21" s="88" t="s">
        <v>57</v>
      </c>
      <c r="O21" s="88" t="s">
        <v>45</v>
      </c>
      <c r="P21" s="88" t="s">
        <v>53</v>
      </c>
      <c r="Q21" s="88" t="s">
        <v>55</v>
      </c>
      <c r="R21" s="88" t="s">
        <v>54</v>
      </c>
      <c r="S21" s="88"/>
      <c r="T21" s="88"/>
      <c r="U21" s="88">
        <v>1</v>
      </c>
      <c r="V21" s="88">
        <v>58500</v>
      </c>
      <c r="W21" s="88">
        <v>64.06</v>
      </c>
      <c r="X21" s="88">
        <v>253.3</v>
      </c>
      <c r="Y21" s="88">
        <v>158.34</v>
      </c>
      <c r="Z21" s="88" t="s">
        <v>197</v>
      </c>
      <c r="AA21" s="88" t="s">
        <v>198</v>
      </c>
      <c r="AB21" s="88" t="s">
        <v>199</v>
      </c>
      <c r="AC21" s="88" t="s">
        <v>200</v>
      </c>
      <c r="AD21" s="88" t="s">
        <v>542</v>
      </c>
    </row>
    <row r="22" spans="4:30" x14ac:dyDescent="0.45">
      <c r="D22" s="7">
        <f>COUNTIF(tRetro[[#This Row],[Key 1]],tRetro[[#This Row],[MVP Key]])</f>
        <v>1</v>
      </c>
      <c r="E22" s="7">
        <f>COUNTIF(tRetro[[#This Row],[Key 1]],"&lt;&gt;"&amp;tRetro[[#This Row],[MVP Key]])</f>
        <v>0</v>
      </c>
      <c r="G22" s="7" t="str">
        <f>MID(tRetro[[#This Row],[MVP_pos]],1,FIND(":",tRetro[[#This Row],[MVP_pos]])-1)</f>
        <v>WR1</v>
      </c>
      <c r="H22" s="7">
        <f>INT(MID(tRetro[[#This Row],[Key 2]],1,1))</f>
        <v>2</v>
      </c>
      <c r="I22" s="88">
        <v>16841</v>
      </c>
      <c r="J22" s="88">
        <v>3369</v>
      </c>
      <c r="K22" s="88">
        <v>2</v>
      </c>
      <c r="L22" s="88">
        <v>2</v>
      </c>
      <c r="M22" s="88">
        <v>21</v>
      </c>
      <c r="N22" s="88" t="s">
        <v>96</v>
      </c>
      <c r="O22" s="88" t="s">
        <v>59</v>
      </c>
      <c r="P22" s="88" t="s">
        <v>58</v>
      </c>
      <c r="Q22" s="88" t="s">
        <v>97</v>
      </c>
      <c r="R22" s="88" t="s">
        <v>525</v>
      </c>
      <c r="S22" s="88"/>
      <c r="T22" s="88"/>
      <c r="U22" s="88">
        <v>4</v>
      </c>
      <c r="V22" s="88">
        <v>58500</v>
      </c>
      <c r="W22" s="88">
        <v>53.52</v>
      </c>
      <c r="X22" s="88">
        <v>264.60000000000002</v>
      </c>
      <c r="Y22" s="88">
        <v>116.81</v>
      </c>
      <c r="Z22" s="88" t="s">
        <v>201</v>
      </c>
      <c r="AA22" s="88" t="s">
        <v>202</v>
      </c>
      <c r="AB22" s="88" t="s">
        <v>203</v>
      </c>
      <c r="AC22" s="88" t="s">
        <v>204</v>
      </c>
      <c r="AD22" s="88" t="s">
        <v>543</v>
      </c>
    </row>
    <row r="23" spans="4:30" x14ac:dyDescent="0.45">
      <c r="D23" s="7">
        <f>COUNTIF(tRetro[[#This Row],[Key 1]],tRetro[[#This Row],[MVP Key]])</f>
        <v>1</v>
      </c>
      <c r="E23" s="7">
        <f>COUNTIF(tRetro[[#This Row],[Key 1]],"&lt;&gt;"&amp;tRetro[[#This Row],[MVP Key]])</f>
        <v>0</v>
      </c>
      <c r="G23" s="7" t="str">
        <f>MID(tRetro[[#This Row],[MVP_pos]],1,FIND(":",tRetro[[#This Row],[MVP_pos]])-1)</f>
        <v>QB</v>
      </c>
      <c r="H23" s="7">
        <f>INT(MID(tRetro[[#This Row],[Key 2]],1,1))</f>
        <v>2</v>
      </c>
      <c r="I23" s="88">
        <v>11066</v>
      </c>
      <c r="J23" s="88">
        <v>2214</v>
      </c>
      <c r="K23" s="88">
        <v>2</v>
      </c>
      <c r="L23" s="88">
        <v>2</v>
      </c>
      <c r="M23" s="88">
        <v>9</v>
      </c>
      <c r="N23" s="88" t="s">
        <v>66</v>
      </c>
      <c r="O23" s="88" t="s">
        <v>93</v>
      </c>
      <c r="P23" s="88" t="s">
        <v>544</v>
      </c>
      <c r="Q23" s="88" t="s">
        <v>545</v>
      </c>
      <c r="R23" s="88" t="s">
        <v>71</v>
      </c>
      <c r="S23" s="88"/>
      <c r="T23" s="88"/>
      <c r="U23" s="88">
        <v>2</v>
      </c>
      <c r="V23" s="88">
        <v>58500</v>
      </c>
      <c r="W23" s="88">
        <v>61.16</v>
      </c>
      <c r="X23" s="88">
        <v>293.8</v>
      </c>
      <c r="Y23" s="88">
        <v>84.33</v>
      </c>
      <c r="Z23" s="88" t="s">
        <v>205</v>
      </c>
      <c r="AA23" s="88" t="s">
        <v>206</v>
      </c>
      <c r="AB23" s="88" t="s">
        <v>207</v>
      </c>
      <c r="AC23" s="88" t="s">
        <v>208</v>
      </c>
      <c r="AD23" s="88" t="s">
        <v>546</v>
      </c>
    </row>
    <row r="24" spans="4:30" x14ac:dyDescent="0.45">
      <c r="D24" s="7">
        <f>COUNTIF(tRetro[[#This Row],[Key 1]],tRetro[[#This Row],[MVP Key]])</f>
        <v>0</v>
      </c>
      <c r="E24" s="7">
        <f>COUNTIF(tRetro[[#This Row],[Key 1]],"&lt;&gt;"&amp;tRetro[[#This Row],[MVP Key]])</f>
        <v>1</v>
      </c>
      <c r="G24" s="7" t="str">
        <f>MID(tRetro[[#This Row],[MVP_pos]],1,FIND(":",tRetro[[#This Row],[MVP_pos]])-1)</f>
        <v>QB</v>
      </c>
      <c r="H24" s="7">
        <f>INT(MID(tRetro[[#This Row],[Key 2]],1,1))</f>
        <v>2</v>
      </c>
      <c r="I24" s="88">
        <v>38122</v>
      </c>
      <c r="J24" s="88">
        <v>7625</v>
      </c>
      <c r="K24" s="88">
        <v>2</v>
      </c>
      <c r="L24" s="88">
        <v>4</v>
      </c>
      <c r="M24" s="88">
        <v>10</v>
      </c>
      <c r="N24" s="88" t="s">
        <v>90</v>
      </c>
      <c r="O24" s="88" t="s">
        <v>83</v>
      </c>
      <c r="P24" s="88" t="s">
        <v>27</v>
      </c>
      <c r="Q24" s="88" t="s">
        <v>91</v>
      </c>
      <c r="R24" s="88" t="s">
        <v>92</v>
      </c>
      <c r="S24" s="88"/>
      <c r="T24" s="88"/>
      <c r="U24" s="88">
        <v>2</v>
      </c>
      <c r="V24" s="88">
        <v>60000</v>
      </c>
      <c r="W24" s="88">
        <v>68.98</v>
      </c>
      <c r="X24" s="88">
        <v>308.8</v>
      </c>
      <c r="Y24" s="88">
        <v>110.63</v>
      </c>
      <c r="Z24" s="88" t="s">
        <v>209</v>
      </c>
      <c r="AA24" s="88" t="s">
        <v>210</v>
      </c>
      <c r="AB24" s="88" t="s">
        <v>211</v>
      </c>
      <c r="AC24" s="88" t="s">
        <v>212</v>
      </c>
      <c r="AD24" s="88" t="s">
        <v>547</v>
      </c>
    </row>
    <row r="25" spans="4:30" x14ac:dyDescent="0.45">
      <c r="D25" s="7">
        <f>COUNTIF(tRetro[[#This Row],[Key 1]],tRetro[[#This Row],[MVP Key]])</f>
        <v>1</v>
      </c>
      <c r="E25" s="7">
        <f>COUNTIF(tRetro[[#This Row],[Key 1]],"&lt;&gt;"&amp;tRetro[[#This Row],[MVP Key]])</f>
        <v>0</v>
      </c>
      <c r="G25" s="7" t="str">
        <f>MID(tRetro[[#This Row],[MVP_pos]],1,FIND(":",tRetro[[#This Row],[MVP_pos]])-1)</f>
        <v>QB</v>
      </c>
      <c r="H25" s="7">
        <f>INT(MID(tRetro[[#This Row],[Key 2]],1,1))</f>
        <v>1</v>
      </c>
      <c r="I25" s="88">
        <v>3466</v>
      </c>
      <c r="J25" s="88">
        <v>694</v>
      </c>
      <c r="K25" s="88">
        <v>1</v>
      </c>
      <c r="L25" s="88">
        <v>1</v>
      </c>
      <c r="M25" s="88">
        <v>17</v>
      </c>
      <c r="N25" s="88" t="s">
        <v>12</v>
      </c>
      <c r="O25" s="88" t="s">
        <v>45</v>
      </c>
      <c r="P25" s="88" t="s">
        <v>548</v>
      </c>
      <c r="Q25" s="88" t="s">
        <v>305</v>
      </c>
      <c r="R25" s="88" t="s">
        <v>110</v>
      </c>
      <c r="S25" s="88"/>
      <c r="T25" s="88"/>
      <c r="U25" s="88">
        <v>3</v>
      </c>
      <c r="V25" s="88">
        <v>58500</v>
      </c>
      <c r="W25" s="88">
        <v>71.23</v>
      </c>
      <c r="X25" s="88">
        <v>404.5</v>
      </c>
      <c r="Y25" s="88">
        <v>150.9</v>
      </c>
      <c r="Z25" s="88" t="s">
        <v>112</v>
      </c>
      <c r="AA25" s="88" t="s">
        <v>113</v>
      </c>
      <c r="AB25" s="88" t="s">
        <v>214</v>
      </c>
      <c r="AC25" s="88" t="s">
        <v>114</v>
      </c>
      <c r="AD25" s="88" t="s">
        <v>549</v>
      </c>
    </row>
    <row r="26" spans="4:30" x14ac:dyDescent="0.45">
      <c r="D26" s="7">
        <f>COUNTIF(tRetro[[#This Row],[Key 1]],tRetro[[#This Row],[MVP Key]])</f>
        <v>0</v>
      </c>
      <c r="E26" s="7">
        <f>COUNTIF(tRetro[[#This Row],[Key 1]],"&lt;&gt;"&amp;tRetro[[#This Row],[MVP Key]])</f>
        <v>1</v>
      </c>
      <c r="G26" s="7" t="str">
        <f>MID(tRetro[[#This Row],[MVP_pos]],1,FIND(":",tRetro[[#This Row],[MVP_pos]])-1)</f>
        <v>RB1</v>
      </c>
      <c r="H26" s="7">
        <f>INT(MID(tRetro[[#This Row],[Key 2]],1,1))</f>
        <v>2</v>
      </c>
      <c r="I26" s="88">
        <v>40347</v>
      </c>
      <c r="J26" s="88">
        <v>8070</v>
      </c>
      <c r="K26" s="88">
        <v>2</v>
      </c>
      <c r="L26" s="88">
        <v>4</v>
      </c>
      <c r="M26" s="88">
        <v>18</v>
      </c>
      <c r="N26" s="88" t="s">
        <v>550</v>
      </c>
      <c r="O26" s="88" t="s">
        <v>99</v>
      </c>
      <c r="P26" s="88" t="s">
        <v>101</v>
      </c>
      <c r="Q26" s="88" t="s">
        <v>100</v>
      </c>
      <c r="R26" s="88" t="s">
        <v>551</v>
      </c>
      <c r="S26" s="88"/>
      <c r="T26" s="88"/>
      <c r="U26" s="88">
        <v>4</v>
      </c>
      <c r="V26" s="88">
        <v>50500</v>
      </c>
      <c r="W26" s="88">
        <v>43.01</v>
      </c>
      <c r="X26" s="88">
        <v>255.5</v>
      </c>
      <c r="Y26" s="88">
        <v>103.66</v>
      </c>
      <c r="Z26" s="88" t="s">
        <v>216</v>
      </c>
      <c r="AA26" s="88" t="s">
        <v>217</v>
      </c>
      <c r="AB26" s="88" t="s">
        <v>218</v>
      </c>
      <c r="AC26" s="88" t="s">
        <v>219</v>
      </c>
      <c r="AD26" s="88" t="s">
        <v>552</v>
      </c>
    </row>
    <row r="27" spans="4:30" x14ac:dyDescent="0.45">
      <c r="D27" s="7">
        <f>COUNTIF(tRetro[[#This Row],[Key 1]],tRetro[[#This Row],[MVP Key]])</f>
        <v>1</v>
      </c>
      <c r="E27" s="7">
        <f>COUNTIF(tRetro[[#This Row],[Key 1]],"&lt;&gt;"&amp;tRetro[[#This Row],[MVP Key]])</f>
        <v>0</v>
      </c>
      <c r="G27" s="7" t="str">
        <f>MID(tRetro[[#This Row],[MVP_pos]],1,FIND(":",tRetro[[#This Row],[MVP_pos]])-1)</f>
        <v>RB1</v>
      </c>
      <c r="H27" s="7">
        <f>INT(MID(tRetro[[#This Row],[Key 2]],1,1))</f>
        <v>1</v>
      </c>
      <c r="I27" s="88">
        <v>3301</v>
      </c>
      <c r="J27" s="88">
        <v>661</v>
      </c>
      <c r="K27" s="88">
        <v>1</v>
      </c>
      <c r="L27" s="88">
        <v>1</v>
      </c>
      <c r="M27" s="88">
        <v>17</v>
      </c>
      <c r="N27" s="88" t="s">
        <v>59</v>
      </c>
      <c r="O27" s="88" t="s">
        <v>102</v>
      </c>
      <c r="P27" s="88" t="s">
        <v>553</v>
      </c>
      <c r="Q27" s="88" t="s">
        <v>104</v>
      </c>
      <c r="R27" s="88" t="s">
        <v>105</v>
      </c>
      <c r="S27" s="88"/>
      <c r="T27" s="88"/>
      <c r="U27" s="88">
        <v>1</v>
      </c>
      <c r="V27" s="88">
        <v>59500</v>
      </c>
      <c r="W27" s="88">
        <v>53.51</v>
      </c>
      <c r="X27" s="88">
        <v>315.89999999999998</v>
      </c>
      <c r="Y27" s="88">
        <v>114.31</v>
      </c>
      <c r="Z27" s="88" t="s">
        <v>106</v>
      </c>
      <c r="AA27" s="88" t="s">
        <v>107</v>
      </c>
      <c r="AB27" s="88" t="s">
        <v>108</v>
      </c>
      <c r="AC27" s="88" t="s">
        <v>109</v>
      </c>
      <c r="AD27" s="88" t="s">
        <v>554</v>
      </c>
    </row>
    <row r="28" spans="4:30" x14ac:dyDescent="0.45">
      <c r="D28" s="7">
        <f>COUNTIF(tRetro[[#This Row],[Key 1]],tRetro[[#This Row],[MVP Key]])</f>
        <v>1</v>
      </c>
      <c r="E28" s="7">
        <f>COUNTIF(tRetro[[#This Row],[Key 1]],"&lt;&gt;"&amp;tRetro[[#This Row],[MVP Key]])</f>
        <v>0</v>
      </c>
      <c r="G28" s="7" t="str">
        <f>MID(tRetro[[#This Row],[MVP_pos]],1,FIND(":",tRetro[[#This Row],[MVP_pos]])-1)</f>
        <v>WR1</v>
      </c>
      <c r="H28" s="7">
        <f>INT(MID(tRetro[[#This Row],[Key 2]],1,1))</f>
        <v>1</v>
      </c>
      <c r="I28" s="88">
        <v>3431</v>
      </c>
      <c r="J28" s="88">
        <v>687</v>
      </c>
      <c r="K28" s="88">
        <v>1</v>
      </c>
      <c r="L28" s="88">
        <v>1</v>
      </c>
      <c r="M28" s="88">
        <v>19</v>
      </c>
      <c r="N28" s="88" t="s">
        <v>74</v>
      </c>
      <c r="O28" s="88" t="s">
        <v>90</v>
      </c>
      <c r="P28" s="88" t="s">
        <v>555</v>
      </c>
      <c r="Q28" s="88" t="s">
        <v>25</v>
      </c>
      <c r="R28" s="88" t="s">
        <v>28</v>
      </c>
      <c r="S28" s="88"/>
      <c r="T28" s="88"/>
      <c r="U28" s="88">
        <v>1</v>
      </c>
      <c r="V28" s="88">
        <v>57000</v>
      </c>
      <c r="W28" s="88">
        <v>55.02</v>
      </c>
      <c r="X28" s="88">
        <v>55</v>
      </c>
      <c r="Y28" s="88">
        <v>138.65</v>
      </c>
      <c r="Z28" s="88" t="s">
        <v>117</v>
      </c>
      <c r="AA28" s="88" t="s">
        <v>119</v>
      </c>
      <c r="AB28" s="88" t="s">
        <v>120</v>
      </c>
      <c r="AC28" s="88" t="s">
        <v>118</v>
      </c>
      <c r="AD28" s="88" t="s">
        <v>556</v>
      </c>
    </row>
    <row r="29" spans="4:30" x14ac:dyDescent="0.45">
      <c r="D29" s="7">
        <f>COUNTIF(tRetro[[#This Row],[Key 1]],tRetro[[#This Row],[MVP Key]])</f>
        <v>0</v>
      </c>
      <c r="E29" s="7">
        <f>COUNTIF(tRetro[[#This Row],[Key 1]],"&lt;&gt;"&amp;tRetro[[#This Row],[MVP Key]])</f>
        <v>1</v>
      </c>
      <c r="G29" s="7" t="str">
        <f>MID(tRetro[[#This Row],[MVP_pos]],1,FIND(":",tRetro[[#This Row],[MVP_pos]])-1)</f>
        <v>QB</v>
      </c>
      <c r="H29" s="7">
        <f>INT(MID(tRetro[[#This Row],[Key 2]],1,1))</f>
        <v>1</v>
      </c>
      <c r="I29" s="88">
        <v>288</v>
      </c>
      <c r="J29" s="88">
        <v>58</v>
      </c>
      <c r="K29" s="88">
        <v>1</v>
      </c>
      <c r="L29" s="88">
        <v>4</v>
      </c>
      <c r="M29" s="88">
        <v>23</v>
      </c>
      <c r="N29" s="88" t="s">
        <v>24</v>
      </c>
      <c r="O29" s="88" t="s">
        <v>221</v>
      </c>
      <c r="P29" s="88" t="s">
        <v>360</v>
      </c>
      <c r="Q29" s="88" t="s">
        <v>222</v>
      </c>
      <c r="R29" s="88" t="s">
        <v>557</v>
      </c>
      <c r="S29" s="88"/>
      <c r="T29" s="88"/>
      <c r="U29" s="88">
        <v>1</v>
      </c>
      <c r="V29" s="88">
        <v>59000</v>
      </c>
      <c r="W29" s="88">
        <v>57.91</v>
      </c>
      <c r="X29" s="88">
        <v>307.5</v>
      </c>
      <c r="Y29" s="88">
        <v>111.34</v>
      </c>
      <c r="Z29" s="88" t="s">
        <v>224</v>
      </c>
      <c r="AA29" s="88" t="s">
        <v>226</v>
      </c>
      <c r="AB29" s="88" t="s">
        <v>225</v>
      </c>
      <c r="AC29" s="88" t="s">
        <v>227</v>
      </c>
      <c r="AD29" s="88" t="s">
        <v>558</v>
      </c>
    </row>
    <row r="30" spans="4:30" x14ac:dyDescent="0.45">
      <c r="D30" s="7">
        <f>COUNTIF(tRetro[[#This Row],[Key 1]],tRetro[[#This Row],[MVP Key]])</f>
        <v>0</v>
      </c>
      <c r="E30" s="7">
        <f>COUNTIF(tRetro[[#This Row],[Key 1]],"&lt;&gt;"&amp;tRetro[[#This Row],[MVP Key]])</f>
        <v>1</v>
      </c>
      <c r="G30" s="7" t="str">
        <f>MID(tRetro[[#This Row],[MVP_pos]],1,FIND(":",tRetro[[#This Row],[MVP_pos]])-1)</f>
        <v>RB2</v>
      </c>
      <c r="H30" s="7">
        <f>INT(MID(tRetro[[#This Row],[Key 2]],1,1))</f>
        <v>4</v>
      </c>
      <c r="I30" s="88">
        <v>57542</v>
      </c>
      <c r="J30" s="88">
        <v>11509</v>
      </c>
      <c r="K30" s="88">
        <v>4</v>
      </c>
      <c r="L30" s="88">
        <v>6</v>
      </c>
      <c r="M30" s="88">
        <v>16</v>
      </c>
      <c r="N30" s="88" t="s">
        <v>228</v>
      </c>
      <c r="O30" s="88" t="s">
        <v>553</v>
      </c>
      <c r="P30" s="88" t="s">
        <v>229</v>
      </c>
      <c r="Q30" s="88" t="s">
        <v>230</v>
      </c>
      <c r="R30" s="88" t="s">
        <v>105</v>
      </c>
      <c r="S30" s="88"/>
      <c r="T30" s="88"/>
      <c r="U30" s="88">
        <v>3</v>
      </c>
      <c r="V30" s="88">
        <v>49500</v>
      </c>
      <c r="W30" s="88">
        <v>41.24</v>
      </c>
      <c r="X30" s="88">
        <v>41.24</v>
      </c>
      <c r="Y30" s="88">
        <v>104.8</v>
      </c>
      <c r="Z30" s="88" t="s">
        <v>231</v>
      </c>
      <c r="AA30" s="88" t="s">
        <v>232</v>
      </c>
      <c r="AB30" s="88" t="s">
        <v>233</v>
      </c>
      <c r="AC30" s="88" t="s">
        <v>234</v>
      </c>
      <c r="AD30" s="88" t="s">
        <v>559</v>
      </c>
    </row>
    <row r="31" spans="4:30" x14ac:dyDescent="0.45">
      <c r="D31" s="7">
        <f>COUNTIF(tRetro[[#This Row],[Key 1]],tRetro[[#This Row],[MVP Key]])</f>
        <v>1</v>
      </c>
      <c r="E31" s="7">
        <f>COUNTIF(tRetro[[#This Row],[Key 1]],"&lt;&gt;"&amp;tRetro[[#This Row],[MVP Key]])</f>
        <v>0</v>
      </c>
      <c r="G31" s="7" t="str">
        <f>MID(tRetro[[#This Row],[MVP_pos]],1,FIND(":",tRetro[[#This Row],[MVP_pos]])-1)</f>
        <v>WR1</v>
      </c>
      <c r="H31" s="7">
        <f>INT(MID(tRetro[[#This Row],[Key 2]],1,1))</f>
        <v>4</v>
      </c>
      <c r="I31" s="88">
        <v>24881</v>
      </c>
      <c r="J31" s="88">
        <v>4977</v>
      </c>
      <c r="K31" s="88">
        <v>4</v>
      </c>
      <c r="L31" s="88">
        <v>4</v>
      </c>
      <c r="M31" s="88">
        <v>11</v>
      </c>
      <c r="N31" s="88" t="s">
        <v>96</v>
      </c>
      <c r="O31" s="88" t="s">
        <v>58</v>
      </c>
      <c r="P31" s="88" t="s">
        <v>235</v>
      </c>
      <c r="Q31" s="88" t="s">
        <v>97</v>
      </c>
      <c r="R31" s="88" t="s">
        <v>60</v>
      </c>
      <c r="S31" s="88"/>
      <c r="T31" s="88"/>
      <c r="U31" s="88">
        <v>4</v>
      </c>
      <c r="V31" s="88">
        <v>57500</v>
      </c>
      <c r="W31" s="88">
        <v>52.11</v>
      </c>
      <c r="X31" s="88">
        <v>52.11</v>
      </c>
      <c r="Y31" s="88">
        <v>109.79</v>
      </c>
      <c r="Z31" s="88" t="s">
        <v>236</v>
      </c>
      <c r="AA31" s="88" t="s">
        <v>237</v>
      </c>
      <c r="AB31" s="88" t="s">
        <v>238</v>
      </c>
      <c r="AC31" s="88" t="s">
        <v>239</v>
      </c>
      <c r="AD31" s="88" t="s">
        <v>560</v>
      </c>
    </row>
    <row r="32" spans="4:30" x14ac:dyDescent="0.45">
      <c r="D32" s="7">
        <f>COUNTIF(tRetro[[#This Row],[Key 1]],tRetro[[#This Row],[MVP Key]])</f>
        <v>1</v>
      </c>
      <c r="E32" s="7">
        <f>COUNTIF(tRetro[[#This Row],[Key 1]],"&lt;&gt;"&amp;tRetro[[#This Row],[MVP Key]])</f>
        <v>0</v>
      </c>
      <c r="G32" s="7" t="str">
        <f>MID(tRetro[[#This Row],[MVP_pos]],1,FIND(":",tRetro[[#This Row],[MVP_pos]])-1)</f>
        <v>WR1</v>
      </c>
      <c r="H32" s="7">
        <f>INT(MID(tRetro[[#This Row],[Key 2]],1,1))</f>
        <v>1</v>
      </c>
      <c r="I32" s="88">
        <v>6371</v>
      </c>
      <c r="J32" s="88">
        <v>1275</v>
      </c>
      <c r="K32" s="88">
        <v>1</v>
      </c>
      <c r="L32" s="88">
        <v>1</v>
      </c>
      <c r="M32" s="88">
        <v>15</v>
      </c>
      <c r="N32" s="88" t="s">
        <v>221</v>
      </c>
      <c r="O32" s="88" t="s">
        <v>240</v>
      </c>
      <c r="P32" s="88" t="s">
        <v>241</v>
      </c>
      <c r="Q32" s="88" t="s">
        <v>242</v>
      </c>
      <c r="R32" s="88" t="s">
        <v>561</v>
      </c>
      <c r="S32" s="88"/>
      <c r="T32" s="88"/>
      <c r="U32" s="88">
        <v>4</v>
      </c>
      <c r="V32" s="88">
        <v>56000</v>
      </c>
      <c r="W32" s="88">
        <v>53.37</v>
      </c>
      <c r="X32" s="88">
        <v>53.37</v>
      </c>
      <c r="Y32" s="88">
        <v>96.52</v>
      </c>
      <c r="Z32" s="88" t="s">
        <v>244</v>
      </c>
      <c r="AA32" s="88" t="s">
        <v>245</v>
      </c>
      <c r="AB32" s="88" t="s">
        <v>246</v>
      </c>
      <c r="AC32" s="88" t="s">
        <v>247</v>
      </c>
      <c r="AD32" s="88" t="s">
        <v>562</v>
      </c>
    </row>
    <row r="33" spans="1:30" x14ac:dyDescent="0.45">
      <c r="D33" s="7">
        <f>COUNTIF(tRetro[[#This Row],[Key 1]],tRetro[[#This Row],[MVP Key]])</f>
        <v>0</v>
      </c>
      <c r="E33" s="7">
        <f>COUNTIF(tRetro[[#This Row],[Key 1]],"&lt;&gt;"&amp;tRetro[[#This Row],[MVP Key]])</f>
        <v>1</v>
      </c>
      <c r="G33" s="7" t="str">
        <f>MID(tRetro[[#This Row],[MVP_pos]],1,FIND(":",tRetro[[#This Row],[MVP_pos]])-1)</f>
        <v>WR2</v>
      </c>
      <c r="H33" s="7">
        <f>INT(MID(tRetro[[#This Row],[Key 2]],1,1))</f>
        <v>1</v>
      </c>
      <c r="I33" s="88">
        <v>5964</v>
      </c>
      <c r="J33" s="88">
        <v>1193</v>
      </c>
      <c r="K33" s="88">
        <v>1</v>
      </c>
      <c r="L33" s="88">
        <v>9</v>
      </c>
      <c r="M33" s="88">
        <v>19</v>
      </c>
      <c r="N33" s="88" t="s">
        <v>14</v>
      </c>
      <c r="O33" s="88" t="s">
        <v>62</v>
      </c>
      <c r="P33" s="88" t="s">
        <v>458</v>
      </c>
      <c r="Q33" s="88" t="s">
        <v>111</v>
      </c>
      <c r="R33" s="88" t="s">
        <v>563</v>
      </c>
      <c r="S33" s="88"/>
      <c r="T33" s="88"/>
      <c r="U33" s="88">
        <v>4</v>
      </c>
      <c r="V33" s="88">
        <v>56500</v>
      </c>
      <c r="W33" s="88">
        <v>49.75</v>
      </c>
      <c r="X33" s="88">
        <v>39</v>
      </c>
      <c r="Y33" s="88">
        <v>111.84</v>
      </c>
      <c r="Z33" s="88" t="s">
        <v>248</v>
      </c>
      <c r="AA33" s="88" t="s">
        <v>251</v>
      </c>
      <c r="AB33" s="88" t="s">
        <v>249</v>
      </c>
      <c r="AC33" s="88" t="s">
        <v>250</v>
      </c>
      <c r="AD33" s="88" t="s">
        <v>564</v>
      </c>
    </row>
    <row r="34" spans="1:30" x14ac:dyDescent="0.45">
      <c r="D34" s="7">
        <f>COUNTIF(tRetro[[#This Row],[Key 1]],tRetro[[#This Row],[MVP Key]])</f>
        <v>0</v>
      </c>
      <c r="E34" s="7">
        <f>COUNTIF(tRetro[[#This Row],[Key 1]],"&lt;&gt;"&amp;tRetro[[#This Row],[MVP Key]])</f>
        <v>1</v>
      </c>
      <c r="G34" s="7" t="str">
        <f>MID(tRetro[[#This Row],[MVP_pos]],1,FIND(":",tRetro[[#This Row],[MVP_pos]])-1)</f>
        <v>WR1</v>
      </c>
      <c r="H34" s="7">
        <f>INT(MID(tRetro[[#This Row],[Key 2]],1,1))</f>
        <v>1</v>
      </c>
      <c r="I34" s="88">
        <v>3418</v>
      </c>
      <c r="J34" s="88">
        <v>684</v>
      </c>
      <c r="K34" s="88">
        <v>1</v>
      </c>
      <c r="L34" s="88">
        <v>4</v>
      </c>
      <c r="M34" s="88">
        <v>20</v>
      </c>
      <c r="N34" s="88" t="s">
        <v>65</v>
      </c>
      <c r="O34" s="88" t="s">
        <v>12</v>
      </c>
      <c r="P34" s="88" t="s">
        <v>66</v>
      </c>
      <c r="Q34" s="88" t="s">
        <v>305</v>
      </c>
      <c r="R34" s="88" t="s">
        <v>565</v>
      </c>
      <c r="S34" s="88"/>
      <c r="T34" s="88"/>
      <c r="U34" s="88">
        <v>3</v>
      </c>
      <c r="V34" s="88">
        <v>58500</v>
      </c>
      <c r="W34" s="88">
        <v>72.180000000000007</v>
      </c>
      <c r="X34" s="88">
        <v>72.180000000000007</v>
      </c>
      <c r="Y34" s="88">
        <v>186.77</v>
      </c>
      <c r="Z34" s="88" t="s">
        <v>253</v>
      </c>
      <c r="AA34" s="88" t="s">
        <v>255</v>
      </c>
      <c r="AB34" s="88" t="s">
        <v>254</v>
      </c>
      <c r="AC34" s="88" t="s">
        <v>256</v>
      </c>
      <c r="AD34" s="88" t="s">
        <v>566</v>
      </c>
    </row>
    <row r="35" spans="1:30" x14ac:dyDescent="0.45">
      <c r="D35" s="7">
        <f>COUNTIF(tRetro[[#This Row],[Key 1]],tRetro[[#This Row],[MVP Key]])</f>
        <v>0</v>
      </c>
      <c r="E35" s="7">
        <f>COUNTIF(tRetro[[#This Row],[Key 1]],"&lt;&gt;"&amp;tRetro[[#This Row],[MVP Key]])</f>
        <v>1</v>
      </c>
      <c r="G35" s="7" t="str">
        <f>MID(tRetro[[#This Row],[MVP_pos]],1,FIND(":",tRetro[[#This Row],[MVP_pos]])-1)</f>
        <v>RB1</v>
      </c>
      <c r="H35" s="7">
        <f>INT(MID(tRetro[[#This Row],[Key 2]],1,1))</f>
        <v>1</v>
      </c>
      <c r="I35" s="88">
        <v>2097</v>
      </c>
      <c r="J35" s="88">
        <v>420</v>
      </c>
      <c r="K35" s="88">
        <v>1</v>
      </c>
      <c r="L35" s="88">
        <v>2</v>
      </c>
      <c r="M35" s="88">
        <v>18</v>
      </c>
      <c r="N35" s="88" t="s">
        <v>567</v>
      </c>
      <c r="O35" s="88" t="s">
        <v>46</v>
      </c>
      <c r="P35" s="88" t="s">
        <v>258</v>
      </c>
      <c r="Q35" s="88" t="s">
        <v>49</v>
      </c>
      <c r="R35" s="88" t="s">
        <v>406</v>
      </c>
      <c r="S35" s="88"/>
      <c r="T35" s="88"/>
      <c r="U35" s="88">
        <v>2</v>
      </c>
      <c r="V35" s="88">
        <v>55500</v>
      </c>
      <c r="W35" s="88">
        <v>57.37</v>
      </c>
      <c r="X35" s="88">
        <v>57.37</v>
      </c>
      <c r="Y35" s="88">
        <v>82</v>
      </c>
      <c r="Z35" s="88" t="s">
        <v>260</v>
      </c>
      <c r="AA35" s="88" t="s">
        <v>261</v>
      </c>
      <c r="AB35" s="88" t="s">
        <v>262</v>
      </c>
      <c r="AC35" s="88" t="s">
        <v>263</v>
      </c>
      <c r="AD35" s="88" t="s">
        <v>568</v>
      </c>
    </row>
    <row r="36" spans="1:30" x14ac:dyDescent="0.45">
      <c r="D36" s="7">
        <f>COUNTIF(tRetro[[#This Row],[Key 1]],tRetro[[#This Row],[MVP Key]])</f>
        <v>0</v>
      </c>
      <c r="E36" s="7">
        <f>COUNTIF(tRetro[[#This Row],[Key 1]],"&lt;&gt;"&amp;tRetro[[#This Row],[MVP Key]])</f>
        <v>1</v>
      </c>
      <c r="G36" s="7" t="str">
        <f>MID(tRetro[[#This Row],[MVP_pos]],1,FIND(":",tRetro[[#This Row],[MVP_pos]])-1)</f>
        <v>K</v>
      </c>
      <c r="H36" s="7">
        <f>INT(MID(tRetro[[#This Row],[Key 2]],1,1))</f>
        <v>2</v>
      </c>
      <c r="I36" s="88">
        <v>39004</v>
      </c>
      <c r="J36" s="88">
        <v>7801</v>
      </c>
      <c r="K36" s="88">
        <v>2</v>
      </c>
      <c r="L36" s="88">
        <v>11</v>
      </c>
      <c r="M36" s="88">
        <v>12</v>
      </c>
      <c r="N36" s="88" t="s">
        <v>264</v>
      </c>
      <c r="O36" s="88" t="s">
        <v>22</v>
      </c>
      <c r="P36" s="88" t="s">
        <v>265</v>
      </c>
      <c r="Q36" s="88" t="s">
        <v>24</v>
      </c>
      <c r="R36" s="88" t="s">
        <v>266</v>
      </c>
      <c r="S36" s="88"/>
      <c r="T36" s="88"/>
      <c r="U36" s="88">
        <v>4</v>
      </c>
      <c r="V36" s="88">
        <v>58500</v>
      </c>
      <c r="W36" s="88">
        <v>52.65</v>
      </c>
      <c r="X36" s="88">
        <v>35</v>
      </c>
      <c r="Y36" s="88">
        <v>80.02</v>
      </c>
      <c r="Z36" s="88" t="s">
        <v>267</v>
      </c>
      <c r="AA36" s="88" t="s">
        <v>270</v>
      </c>
      <c r="AB36" s="88" t="s">
        <v>268</v>
      </c>
      <c r="AC36" s="88" t="s">
        <v>269</v>
      </c>
      <c r="AD36" s="88" t="s">
        <v>569</v>
      </c>
    </row>
    <row r="37" spans="1:30" x14ac:dyDescent="0.45">
      <c r="D37" s="7">
        <f>COUNTIF(tRetro[[#This Row],[Key 1]],tRetro[[#This Row],[MVP Key]])</f>
        <v>1</v>
      </c>
      <c r="E37" s="7">
        <f>COUNTIF(tRetro[[#This Row],[Key 1]],"&lt;&gt;"&amp;tRetro[[#This Row],[MVP Key]])</f>
        <v>0</v>
      </c>
      <c r="G37" s="7" t="str">
        <f>MID(tRetro[[#This Row],[MVP_pos]],1,FIND(":",tRetro[[#This Row],[MVP_pos]])-1)</f>
        <v>RB</v>
      </c>
      <c r="H37" s="7">
        <f>INT(MID(tRetro[[#This Row],[Key 2]],1,1))</f>
        <v>1</v>
      </c>
      <c r="I37" s="52">
        <v>1495</v>
      </c>
      <c r="J37" s="88"/>
      <c r="K37" s="52">
        <v>12</v>
      </c>
      <c r="L37" s="52">
        <v>1</v>
      </c>
      <c r="M37" s="52">
        <v>2</v>
      </c>
      <c r="N37" s="52" t="s">
        <v>15</v>
      </c>
      <c r="O37" s="52" t="s">
        <v>56</v>
      </c>
      <c r="P37" s="52" t="s">
        <v>271</v>
      </c>
      <c r="Q37" s="52" t="s">
        <v>69</v>
      </c>
      <c r="R37" s="52" t="s">
        <v>272</v>
      </c>
      <c r="S37" s="88"/>
      <c r="T37" s="52"/>
      <c r="U37" s="52">
        <v>2</v>
      </c>
      <c r="V37" s="52">
        <v>59500</v>
      </c>
      <c r="W37" s="52">
        <v>76.239999999999995</v>
      </c>
      <c r="X37" s="52">
        <v>86.82</v>
      </c>
      <c r="Y37" s="52">
        <v>115.44</v>
      </c>
      <c r="Z37" s="52" t="s">
        <v>273</v>
      </c>
      <c r="AA37" s="52" t="s">
        <v>274</v>
      </c>
      <c r="AB37" s="52" t="s">
        <v>275</v>
      </c>
      <c r="AC37" s="52" t="s">
        <v>276</v>
      </c>
      <c r="AD37" s="52"/>
    </row>
    <row r="38" spans="1:30" x14ac:dyDescent="0.45">
      <c r="D38" s="7">
        <f>COUNTIF(tRetro[[#This Row],[Key 1]],tRetro[[#This Row],[MVP Key]])</f>
        <v>1</v>
      </c>
      <c r="E38" s="7">
        <f>COUNTIF(tRetro[[#This Row],[Key 1]],"&lt;&gt;"&amp;tRetro[[#This Row],[MVP Key]])</f>
        <v>0</v>
      </c>
      <c r="G38" s="7" t="str">
        <f>MID(tRetro[[#This Row],[MVP_pos]],1,FIND(":",tRetro[[#This Row],[MVP_pos]])-1)</f>
        <v>QB</v>
      </c>
      <c r="H38" s="7">
        <f>INT(MID(tRetro[[#This Row],[Key 2]],1,1))</f>
        <v>2</v>
      </c>
      <c r="I38" s="53">
        <v>49425</v>
      </c>
      <c r="J38" s="88"/>
      <c r="K38" s="53">
        <v>23</v>
      </c>
      <c r="L38" s="53">
        <v>2</v>
      </c>
      <c r="M38" s="53">
        <v>1</v>
      </c>
      <c r="N38" s="53" t="s">
        <v>66</v>
      </c>
      <c r="O38" s="53" t="s">
        <v>277</v>
      </c>
      <c r="P38" s="53" t="s">
        <v>278</v>
      </c>
      <c r="Q38" s="53" t="s">
        <v>279</v>
      </c>
      <c r="R38" s="53" t="s">
        <v>280</v>
      </c>
      <c r="S38" s="88"/>
      <c r="T38" s="53"/>
      <c r="U38" s="53">
        <v>2</v>
      </c>
      <c r="V38" s="53">
        <v>59500</v>
      </c>
      <c r="W38" s="53">
        <v>66.37</v>
      </c>
      <c r="X38" s="53">
        <v>77.58</v>
      </c>
      <c r="Y38" s="53">
        <v>135.04</v>
      </c>
      <c r="Z38" s="53" t="s">
        <v>281</v>
      </c>
      <c r="AA38" s="53" t="s">
        <v>282</v>
      </c>
      <c r="AB38" s="53" t="s">
        <v>283</v>
      </c>
      <c r="AC38" s="53" t="s">
        <v>284</v>
      </c>
      <c r="AD38" s="53"/>
    </row>
    <row r="39" spans="1:30" x14ac:dyDescent="0.45">
      <c r="D39" s="7">
        <f>COUNTIF(tRetro[[#This Row],[Key 1]],tRetro[[#This Row],[MVP Key]])</f>
        <v>1</v>
      </c>
      <c r="E39" s="7">
        <f>COUNTIF(tRetro[[#This Row],[Key 1]],"&lt;&gt;"&amp;tRetro[[#This Row],[MVP Key]])</f>
        <v>0</v>
      </c>
      <c r="G39" s="7" t="str">
        <f>MID(tRetro[[#This Row],[MVP_pos]],1,FIND(":",tRetro[[#This Row],[MVP_pos]])-1)</f>
        <v>RB</v>
      </c>
      <c r="H39" s="7">
        <f>INT(MID(tRetro[[#This Row],[Key 2]],1,1))</f>
        <v>1</v>
      </c>
      <c r="I39" s="54">
        <v>11260</v>
      </c>
      <c r="J39" s="88"/>
      <c r="K39" s="54">
        <v>13</v>
      </c>
      <c r="L39" s="54">
        <v>1</v>
      </c>
      <c r="M39" s="54">
        <v>1</v>
      </c>
      <c r="N39" s="54" t="s">
        <v>257</v>
      </c>
      <c r="O39" s="54" t="s">
        <v>74</v>
      </c>
      <c r="P39" s="54" t="s">
        <v>85</v>
      </c>
      <c r="Q39" s="54" t="s">
        <v>51</v>
      </c>
      <c r="R39" s="54" t="s">
        <v>285</v>
      </c>
      <c r="S39" s="88"/>
      <c r="T39" s="54"/>
      <c r="U39" s="54">
        <v>2</v>
      </c>
      <c r="V39" s="54">
        <v>59500</v>
      </c>
      <c r="W39" s="54">
        <v>50.11</v>
      </c>
      <c r="X39" s="54">
        <v>61</v>
      </c>
      <c r="Y39" s="54">
        <v>126.01</v>
      </c>
      <c r="Z39" s="54" t="s">
        <v>286</v>
      </c>
      <c r="AA39" s="54" t="s">
        <v>289</v>
      </c>
      <c r="AB39" s="54" t="s">
        <v>287</v>
      </c>
      <c r="AC39" s="54" t="s">
        <v>288</v>
      </c>
      <c r="AD39" s="54"/>
    </row>
    <row r="40" spans="1:30" x14ac:dyDescent="0.45">
      <c r="D40" s="7">
        <f>COUNTIF(tRetro[[#This Row],[Key 1]],tRetro[[#This Row],[MVP Key]])</f>
        <v>0</v>
      </c>
      <c r="E40" s="7">
        <f>COUNTIF(tRetro[[#This Row],[Key 1]],"&lt;&gt;"&amp;tRetro[[#This Row],[MVP Key]])</f>
        <v>1</v>
      </c>
      <c r="G40" s="7" t="str">
        <f>MID(tRetro[[#This Row],[MVP_pos]],1,FIND(":",tRetro[[#This Row],[MVP_pos]])-1)</f>
        <v>RB1</v>
      </c>
      <c r="H40" s="7">
        <f>INT(MID(tRetro[[#This Row],[Key 2]],1,1))</f>
        <v>1</v>
      </c>
      <c r="I40" s="55">
        <v>3792</v>
      </c>
      <c r="J40" s="88"/>
      <c r="K40" s="55">
        <v>12</v>
      </c>
      <c r="L40" s="55">
        <v>6</v>
      </c>
      <c r="M40" s="55">
        <v>16</v>
      </c>
      <c r="N40" s="55" t="s">
        <v>293</v>
      </c>
      <c r="O40" s="55" t="s">
        <v>294</v>
      </c>
      <c r="P40" s="55" t="s">
        <v>86</v>
      </c>
      <c r="Q40" s="55" t="s">
        <v>103</v>
      </c>
      <c r="R40" s="55" t="s">
        <v>105</v>
      </c>
      <c r="S40" s="88"/>
      <c r="T40" s="55"/>
      <c r="U40" s="55">
        <v>3</v>
      </c>
      <c r="V40" s="55">
        <v>58500</v>
      </c>
      <c r="W40" s="55">
        <v>44.55</v>
      </c>
      <c r="X40" s="55">
        <v>47.53</v>
      </c>
      <c r="Y40" s="55">
        <v>85.21</v>
      </c>
      <c r="Z40" s="55" t="s">
        <v>295</v>
      </c>
      <c r="AA40" s="55" t="s">
        <v>296</v>
      </c>
      <c r="AB40" s="55" t="s">
        <v>298</v>
      </c>
      <c r="AC40" s="55" t="s">
        <v>297</v>
      </c>
      <c r="AD40" s="55"/>
    </row>
    <row r="41" spans="1:30" x14ac:dyDescent="0.45">
      <c r="D41" s="7">
        <f>COUNTIF(tRetro[[#This Row],[Key 1]],tRetro[[#This Row],[MVP Key]])</f>
        <v>1</v>
      </c>
      <c r="E41" s="7">
        <f>COUNTIF(tRetro[[#This Row],[Key 1]],"&lt;&gt;"&amp;tRetro[[#This Row],[MVP Key]])</f>
        <v>0</v>
      </c>
      <c r="G41" s="7" t="str">
        <f>MID(tRetro[[#This Row],[MVP_pos]],1,FIND(":",tRetro[[#This Row],[MVP_pos]])-1)</f>
        <v>RB</v>
      </c>
      <c r="H41" s="7">
        <f>INT(MID(tRetro[[#This Row],[Key 2]],1,1))</f>
        <v>1</v>
      </c>
      <c r="I41" s="56">
        <v>8395</v>
      </c>
      <c r="J41" s="88"/>
      <c r="K41" s="56">
        <v>15</v>
      </c>
      <c r="L41" s="56">
        <v>1</v>
      </c>
      <c r="M41" s="56">
        <v>2</v>
      </c>
      <c r="N41" s="56" t="s">
        <v>15</v>
      </c>
      <c r="O41" s="56" t="s">
        <v>16</v>
      </c>
      <c r="P41" s="56" t="s">
        <v>24</v>
      </c>
      <c r="Q41" s="56" t="s">
        <v>222</v>
      </c>
      <c r="R41" s="56" t="s">
        <v>300</v>
      </c>
      <c r="S41" s="88"/>
      <c r="T41" s="56"/>
      <c r="U41" s="56">
        <v>3</v>
      </c>
      <c r="V41" s="56">
        <v>59000</v>
      </c>
      <c r="W41" s="56">
        <v>67.31</v>
      </c>
      <c r="X41" s="56">
        <v>78.62</v>
      </c>
      <c r="Y41" s="56">
        <v>134.41999999999999</v>
      </c>
      <c r="Z41" s="56" t="s">
        <v>301</v>
      </c>
      <c r="AA41" s="56" t="s">
        <v>302</v>
      </c>
      <c r="AB41" s="56" t="s">
        <v>303</v>
      </c>
      <c r="AC41" s="56" t="s">
        <v>304</v>
      </c>
      <c r="AD41" s="56"/>
    </row>
    <row r="42" spans="1:30" x14ac:dyDescent="0.45">
      <c r="D42" s="7">
        <f>COUNTIF(tRetro[[#This Row],[Key 1]],tRetro[[#This Row],[MVP Key]])</f>
        <v>1</v>
      </c>
      <c r="E42" s="7">
        <f>COUNTIF(tRetro[[#This Row],[Key 1]],"&lt;&gt;"&amp;tRetro[[#This Row],[MVP Key]])</f>
        <v>0</v>
      </c>
      <c r="G42" s="7" t="str">
        <f>MID(tRetro[[#This Row],[MVP_pos]],1,FIND(":",tRetro[[#This Row],[MVP_pos]])-1)</f>
        <v>QB</v>
      </c>
      <c r="H42" s="7">
        <f>INT(MID(tRetro[[#This Row],[Key 2]],1,1))</f>
        <v>2</v>
      </c>
      <c r="I42" s="57">
        <v>62485</v>
      </c>
      <c r="J42" s="88"/>
      <c r="K42" s="57">
        <v>23</v>
      </c>
      <c r="L42" s="57">
        <v>2</v>
      </c>
      <c r="M42" s="57">
        <v>1</v>
      </c>
      <c r="N42" s="57" t="s">
        <v>12</v>
      </c>
      <c r="O42" s="57" t="s">
        <v>277</v>
      </c>
      <c r="P42" s="57" t="s">
        <v>305</v>
      </c>
      <c r="Q42" s="57" t="s">
        <v>306</v>
      </c>
      <c r="R42" s="57" t="s">
        <v>75</v>
      </c>
      <c r="S42" s="88"/>
      <c r="T42" s="57"/>
      <c r="U42" s="57">
        <v>3</v>
      </c>
      <c r="V42" s="57">
        <v>54500</v>
      </c>
      <c r="W42" s="57">
        <v>65.95</v>
      </c>
      <c r="X42" s="57">
        <v>78.92</v>
      </c>
      <c r="Y42" s="57">
        <v>93.79</v>
      </c>
      <c r="Z42" s="57" t="s">
        <v>307</v>
      </c>
      <c r="AA42" s="57" t="s">
        <v>308</v>
      </c>
      <c r="AB42" s="57" t="s">
        <v>309</v>
      </c>
      <c r="AC42" s="57" t="s">
        <v>310</v>
      </c>
      <c r="AD42" s="57"/>
    </row>
    <row r="43" spans="1:30" x14ac:dyDescent="0.45">
      <c r="D43" s="7">
        <f>COUNTIF(tRetro[[#This Row],[Key 1]],tRetro[[#This Row],[MVP Key]])</f>
        <v>1</v>
      </c>
      <c r="E43" s="7">
        <f>COUNTIF(tRetro[[#This Row],[Key 1]],"&lt;&gt;"&amp;tRetro[[#This Row],[MVP Key]])</f>
        <v>0</v>
      </c>
      <c r="G43" s="7" t="str">
        <f>MID(tRetro[[#This Row],[MVP_pos]],1,FIND(":",tRetro[[#This Row],[MVP_pos]])-1)</f>
        <v>QB</v>
      </c>
      <c r="H43" s="7">
        <f>INT(MID(tRetro[[#This Row],[Key 2]],1,1))</f>
        <v>2</v>
      </c>
      <c r="I43" s="58">
        <v>33265</v>
      </c>
      <c r="J43" s="88"/>
      <c r="K43" s="58">
        <v>23</v>
      </c>
      <c r="L43" s="58">
        <v>2</v>
      </c>
      <c r="M43" s="58">
        <v>2</v>
      </c>
      <c r="N43" s="58" t="s">
        <v>80</v>
      </c>
      <c r="O43" s="58" t="s">
        <v>311</v>
      </c>
      <c r="P43" s="58" t="s">
        <v>312</v>
      </c>
      <c r="Q43" s="58" t="s">
        <v>31</v>
      </c>
      <c r="R43" s="58" t="s">
        <v>19</v>
      </c>
      <c r="S43" s="88"/>
      <c r="T43" s="58"/>
      <c r="U43" s="58">
        <v>2</v>
      </c>
      <c r="V43" s="58">
        <v>59500</v>
      </c>
      <c r="W43" s="58">
        <v>70.010000000000005</v>
      </c>
      <c r="X43" s="58">
        <v>79.05</v>
      </c>
      <c r="Y43" s="58">
        <v>113.26</v>
      </c>
      <c r="Z43" s="58" t="s">
        <v>313</v>
      </c>
      <c r="AA43" s="58" t="s">
        <v>314</v>
      </c>
      <c r="AB43" s="58" t="s">
        <v>315</v>
      </c>
      <c r="AC43" s="58" t="s">
        <v>316</v>
      </c>
      <c r="AD43" s="58"/>
    </row>
    <row r="44" spans="1:30" s="15" customFormat="1" x14ac:dyDescent="0.45">
      <c r="A44" s="88"/>
      <c r="B44" s="88"/>
      <c r="C44" s="88"/>
      <c r="D44" s="88">
        <f>COUNTIF(tRetro[[#This Row],[Key 1]],tRetro[[#This Row],[MVP Key]])</f>
        <v>0</v>
      </c>
      <c r="E44" s="88">
        <f>COUNTIF(tRetro[[#This Row],[Key 1]],"&lt;&gt;"&amp;tRetro[[#This Row],[MVP Key]])</f>
        <v>1</v>
      </c>
      <c r="F44" s="88"/>
      <c r="G44" s="88" t="str">
        <f>MID(tRetro[[#This Row],[MVP_pos]],1,FIND(":",tRetro[[#This Row],[MVP_pos]])-1)</f>
        <v>TE</v>
      </c>
      <c r="H44" s="88">
        <f>INT(MID(tRetro[[#This Row],[Key 2]],1,1))</f>
        <v>1</v>
      </c>
      <c r="I44" s="59">
        <v>11621</v>
      </c>
      <c r="J44" s="88"/>
      <c r="K44" s="59">
        <v>14</v>
      </c>
      <c r="L44" s="59">
        <v>4</v>
      </c>
      <c r="M44" s="59">
        <v>4</v>
      </c>
      <c r="N44" s="59" t="s">
        <v>317</v>
      </c>
      <c r="O44" s="59" t="s">
        <v>62</v>
      </c>
      <c r="P44" s="59" t="s">
        <v>318</v>
      </c>
      <c r="Q44" s="59" t="s">
        <v>319</v>
      </c>
      <c r="R44" s="59" t="s">
        <v>320</v>
      </c>
      <c r="S44" s="88"/>
      <c r="T44" s="59"/>
      <c r="U44" s="59">
        <v>1</v>
      </c>
      <c r="V44" s="59">
        <v>53000</v>
      </c>
      <c r="W44" s="59">
        <v>54.58</v>
      </c>
      <c r="X44" s="59">
        <v>42.43</v>
      </c>
      <c r="Y44" s="59">
        <v>110.6</v>
      </c>
      <c r="Z44" s="59" t="s">
        <v>321</v>
      </c>
      <c r="AA44" s="59" t="s">
        <v>322</v>
      </c>
      <c r="AB44" s="59" t="s">
        <v>323</v>
      </c>
      <c r="AC44" s="59" t="s">
        <v>324</v>
      </c>
      <c r="AD44" s="59"/>
    </row>
    <row r="45" spans="1:30" x14ac:dyDescent="0.45">
      <c r="D45" s="7">
        <f>COUNTIF(tRetro[[#This Row],[Key 1]],tRetro[[#This Row],[MVP Key]])</f>
        <v>0</v>
      </c>
      <c r="E45" s="7">
        <f>COUNTIF(tRetro[[#This Row],[Key 1]],"&lt;&gt;"&amp;tRetro[[#This Row],[MVP Key]])</f>
        <v>1</v>
      </c>
      <c r="G45" s="7" t="str">
        <f>MID(tRetro[[#This Row],[MVP_pos]],1,FIND(":",tRetro[[#This Row],[MVP_pos]])-1)</f>
        <v>WR1</v>
      </c>
      <c r="H45" s="7">
        <f>INT(MID(tRetro[[#This Row],[Key 2]],1,1))</f>
        <v>2</v>
      </c>
      <c r="I45" s="60">
        <v>202767</v>
      </c>
      <c r="J45" s="88"/>
      <c r="K45" s="60">
        <v>25</v>
      </c>
      <c r="L45" s="60">
        <v>7</v>
      </c>
      <c r="M45" s="60">
        <v>5</v>
      </c>
      <c r="N45" s="60" t="s">
        <v>325</v>
      </c>
      <c r="O45" s="60" t="s">
        <v>326</v>
      </c>
      <c r="P45" s="60" t="s">
        <v>294</v>
      </c>
      <c r="Q45" s="60" t="s">
        <v>100</v>
      </c>
      <c r="R45" s="60" t="s">
        <v>327</v>
      </c>
      <c r="S45" s="88"/>
      <c r="T45" s="60"/>
      <c r="U45" s="60">
        <v>3</v>
      </c>
      <c r="V45" s="60">
        <v>55000</v>
      </c>
      <c r="W45" s="60">
        <v>42.16</v>
      </c>
      <c r="X45" s="60">
        <v>46.88</v>
      </c>
      <c r="Y45" s="60">
        <v>160.58000000000001</v>
      </c>
      <c r="Z45" s="60" t="s">
        <v>328</v>
      </c>
      <c r="AA45" s="60" t="s">
        <v>329</v>
      </c>
      <c r="AB45" s="60" t="s">
        <v>330</v>
      </c>
      <c r="AC45" s="60" t="s">
        <v>331</v>
      </c>
      <c r="AD45" s="60"/>
    </row>
    <row r="46" spans="1:30" s="24" customFormat="1" x14ac:dyDescent="0.45">
      <c r="A46" s="88"/>
      <c r="B46" s="88"/>
      <c r="C46" s="88"/>
      <c r="D46" s="88">
        <f>COUNTIF(tRetro[[#This Row],[Key 1]],tRetro[[#This Row],[MVP Key]])</f>
        <v>0</v>
      </c>
      <c r="E46" s="88">
        <f>COUNTIF(tRetro[[#This Row],[Key 1]],"&lt;&gt;"&amp;tRetro[[#This Row],[MVP Key]])</f>
        <v>1</v>
      </c>
      <c r="F46" s="88"/>
      <c r="G46" s="88" t="str">
        <f>MID(tRetro[[#This Row],[MVP_pos]],1,FIND(":",tRetro[[#This Row],[MVP_pos]])-1)</f>
        <v>RB1Q</v>
      </c>
      <c r="H46" s="88">
        <f>INT(MID(tRetro[[#This Row],[Key 2]],1,1))</f>
        <v>3</v>
      </c>
      <c r="I46" s="61">
        <v>25302</v>
      </c>
      <c r="J46" s="88"/>
      <c r="K46" s="61">
        <v>34</v>
      </c>
      <c r="L46" s="61">
        <v>5</v>
      </c>
      <c r="M46" s="61">
        <v>4</v>
      </c>
      <c r="N46" s="61" t="s">
        <v>338</v>
      </c>
      <c r="O46" s="61" t="s">
        <v>82</v>
      </c>
      <c r="P46" s="61" t="s">
        <v>312</v>
      </c>
      <c r="Q46" s="61" t="s">
        <v>23</v>
      </c>
      <c r="R46" s="61" t="s">
        <v>339</v>
      </c>
      <c r="S46" s="88"/>
      <c r="T46" s="61"/>
      <c r="U46" s="61">
        <v>2</v>
      </c>
      <c r="V46" s="61">
        <v>59000</v>
      </c>
      <c r="W46" s="61">
        <v>73.03</v>
      </c>
      <c r="X46" s="61">
        <v>81.33</v>
      </c>
      <c r="Y46" s="61">
        <v>110.66</v>
      </c>
      <c r="Z46" s="61" t="s">
        <v>340</v>
      </c>
      <c r="AA46" s="61" t="s">
        <v>341</v>
      </c>
      <c r="AB46" s="61" t="s">
        <v>342</v>
      </c>
      <c r="AC46" s="61" t="s">
        <v>343</v>
      </c>
      <c r="AD46" s="61"/>
    </row>
    <row r="47" spans="1:30" x14ac:dyDescent="0.45">
      <c r="D47" s="7">
        <f>COUNTIF(tRetro[[#This Row],[Key 1]],tRetro[[#This Row],[MVP Key]])</f>
        <v>0</v>
      </c>
      <c r="E47" s="7">
        <f>COUNTIF(tRetro[[#This Row],[Key 1]],"&lt;&gt;"&amp;tRetro[[#This Row],[MVP Key]])</f>
        <v>1</v>
      </c>
      <c r="G47" s="7" t="str">
        <f>MID(tRetro[[#This Row],[MVP_pos]],1,FIND(":",tRetro[[#This Row],[MVP_pos]])-1)</f>
        <v>K</v>
      </c>
      <c r="H47" s="7">
        <f>INT(MID(tRetro[[#This Row],[Key 2]],1,1))</f>
        <v>1</v>
      </c>
      <c r="I47" s="62">
        <v>3589</v>
      </c>
      <c r="J47" s="88"/>
      <c r="K47" s="62">
        <v>12</v>
      </c>
      <c r="L47" s="62">
        <v>12</v>
      </c>
      <c r="M47" s="62">
        <v>3</v>
      </c>
      <c r="N47" s="62" t="s">
        <v>63</v>
      </c>
      <c r="O47" s="62" t="s">
        <v>277</v>
      </c>
      <c r="P47" s="62" t="s">
        <v>13</v>
      </c>
      <c r="Q47" s="62" t="s">
        <v>349</v>
      </c>
      <c r="R47" s="62" t="s">
        <v>62</v>
      </c>
      <c r="S47" s="88"/>
      <c r="T47" s="62"/>
      <c r="U47" s="62">
        <v>3</v>
      </c>
      <c r="V47" s="62">
        <v>59500</v>
      </c>
      <c r="W47" s="62">
        <v>64.11</v>
      </c>
      <c r="X47" s="62">
        <v>70.86</v>
      </c>
      <c r="Y47" s="62">
        <v>76.319999999999993</v>
      </c>
      <c r="Z47" s="62" t="s">
        <v>350</v>
      </c>
      <c r="AA47" s="62" t="s">
        <v>351</v>
      </c>
      <c r="AB47" s="62" t="s">
        <v>352</v>
      </c>
      <c r="AC47" s="62" t="s">
        <v>353</v>
      </c>
      <c r="AD47" s="62"/>
    </row>
    <row r="48" spans="1:30" x14ac:dyDescent="0.45">
      <c r="D48" s="7">
        <f>COUNTIF(tRetro[[#This Row],[Key 1]],tRetro[[#This Row],[MVP Key]])</f>
        <v>1</v>
      </c>
      <c r="E48" s="7">
        <f>COUNTIF(tRetro[[#This Row],[Key 1]],"&lt;&gt;"&amp;tRetro[[#This Row],[MVP Key]])</f>
        <v>0</v>
      </c>
      <c r="G48" s="7" t="str">
        <f>MID(tRetro[[#This Row],[MVP_pos]],1,FIND(":",tRetro[[#This Row],[MVP_pos]])-1)</f>
        <v>WR1</v>
      </c>
      <c r="H48" s="7">
        <f>INT(MID(tRetro[[#This Row],[Key 2]],1,1))</f>
        <v>1</v>
      </c>
      <c r="I48" s="63">
        <v>875</v>
      </c>
      <c r="J48" s="88"/>
      <c r="K48" s="63">
        <v>12</v>
      </c>
      <c r="L48" s="63">
        <v>1</v>
      </c>
      <c r="M48" s="63">
        <v>2</v>
      </c>
      <c r="N48" s="63" t="s">
        <v>65</v>
      </c>
      <c r="O48" s="63" t="s">
        <v>66</v>
      </c>
      <c r="P48" s="63" t="s">
        <v>94</v>
      </c>
      <c r="Q48" s="63" t="s">
        <v>73</v>
      </c>
      <c r="R48" s="63" t="s">
        <v>355</v>
      </c>
      <c r="S48" s="88"/>
      <c r="T48" s="63"/>
      <c r="U48" s="63">
        <v>4</v>
      </c>
      <c r="V48" s="63">
        <v>60000</v>
      </c>
      <c r="W48" s="63">
        <v>71.78</v>
      </c>
      <c r="X48" s="63">
        <v>81.849999999999994</v>
      </c>
      <c r="Y48" s="63">
        <v>131.51</v>
      </c>
      <c r="Z48" s="63" t="s">
        <v>356</v>
      </c>
      <c r="AA48" s="63" t="s">
        <v>357</v>
      </c>
      <c r="AB48" s="63" t="s">
        <v>358</v>
      </c>
      <c r="AC48" s="63" t="s">
        <v>359</v>
      </c>
      <c r="AD48" s="63"/>
    </row>
    <row r="49" spans="1:30" s="28" customFormat="1" x14ac:dyDescent="0.45">
      <c r="A49" s="88"/>
      <c r="B49" s="88"/>
      <c r="C49" s="88"/>
      <c r="D49" s="88">
        <f>COUNTIF(tRetro[[#This Row],[Key 1]],tRetro[[#This Row],[MVP Key]])</f>
        <v>0</v>
      </c>
      <c r="E49" s="88">
        <f>COUNTIF(tRetro[[#This Row],[Key 1]],"&lt;&gt;"&amp;tRetro[[#This Row],[MVP Key]])</f>
        <v>1</v>
      </c>
      <c r="F49" s="88"/>
      <c r="G49" s="88" t="str">
        <f>MID(tRetro[[#This Row],[MVP_pos]],1,FIND(":",tRetro[[#This Row],[MVP_pos]])-1)</f>
        <v>RB1</v>
      </c>
      <c r="H49" s="88">
        <f>INT(MID(tRetro[[#This Row],[Key 2]],1,1))</f>
        <v>1</v>
      </c>
      <c r="I49" s="64">
        <v>1216</v>
      </c>
      <c r="J49" s="88"/>
      <c r="K49" s="64">
        <v>12</v>
      </c>
      <c r="L49" s="64">
        <v>2</v>
      </c>
      <c r="M49" s="64">
        <v>3</v>
      </c>
      <c r="N49" s="64" t="s">
        <v>360</v>
      </c>
      <c r="O49" s="64" t="s">
        <v>265</v>
      </c>
      <c r="P49" s="64" t="s">
        <v>361</v>
      </c>
      <c r="Q49" s="64" t="s">
        <v>362</v>
      </c>
      <c r="R49" s="64" t="s">
        <v>264</v>
      </c>
      <c r="S49" s="88"/>
      <c r="T49" s="64"/>
      <c r="U49" s="64">
        <v>4</v>
      </c>
      <c r="V49" s="64">
        <v>57500</v>
      </c>
      <c r="W49" s="64">
        <v>52.16</v>
      </c>
      <c r="X49" s="64">
        <v>60.42</v>
      </c>
      <c r="Y49" s="64">
        <v>71.599999999999994</v>
      </c>
      <c r="Z49" s="64" t="s">
        <v>363</v>
      </c>
      <c r="AA49" s="64" t="s">
        <v>364</v>
      </c>
      <c r="AB49" s="64" t="s">
        <v>365</v>
      </c>
      <c r="AC49" s="64" t="s">
        <v>366</v>
      </c>
      <c r="AD49" s="64"/>
    </row>
    <row r="50" spans="1:30" x14ac:dyDescent="0.45">
      <c r="D50" s="7">
        <f>COUNTIF(tRetro[[#This Row],[Key 1]],tRetro[[#This Row],[MVP Key]])</f>
        <v>0</v>
      </c>
      <c r="E50" s="7">
        <f>COUNTIF(tRetro[[#This Row],[Key 1]],"&lt;&gt;"&amp;tRetro[[#This Row],[MVP Key]])</f>
        <v>1</v>
      </c>
      <c r="G50" s="7" t="str">
        <f>MID(tRetro[[#This Row],[MVP_pos]],1,FIND(":",tRetro[[#This Row],[MVP_pos]])-1)</f>
        <v>D</v>
      </c>
      <c r="H50" s="7">
        <f>INT(MID(tRetro[[#This Row],[Key 2]],1,1))</f>
        <v>1</v>
      </c>
      <c r="I50" s="65">
        <v>7043</v>
      </c>
      <c r="J50" s="88"/>
      <c r="K50" s="65">
        <v>14</v>
      </c>
      <c r="L50" s="65">
        <v>11</v>
      </c>
      <c r="M50" s="65">
        <v>15</v>
      </c>
      <c r="N50" s="65" t="s">
        <v>367</v>
      </c>
      <c r="O50" s="65" t="s">
        <v>368</v>
      </c>
      <c r="P50" s="65" t="s">
        <v>320</v>
      </c>
      <c r="Q50" s="65" t="s">
        <v>369</v>
      </c>
      <c r="R50" s="65" t="s">
        <v>370</v>
      </c>
      <c r="S50" s="88"/>
      <c r="T50" s="65"/>
      <c r="U50" s="65">
        <v>3</v>
      </c>
      <c r="V50" s="65">
        <v>58000</v>
      </c>
      <c r="W50" s="65">
        <v>42.54</v>
      </c>
      <c r="X50" s="65">
        <v>44.47</v>
      </c>
      <c r="Y50" s="65">
        <v>89.02</v>
      </c>
      <c r="Z50" s="65" t="s">
        <v>371</v>
      </c>
      <c r="AA50" s="65" t="s">
        <v>372</v>
      </c>
      <c r="AB50" s="65" t="s">
        <v>373</v>
      </c>
      <c r="AC50" s="65" t="s">
        <v>374</v>
      </c>
      <c r="AD50" s="65"/>
    </row>
    <row r="51" spans="1:30" x14ac:dyDescent="0.45">
      <c r="D51" s="7">
        <f>COUNTIF(tRetro[[#This Row],[Key 1]],tRetro[[#This Row],[MVP Key]])</f>
        <v>0</v>
      </c>
      <c r="E51" s="7">
        <f>COUNTIF(tRetro[[#This Row],[Key 1]],"&lt;&gt;"&amp;tRetro[[#This Row],[MVP Key]])</f>
        <v>1</v>
      </c>
      <c r="G51" s="7" t="str">
        <f>MID(tRetro[[#This Row],[MVP_pos]],1,FIND(":",tRetro[[#This Row],[MVP_pos]])-1)</f>
        <v>RB</v>
      </c>
      <c r="H51" s="7">
        <f>INT(MID(tRetro[[#This Row],[Key 2]],1,1))</f>
        <v>1</v>
      </c>
      <c r="I51" s="66">
        <v>10281</v>
      </c>
      <c r="J51" s="88"/>
      <c r="K51" s="66">
        <v>14</v>
      </c>
      <c r="L51" s="66">
        <v>4</v>
      </c>
      <c r="M51" s="66">
        <v>5</v>
      </c>
      <c r="N51" s="66" t="s">
        <v>375</v>
      </c>
      <c r="O51" s="66" t="s">
        <v>221</v>
      </c>
      <c r="P51" s="66" t="s">
        <v>376</v>
      </c>
      <c r="Q51" s="66" t="s">
        <v>377</v>
      </c>
      <c r="R51" s="66" t="s">
        <v>378</v>
      </c>
      <c r="S51" s="88"/>
      <c r="T51" s="66"/>
      <c r="U51" s="66">
        <v>3</v>
      </c>
      <c r="V51" s="66">
        <v>59000</v>
      </c>
      <c r="W51" s="66">
        <v>59.9</v>
      </c>
      <c r="X51" s="66">
        <v>66.59</v>
      </c>
      <c r="Y51" s="66">
        <v>84.8</v>
      </c>
      <c r="Z51" s="66" t="s">
        <v>379</v>
      </c>
      <c r="AA51" s="66" t="s">
        <v>380</v>
      </c>
      <c r="AB51" s="66" t="s">
        <v>381</v>
      </c>
      <c r="AC51" s="66" t="s">
        <v>382</v>
      </c>
      <c r="AD51" s="66"/>
    </row>
    <row r="52" spans="1:30" x14ac:dyDescent="0.45">
      <c r="D52" s="7">
        <f>COUNTIF(tRetro[[#This Row],[Key 1]],tRetro[[#This Row],[MVP Key]])</f>
        <v>0</v>
      </c>
      <c r="E52" s="7">
        <f>COUNTIF(tRetro[[#This Row],[Key 1]],"&lt;&gt;"&amp;tRetro[[#This Row],[MVP Key]])</f>
        <v>1</v>
      </c>
      <c r="G52" s="7" t="str">
        <f>MID(tRetro[[#This Row],[MVP_pos]],1,FIND(":",tRetro[[#This Row],[MVP_pos]])-1)</f>
        <v>QB</v>
      </c>
      <c r="H52" s="7">
        <f>INT(MID(tRetro[[#This Row],[Key 2]],1,1))</f>
        <v>1</v>
      </c>
      <c r="I52" s="67">
        <v>2201</v>
      </c>
      <c r="J52" s="88"/>
      <c r="K52" s="67">
        <v>12</v>
      </c>
      <c r="L52" s="67">
        <v>2</v>
      </c>
      <c r="M52" s="67">
        <v>2</v>
      </c>
      <c r="N52" s="67" t="s">
        <v>277</v>
      </c>
      <c r="O52" s="67" t="s">
        <v>99</v>
      </c>
      <c r="P52" s="67" t="s">
        <v>383</v>
      </c>
      <c r="Q52" s="67" t="s">
        <v>101</v>
      </c>
      <c r="R52" s="67" t="s">
        <v>383</v>
      </c>
      <c r="S52" s="88"/>
      <c r="T52" s="67"/>
      <c r="U52" s="67">
        <v>2</v>
      </c>
      <c r="V52" s="67">
        <v>57000</v>
      </c>
      <c r="W52" s="67">
        <v>48.27</v>
      </c>
      <c r="X52" s="67">
        <v>55.98</v>
      </c>
      <c r="Y52" s="67">
        <v>98.26</v>
      </c>
      <c r="Z52" s="67" t="s">
        <v>384</v>
      </c>
      <c r="AA52" s="67" t="s">
        <v>385</v>
      </c>
      <c r="AB52" s="67" t="s">
        <v>386</v>
      </c>
      <c r="AC52" s="67" t="s">
        <v>387</v>
      </c>
      <c r="AD52" s="67"/>
    </row>
    <row r="53" spans="1:30" x14ac:dyDescent="0.45">
      <c r="D53" s="7">
        <f>COUNTIF(tRetro[[#This Row],[Key 1]],tRetro[[#This Row],[MVP Key]])</f>
        <v>1</v>
      </c>
      <c r="E53" s="7">
        <f>COUNTIF(tRetro[[#This Row],[Key 1]],"&lt;&gt;"&amp;tRetro[[#This Row],[MVP Key]])</f>
        <v>0</v>
      </c>
      <c r="G53" s="7" t="str">
        <f>MID(tRetro[[#This Row],[MVP_pos]],1,FIND(":",tRetro[[#This Row],[MVP_pos]])-1)</f>
        <v>RB</v>
      </c>
      <c r="H53" s="7">
        <f>INT(MID(tRetro[[#This Row],[Key 2]],1,1))</f>
        <v>1</v>
      </c>
      <c r="I53" s="68">
        <v>1085</v>
      </c>
      <c r="J53" s="88"/>
      <c r="K53" s="68">
        <v>12</v>
      </c>
      <c r="L53" s="68">
        <v>1</v>
      </c>
      <c r="M53" s="68">
        <v>2</v>
      </c>
      <c r="N53" s="68" t="s">
        <v>75</v>
      </c>
      <c r="O53" s="68" t="s">
        <v>12</v>
      </c>
      <c r="P53" s="68" t="s">
        <v>388</v>
      </c>
      <c r="Q53" s="68" t="s">
        <v>76</v>
      </c>
      <c r="R53" s="68" t="s">
        <v>103</v>
      </c>
      <c r="S53" s="88"/>
      <c r="T53" s="68"/>
      <c r="U53" s="68">
        <v>4</v>
      </c>
      <c r="V53" s="68">
        <v>59500</v>
      </c>
      <c r="W53" s="68">
        <v>69.319999999999993</v>
      </c>
      <c r="X53" s="68">
        <v>79.05</v>
      </c>
      <c r="Y53" s="68">
        <v>97.33</v>
      </c>
      <c r="Z53" s="68" t="s">
        <v>389</v>
      </c>
      <c r="AA53" s="68" t="s">
        <v>390</v>
      </c>
      <c r="AB53" s="68" t="s">
        <v>391</v>
      </c>
      <c r="AC53" s="68" t="s">
        <v>392</v>
      </c>
      <c r="AD53" s="68"/>
    </row>
    <row r="54" spans="1:30" x14ac:dyDescent="0.45">
      <c r="D54" s="7">
        <f>COUNTIF(tRetro[[#This Row],[Key 1]],tRetro[[#This Row],[MVP Key]])</f>
        <v>1</v>
      </c>
      <c r="E54" s="7">
        <f>COUNTIF(tRetro[[#This Row],[Key 1]],"&lt;&gt;"&amp;tRetro[[#This Row],[MVP Key]])</f>
        <v>0</v>
      </c>
      <c r="G54" s="7" t="str">
        <f>MID(tRetro[[#This Row],[MVP_pos]],1,FIND(":",tRetro[[#This Row],[MVP_pos]])-1)</f>
        <v>QB</v>
      </c>
      <c r="H54" s="7">
        <f>INT(MID(tRetro[[#This Row],[Key 2]],1,1))</f>
        <v>3</v>
      </c>
      <c r="I54" s="69">
        <v>97240</v>
      </c>
      <c r="J54" s="88"/>
      <c r="K54" s="69">
        <v>35</v>
      </c>
      <c r="L54" s="69">
        <v>3</v>
      </c>
      <c r="M54" s="69">
        <v>1</v>
      </c>
      <c r="N54" s="69" t="s">
        <v>45</v>
      </c>
      <c r="O54" s="69" t="s">
        <v>393</v>
      </c>
      <c r="P54" s="69" t="s">
        <v>85</v>
      </c>
      <c r="Q54" s="69" t="s">
        <v>394</v>
      </c>
      <c r="R54" s="69" t="s">
        <v>395</v>
      </c>
      <c r="S54" s="88"/>
      <c r="T54" s="69"/>
      <c r="U54" s="69">
        <v>3</v>
      </c>
      <c r="V54" s="69">
        <v>58000</v>
      </c>
      <c r="W54" s="69">
        <v>61.92</v>
      </c>
      <c r="X54" s="69">
        <v>73.11</v>
      </c>
      <c r="Y54" s="69">
        <v>106.66</v>
      </c>
      <c r="Z54" s="69" t="s">
        <v>396</v>
      </c>
      <c r="AA54" s="69" t="s">
        <v>397</v>
      </c>
      <c r="AB54" s="69" t="s">
        <v>398</v>
      </c>
      <c r="AC54" s="69" t="s">
        <v>399</v>
      </c>
      <c r="AD54" s="69"/>
    </row>
    <row r="55" spans="1:30" x14ac:dyDescent="0.45">
      <c r="D55" s="7">
        <f>COUNTIF(tRetro[[#This Row],[Key 1]],tRetro[[#This Row],[MVP Key]])</f>
        <v>1</v>
      </c>
      <c r="E55" s="7">
        <f>COUNTIF(tRetro[[#This Row],[Key 1]],"&lt;&gt;"&amp;tRetro[[#This Row],[MVP Key]])</f>
        <v>0</v>
      </c>
      <c r="G55" s="7" t="str">
        <f>MID(tRetro[[#This Row],[MVP_pos]],1,FIND(":",tRetro[[#This Row],[MVP_pos]])-1)</f>
        <v>RB</v>
      </c>
      <c r="H55" s="7">
        <f>INT(MID(tRetro[[#This Row],[Key 2]],1,1))</f>
        <v>1</v>
      </c>
      <c r="I55" s="70">
        <v>18640</v>
      </c>
      <c r="J55" s="88"/>
      <c r="K55" s="70">
        <v>14</v>
      </c>
      <c r="L55" s="70">
        <v>1</v>
      </c>
      <c r="M55" s="70">
        <v>2</v>
      </c>
      <c r="N55" s="70" t="s">
        <v>311</v>
      </c>
      <c r="O55" s="70" t="s">
        <v>400</v>
      </c>
      <c r="P55" s="70" t="s">
        <v>401</v>
      </c>
      <c r="Q55" s="70" t="s">
        <v>19</v>
      </c>
      <c r="R55" s="70" t="s">
        <v>311</v>
      </c>
      <c r="S55" s="88"/>
      <c r="T55" s="70"/>
      <c r="U55" s="70">
        <v>4</v>
      </c>
      <c r="V55" s="70">
        <v>52000</v>
      </c>
      <c r="W55" s="70">
        <v>47.87</v>
      </c>
      <c r="X55" s="70">
        <v>56.57</v>
      </c>
      <c r="Y55" s="70">
        <v>76.069999999999993</v>
      </c>
      <c r="Z55" s="70" t="s">
        <v>402</v>
      </c>
      <c r="AA55" s="70" t="s">
        <v>403</v>
      </c>
      <c r="AB55" s="70" t="s">
        <v>404</v>
      </c>
      <c r="AC55" s="70" t="s">
        <v>405</v>
      </c>
      <c r="AD55" s="70"/>
    </row>
    <row r="56" spans="1:30" x14ac:dyDescent="0.45">
      <c r="D56" s="7">
        <f>COUNTIF(tRetro[[#This Row],[Key 1]],tRetro[[#This Row],[MVP Key]])</f>
        <v>0</v>
      </c>
      <c r="E56" s="7">
        <f>COUNTIF(tRetro[[#This Row],[Key 1]],"&lt;&gt;"&amp;tRetro[[#This Row],[MVP Key]])</f>
        <v>1</v>
      </c>
      <c r="G56" s="7" t="str">
        <f>MID(tRetro[[#This Row],[MVP_pos]],1,FIND(":",tRetro[[#This Row],[MVP_pos]])-1)</f>
        <v>QB</v>
      </c>
      <c r="H56" s="7">
        <f>INT(MID(tRetro[[#This Row],[Key 2]],1,1))</f>
        <v>1</v>
      </c>
      <c r="I56" s="71">
        <v>3356</v>
      </c>
      <c r="J56" s="88"/>
      <c r="K56" s="71">
        <v>12</v>
      </c>
      <c r="L56" s="71">
        <v>2</v>
      </c>
      <c r="M56" s="71">
        <v>1</v>
      </c>
      <c r="N56" s="71" t="s">
        <v>12</v>
      </c>
      <c r="O56" s="71" t="s">
        <v>75</v>
      </c>
      <c r="P56" s="71" t="s">
        <v>10</v>
      </c>
      <c r="Q56" s="71" t="s">
        <v>76</v>
      </c>
      <c r="R56" s="71" t="s">
        <v>406</v>
      </c>
      <c r="S56" s="88"/>
      <c r="T56" s="71"/>
      <c r="U56" s="71">
        <v>4</v>
      </c>
      <c r="V56" s="71">
        <v>57000</v>
      </c>
      <c r="W56" s="71">
        <v>64.58</v>
      </c>
      <c r="X56" s="71">
        <v>77.61</v>
      </c>
      <c r="Y56" s="71">
        <v>108.73</v>
      </c>
      <c r="Z56" s="71" t="s">
        <v>407</v>
      </c>
      <c r="AA56" s="71" t="s">
        <v>408</v>
      </c>
      <c r="AB56" s="71" t="s">
        <v>409</v>
      </c>
      <c r="AC56" s="71" t="s">
        <v>410</v>
      </c>
      <c r="AD56" s="71"/>
    </row>
    <row r="57" spans="1:30" x14ac:dyDescent="0.45">
      <c r="D57" s="7">
        <f>COUNTIF(tRetro[[#This Row],[Key 1]],tRetro[[#This Row],[MVP Key]])</f>
        <v>0</v>
      </c>
      <c r="E57" s="7">
        <f>COUNTIF(tRetro[[#This Row],[Key 1]],"&lt;&gt;"&amp;tRetro[[#This Row],[MVP Key]])</f>
        <v>1</v>
      </c>
      <c r="G57" s="7" t="str">
        <f>MID(tRetro[[#This Row],[MVP_pos]],1,FIND(":",tRetro[[#This Row],[MVP_pos]])-1)</f>
        <v>D</v>
      </c>
      <c r="H57" s="7">
        <f>INT(MID(tRetro[[#This Row],[Key 2]],1,1))</f>
        <v>2</v>
      </c>
      <c r="I57" s="72">
        <v>21593</v>
      </c>
      <c r="J57" s="88"/>
      <c r="K57" s="72">
        <v>27</v>
      </c>
      <c r="L57" s="72">
        <v>10</v>
      </c>
      <c r="M57" s="72">
        <v>11</v>
      </c>
      <c r="N57" s="72" t="s">
        <v>411</v>
      </c>
      <c r="O57" s="72" t="s">
        <v>412</v>
      </c>
      <c r="P57" s="72" t="s">
        <v>377</v>
      </c>
      <c r="Q57" s="72" t="s">
        <v>83</v>
      </c>
      <c r="R57" s="72" t="s">
        <v>413</v>
      </c>
      <c r="S57" s="88"/>
      <c r="T57" s="72"/>
      <c r="U57" s="72">
        <v>2</v>
      </c>
      <c r="V57" s="72">
        <v>52500</v>
      </c>
      <c r="W57" s="72">
        <v>54.37</v>
      </c>
      <c r="X57" s="72">
        <v>58.24</v>
      </c>
      <c r="Y57" s="72">
        <v>63.6</v>
      </c>
      <c r="Z57" s="72" t="s">
        <v>414</v>
      </c>
      <c r="AA57" s="72" t="s">
        <v>415</v>
      </c>
      <c r="AB57" s="72" t="s">
        <v>416</v>
      </c>
      <c r="AC57" s="72" t="s">
        <v>417</v>
      </c>
      <c r="AD57" s="72"/>
    </row>
    <row r="58" spans="1:30" x14ac:dyDescent="0.45">
      <c r="D58" s="7">
        <f>COUNTIF(tRetro[[#This Row],[Key 1]],tRetro[[#This Row],[MVP Key]])</f>
        <v>0</v>
      </c>
      <c r="E58" s="7">
        <f>COUNTIF(tRetro[[#This Row],[Key 1]],"&lt;&gt;"&amp;tRetro[[#This Row],[MVP Key]])</f>
        <v>1</v>
      </c>
      <c r="G58" s="7" t="str">
        <f>MID(tRetro[[#This Row],[MVP_pos]],1,FIND(":",tRetro[[#This Row],[MVP_pos]])-1)</f>
        <v>QB</v>
      </c>
      <c r="H58" s="7">
        <f>INT(MID(tRetro[[#This Row],[Key 2]],1,1))</f>
        <v>1</v>
      </c>
      <c r="I58" s="73">
        <v>391</v>
      </c>
      <c r="J58" s="88"/>
      <c r="K58" s="73">
        <v>12</v>
      </c>
      <c r="L58" s="73">
        <v>2</v>
      </c>
      <c r="M58" s="73">
        <v>1</v>
      </c>
      <c r="N58" s="73" t="s">
        <v>67</v>
      </c>
      <c r="O58" s="73" t="s">
        <v>369</v>
      </c>
      <c r="P58" s="73" t="s">
        <v>53</v>
      </c>
      <c r="Q58" s="73" t="s">
        <v>272</v>
      </c>
      <c r="R58" s="73" t="s">
        <v>418</v>
      </c>
      <c r="S58" s="88"/>
      <c r="T58" s="73"/>
      <c r="U58" s="73">
        <v>2</v>
      </c>
      <c r="V58" s="73">
        <v>60000</v>
      </c>
      <c r="W58" s="73">
        <v>63.88</v>
      </c>
      <c r="X58" s="73">
        <v>74.91</v>
      </c>
      <c r="Y58" s="73">
        <v>135.57</v>
      </c>
      <c r="Z58" s="73" t="s">
        <v>419</v>
      </c>
      <c r="AA58" s="73" t="s">
        <v>420</v>
      </c>
      <c r="AB58" s="73" t="s">
        <v>421</v>
      </c>
      <c r="AC58" s="73" t="s">
        <v>422</v>
      </c>
      <c r="AD58" s="73"/>
    </row>
    <row r="59" spans="1:30" x14ac:dyDescent="0.45">
      <c r="D59" s="7">
        <f>COUNTIF(tRetro[[#This Row],[Key 1]],tRetro[[#This Row],[MVP Key]])</f>
        <v>0</v>
      </c>
      <c r="E59" s="7">
        <f>COUNTIF(tRetro[[#This Row],[Key 1]],"&lt;&gt;"&amp;tRetro[[#This Row],[MVP Key]])</f>
        <v>1</v>
      </c>
      <c r="G59" s="7" t="str">
        <f>MID(tRetro[[#This Row],[MVP_pos]],1,FIND(":",tRetro[[#This Row],[MVP_pos]])-1)</f>
        <v>QB</v>
      </c>
      <c r="H59" s="7">
        <f>INT(MID(tRetro[[#This Row],[Key 2]],1,1))</f>
        <v>1</v>
      </c>
      <c r="I59" s="74">
        <v>5841</v>
      </c>
      <c r="J59" s="88"/>
      <c r="K59" s="74">
        <v>13</v>
      </c>
      <c r="L59" s="74">
        <v>3</v>
      </c>
      <c r="M59" s="74">
        <v>3</v>
      </c>
      <c r="N59" s="74" t="s">
        <v>90</v>
      </c>
      <c r="O59" s="74" t="s">
        <v>82</v>
      </c>
      <c r="P59" s="74" t="s">
        <v>20</v>
      </c>
      <c r="Q59" s="74" t="s">
        <v>258</v>
      </c>
      <c r="R59" s="74" t="s">
        <v>423</v>
      </c>
      <c r="S59" s="88"/>
      <c r="T59" s="74"/>
      <c r="U59" s="74">
        <v>3</v>
      </c>
      <c r="V59" s="74">
        <v>59000</v>
      </c>
      <c r="W59" s="74">
        <v>63.66</v>
      </c>
      <c r="X59" s="74">
        <v>72.28</v>
      </c>
      <c r="Y59" s="74">
        <v>146.94</v>
      </c>
      <c r="Z59" s="74" t="s">
        <v>424</v>
      </c>
      <c r="AA59" s="74" t="s">
        <v>425</v>
      </c>
      <c r="AB59" s="74" t="s">
        <v>426</v>
      </c>
      <c r="AC59" s="74" t="s">
        <v>427</v>
      </c>
      <c r="AD59" s="74"/>
    </row>
    <row r="60" spans="1:30" x14ac:dyDescent="0.45">
      <c r="D60" s="7">
        <f>COUNTIF(tRetro[[#This Row],[Key 1]],tRetro[[#This Row],[MVP Key]])</f>
        <v>1</v>
      </c>
      <c r="E60" s="7">
        <f>COUNTIF(tRetro[[#This Row],[Key 1]],"&lt;&gt;"&amp;tRetro[[#This Row],[MVP Key]])</f>
        <v>0</v>
      </c>
      <c r="G60" s="7" t="str">
        <f>MID(tRetro[[#This Row],[MVP_pos]],1,FIND(":",tRetro[[#This Row],[MVP_pos]])-1)</f>
        <v>WR1</v>
      </c>
      <c r="H60" s="7">
        <f>INT(MID(tRetro[[#This Row],[Key 2]],1,1))</f>
        <v>1</v>
      </c>
      <c r="I60" s="75">
        <v>2340</v>
      </c>
      <c r="J60" s="88"/>
      <c r="K60" s="75">
        <v>12</v>
      </c>
      <c r="L60" s="75">
        <v>1</v>
      </c>
      <c r="M60" s="75">
        <v>2</v>
      </c>
      <c r="N60" s="75" t="s">
        <v>65</v>
      </c>
      <c r="O60" s="75" t="s">
        <v>66</v>
      </c>
      <c r="P60" s="75" t="s">
        <v>103</v>
      </c>
      <c r="Q60" s="75" t="s">
        <v>428</v>
      </c>
      <c r="R60" s="75" t="s">
        <v>188</v>
      </c>
      <c r="S60" s="88"/>
      <c r="T60" s="75"/>
      <c r="U60" s="75">
        <v>3</v>
      </c>
      <c r="V60" s="75">
        <v>59000</v>
      </c>
      <c r="W60" s="75">
        <v>70.28</v>
      </c>
      <c r="X60" s="75">
        <v>80.760000000000005</v>
      </c>
      <c r="Y60" s="75">
        <v>90.98</v>
      </c>
      <c r="Z60" s="75" t="s">
        <v>429</v>
      </c>
      <c r="AA60" s="75" t="s">
        <v>430</v>
      </c>
      <c r="AB60" s="75" t="s">
        <v>431</v>
      </c>
      <c r="AC60" s="75" t="s">
        <v>432</v>
      </c>
      <c r="AD60" s="75"/>
    </row>
    <row r="61" spans="1:30" x14ac:dyDescent="0.45">
      <c r="D61" s="7">
        <f>COUNTIF(tRetro[[#This Row],[Key 1]],tRetro[[#This Row],[MVP Key]])</f>
        <v>0</v>
      </c>
      <c r="E61" s="7">
        <f>COUNTIF(tRetro[[#This Row],[Key 1]],"&lt;&gt;"&amp;tRetro[[#This Row],[MVP Key]])</f>
        <v>1</v>
      </c>
      <c r="G61" s="7" t="str">
        <f>MID(tRetro[[#This Row],[MVP_pos]],1,FIND(":",tRetro[[#This Row],[MVP_pos]])-1)</f>
        <v>RB</v>
      </c>
      <c r="H61" s="7">
        <f>INT(MID(tRetro[[#This Row],[Key 2]],1,1))</f>
        <v>2</v>
      </c>
      <c r="I61" s="76">
        <v>19936</v>
      </c>
      <c r="J61" s="88"/>
      <c r="K61" s="76">
        <v>24</v>
      </c>
      <c r="L61" s="76">
        <v>4</v>
      </c>
      <c r="M61" s="76">
        <v>3</v>
      </c>
      <c r="N61" s="76" t="s">
        <v>84</v>
      </c>
      <c r="O61" s="76" t="s">
        <v>82</v>
      </c>
      <c r="P61" s="76" t="s">
        <v>46</v>
      </c>
      <c r="Q61" s="76" t="s">
        <v>258</v>
      </c>
      <c r="R61" s="76" t="s">
        <v>378</v>
      </c>
      <c r="S61" s="88"/>
      <c r="T61" s="76"/>
      <c r="U61" s="76">
        <v>4</v>
      </c>
      <c r="V61" s="76">
        <v>60000</v>
      </c>
      <c r="W61" s="76">
        <v>75.94</v>
      </c>
      <c r="X61" s="76">
        <v>85.49</v>
      </c>
      <c r="Y61" s="76">
        <v>112.49</v>
      </c>
      <c r="Z61" s="76" t="s">
        <v>433</v>
      </c>
      <c r="AA61" s="76" t="s">
        <v>434</v>
      </c>
      <c r="AB61" s="76" t="s">
        <v>435</v>
      </c>
      <c r="AC61" s="76" t="s">
        <v>436</v>
      </c>
      <c r="AD61" s="76"/>
    </row>
    <row r="62" spans="1:30" x14ac:dyDescent="0.45">
      <c r="D62" s="7">
        <f>COUNTIF(tRetro[[#This Row],[Key 1]],tRetro[[#This Row],[MVP Key]])</f>
        <v>0</v>
      </c>
      <c r="E62" s="7">
        <f>COUNTIF(tRetro[[#This Row],[Key 1]],"&lt;&gt;"&amp;tRetro[[#This Row],[MVP Key]])</f>
        <v>1</v>
      </c>
      <c r="G62" s="7" t="str">
        <f>MID(tRetro[[#This Row],[MVP_pos]],1,FIND(":",tRetro[[#This Row],[MVP_pos]])-1)</f>
        <v>WR1</v>
      </c>
      <c r="H62" s="7">
        <f>INT(MID(tRetro[[#This Row],[Key 2]],1,1))</f>
        <v>1</v>
      </c>
      <c r="I62" s="77">
        <v>8557</v>
      </c>
      <c r="J62" s="88"/>
      <c r="K62" s="77">
        <v>13</v>
      </c>
      <c r="L62" s="77">
        <v>5</v>
      </c>
      <c r="M62" s="77">
        <v>6</v>
      </c>
      <c r="N62" s="77" t="s">
        <v>279</v>
      </c>
      <c r="O62" s="77" t="s">
        <v>257</v>
      </c>
      <c r="P62" s="77" t="s">
        <v>235</v>
      </c>
      <c r="Q62" s="77" t="s">
        <v>49</v>
      </c>
      <c r="R62" s="77" t="s">
        <v>51</v>
      </c>
      <c r="S62" s="88"/>
      <c r="T62" s="77"/>
      <c r="U62" s="77">
        <v>4</v>
      </c>
      <c r="V62" s="77">
        <v>59500</v>
      </c>
      <c r="W62" s="77">
        <v>65.209999999999994</v>
      </c>
      <c r="X62" s="77">
        <v>71.739999999999995</v>
      </c>
      <c r="Y62" s="77">
        <v>130.9</v>
      </c>
      <c r="Z62" s="77" t="s">
        <v>437</v>
      </c>
      <c r="AA62" s="77" t="s">
        <v>438</v>
      </c>
      <c r="AB62" s="77" t="s">
        <v>439</v>
      </c>
      <c r="AC62" s="77" t="s">
        <v>440</v>
      </c>
      <c r="AD62" s="77"/>
    </row>
    <row r="63" spans="1:30" x14ac:dyDescent="0.45">
      <c r="D63" s="7">
        <f>COUNTIF(tRetro[[#This Row],[Key 1]],tRetro[[#This Row],[MVP Key]])</f>
        <v>1</v>
      </c>
      <c r="E63" s="7">
        <f>COUNTIF(tRetro[[#This Row],[Key 1]],"&lt;&gt;"&amp;tRetro[[#This Row],[MVP Key]])</f>
        <v>0</v>
      </c>
      <c r="G63" s="7" t="str">
        <f>MID(tRetro[[#This Row],[MVP_pos]],1,FIND(":",tRetro[[#This Row],[MVP_pos]])-1)</f>
        <v>RB</v>
      </c>
      <c r="H63" s="7">
        <f>INT(MID(tRetro[[#This Row],[Key 2]],1,1))</f>
        <v>2</v>
      </c>
      <c r="I63" s="78">
        <v>32480</v>
      </c>
      <c r="J63" s="88"/>
      <c r="K63" s="78">
        <v>23</v>
      </c>
      <c r="L63" s="78">
        <v>2</v>
      </c>
      <c r="M63" s="78">
        <v>2</v>
      </c>
      <c r="N63" s="78" t="s">
        <v>75</v>
      </c>
      <c r="O63" s="78" t="s">
        <v>86</v>
      </c>
      <c r="P63" s="78" t="s">
        <v>104</v>
      </c>
      <c r="Q63" s="78" t="s">
        <v>75</v>
      </c>
      <c r="R63" s="78" t="s">
        <v>441</v>
      </c>
      <c r="S63" s="88"/>
      <c r="T63" s="78"/>
      <c r="U63" s="78">
        <v>2</v>
      </c>
      <c r="V63" s="78">
        <v>57500</v>
      </c>
      <c r="W63" s="78">
        <v>57.83</v>
      </c>
      <c r="X63" s="78">
        <v>68.239999999999995</v>
      </c>
      <c r="Y63" s="78">
        <v>108.2</v>
      </c>
      <c r="Z63" s="78" t="s">
        <v>442</v>
      </c>
      <c r="AA63" s="78" t="s">
        <v>443</v>
      </c>
      <c r="AB63" s="78" t="s">
        <v>444</v>
      </c>
      <c r="AC63" s="78" t="s">
        <v>445</v>
      </c>
    </row>
    <row r="64" spans="1:30" x14ac:dyDescent="0.45">
      <c r="D64" s="7">
        <f>COUNTIF(tRetro[[#This Row],[Key 1]],tRetro[[#This Row],[MVP Key]])</f>
        <v>1</v>
      </c>
      <c r="E64" s="7">
        <f>COUNTIF(tRetro[[#This Row],[Key 1]],"&lt;&gt;"&amp;tRetro[[#This Row],[MVP Key]])</f>
        <v>0</v>
      </c>
      <c r="G64" s="7" t="str">
        <f>MID(tRetro[[#This Row],[MVP_pos]],1,FIND(":",tRetro[[#This Row],[MVP_pos]])-1)</f>
        <v>QB</v>
      </c>
      <c r="H64" s="7">
        <f>INT(MID(tRetro[[#This Row],[Key 2]],1,1))</f>
        <v>1</v>
      </c>
      <c r="I64" s="79">
        <v>4420</v>
      </c>
      <c r="J64" s="88"/>
      <c r="K64" s="79">
        <v>13</v>
      </c>
      <c r="L64" s="79">
        <v>1</v>
      </c>
      <c r="M64" s="79">
        <v>2</v>
      </c>
      <c r="N64" s="79" t="s">
        <v>67</v>
      </c>
      <c r="O64" s="79" t="s">
        <v>446</v>
      </c>
      <c r="P64" s="79" t="s">
        <v>68</v>
      </c>
      <c r="Q64" s="79" t="s">
        <v>447</v>
      </c>
      <c r="R64" s="79" t="s">
        <v>448</v>
      </c>
      <c r="S64" s="88"/>
      <c r="T64" s="79"/>
      <c r="U64" s="79">
        <v>4</v>
      </c>
      <c r="V64" s="79">
        <v>57500</v>
      </c>
      <c r="W64" s="79">
        <v>64.05</v>
      </c>
      <c r="X64" s="79">
        <v>74.959999999999994</v>
      </c>
      <c r="Y64" s="79">
        <v>104.78</v>
      </c>
      <c r="Z64" s="79" t="s">
        <v>449</v>
      </c>
      <c r="AA64" s="79" t="s">
        <v>450</v>
      </c>
      <c r="AB64" s="79" t="s">
        <v>451</v>
      </c>
      <c r="AC64" s="79" t="s">
        <v>452</v>
      </c>
    </row>
    <row r="65" spans="4:29" x14ac:dyDescent="0.45">
      <c r="D65" s="7">
        <f>COUNTIF(tRetro[[#This Row],[Key 1]],tRetro[[#This Row],[MVP Key]])</f>
        <v>0</v>
      </c>
      <c r="E65" s="7">
        <f>COUNTIF(tRetro[[#This Row],[Key 1]],"&lt;&gt;"&amp;tRetro[[#This Row],[MVP Key]])</f>
        <v>1</v>
      </c>
      <c r="G65" s="7" t="str">
        <f>MID(tRetro[[#This Row],[MVP_pos]],1,FIND(":",tRetro[[#This Row],[MVP_pos]])-1)</f>
        <v>D</v>
      </c>
      <c r="H65" s="7">
        <f>INT(MID(tRetro[[#This Row],[Key 2]],1,1))</f>
        <v>3</v>
      </c>
      <c r="I65" s="80">
        <v>89779</v>
      </c>
      <c r="J65" s="88"/>
      <c r="K65" s="80">
        <v>34</v>
      </c>
      <c r="L65" s="80">
        <v>13</v>
      </c>
      <c r="M65" s="80">
        <v>13</v>
      </c>
      <c r="N65" s="80" t="s">
        <v>362</v>
      </c>
      <c r="O65" s="80" t="s">
        <v>240</v>
      </c>
      <c r="P65" s="80" t="s">
        <v>24</v>
      </c>
      <c r="Q65" s="80" t="s">
        <v>243</v>
      </c>
      <c r="R65" s="80" t="s">
        <v>220</v>
      </c>
      <c r="S65" s="88"/>
      <c r="T65" s="80"/>
      <c r="U65" s="80">
        <v>3</v>
      </c>
      <c r="V65" s="80">
        <v>59000</v>
      </c>
      <c r="W65" s="80">
        <v>64.17</v>
      </c>
      <c r="X65" s="80">
        <v>67.64</v>
      </c>
      <c r="Y65" s="80">
        <v>95.06</v>
      </c>
      <c r="Z65" s="80" t="s">
        <v>453</v>
      </c>
      <c r="AA65" s="80" t="s">
        <v>454</v>
      </c>
      <c r="AB65" s="80" t="s">
        <v>455</v>
      </c>
      <c r="AC65" s="80" t="s">
        <v>456</v>
      </c>
    </row>
    <row r="66" spans="4:29" x14ac:dyDescent="0.45">
      <c r="D66" s="7">
        <f>COUNTIF(tRetro[[#This Row],[Key 1]],tRetro[[#This Row],[MVP Key]])</f>
        <v>0</v>
      </c>
      <c r="E66" s="7">
        <f>COUNTIF(tRetro[[#This Row],[Key 1]],"&lt;&gt;"&amp;tRetro[[#This Row],[MVP Key]])</f>
        <v>1</v>
      </c>
      <c r="G66" s="7" t="str">
        <f>MID(tRetro[[#This Row],[MVP_pos]],1,FIND(":",tRetro[[#This Row],[MVP_pos]])-1)</f>
        <v>TE</v>
      </c>
      <c r="H66" s="7">
        <f>INT(MID(tRetro[[#This Row],[Key 2]],1,1))</f>
        <v>3</v>
      </c>
      <c r="I66" s="81">
        <v>74976</v>
      </c>
      <c r="J66" s="88"/>
      <c r="K66" s="81">
        <v>34</v>
      </c>
      <c r="L66" s="81">
        <v>4</v>
      </c>
      <c r="M66" s="81">
        <v>8</v>
      </c>
      <c r="N66" s="81" t="s">
        <v>457</v>
      </c>
      <c r="O66" s="81" t="s">
        <v>257</v>
      </c>
      <c r="P66" s="81" t="s">
        <v>48</v>
      </c>
      <c r="Q66" s="81" t="s">
        <v>458</v>
      </c>
      <c r="R66" s="81" t="s">
        <v>459</v>
      </c>
      <c r="S66" s="88"/>
      <c r="T66" s="81"/>
      <c r="U66" s="81">
        <v>2</v>
      </c>
      <c r="V66" s="81">
        <v>59500</v>
      </c>
      <c r="W66" s="81">
        <v>58.93</v>
      </c>
      <c r="X66" s="81">
        <v>63.62</v>
      </c>
      <c r="Y66" s="81">
        <v>92.4</v>
      </c>
      <c r="Z66" s="81" t="s">
        <v>460</v>
      </c>
      <c r="AA66" s="81" t="s">
        <v>461</v>
      </c>
      <c r="AB66" s="81" t="s">
        <v>462</v>
      </c>
      <c r="AC66" s="81" t="s">
        <v>463</v>
      </c>
    </row>
    <row r="67" spans="4:29" x14ac:dyDescent="0.45">
      <c r="D67" s="7">
        <f>COUNTIF(tRetro[[#This Row],[Key 1]],tRetro[[#This Row],[MVP Key]])</f>
        <v>1</v>
      </c>
      <c r="E67" s="7">
        <f>COUNTIF(tRetro[[#This Row],[Key 1]],"&lt;&gt;"&amp;tRetro[[#This Row],[MVP Key]])</f>
        <v>0</v>
      </c>
      <c r="G67" s="7" t="str">
        <f>MID(tRetro[[#This Row],[MVP_pos]],1,FIND(":",tRetro[[#This Row],[MVP_pos]])-1)</f>
        <v>RB</v>
      </c>
      <c r="H67" s="7">
        <f>INT(MID(tRetro[[#This Row],[Key 2]],1,1))</f>
        <v>1</v>
      </c>
      <c r="I67" s="82">
        <v>1420</v>
      </c>
      <c r="J67" s="88"/>
      <c r="K67" s="82">
        <v>12</v>
      </c>
      <c r="L67" s="82">
        <v>1</v>
      </c>
      <c r="M67" s="82">
        <v>3</v>
      </c>
      <c r="N67" s="82" t="s">
        <v>84</v>
      </c>
      <c r="O67" s="82" t="s">
        <v>67</v>
      </c>
      <c r="P67" s="82" t="s">
        <v>271</v>
      </c>
      <c r="Q67" s="82" t="s">
        <v>464</v>
      </c>
      <c r="R67" s="82" t="s">
        <v>465</v>
      </c>
      <c r="S67" s="88"/>
      <c r="T67" s="82"/>
      <c r="U67" s="82">
        <v>1</v>
      </c>
      <c r="V67" s="82">
        <v>58500</v>
      </c>
      <c r="W67" s="82">
        <v>63.15</v>
      </c>
      <c r="X67" s="82">
        <v>73.5</v>
      </c>
      <c r="Y67" s="82">
        <v>127.81</v>
      </c>
      <c r="Z67" s="82" t="s">
        <v>466</v>
      </c>
      <c r="AA67" s="82" t="s">
        <v>467</v>
      </c>
      <c r="AB67" s="82" t="s">
        <v>468</v>
      </c>
      <c r="AC67" s="82" t="s">
        <v>469</v>
      </c>
    </row>
    <row r="68" spans="4:29" x14ac:dyDescent="0.45">
      <c r="D68" s="7">
        <f>COUNTIF(tRetro[[#This Row],[Key 1]],tRetro[[#This Row],[MVP Key]])</f>
        <v>1</v>
      </c>
      <c r="E68" s="7">
        <f>COUNTIF(tRetro[[#This Row],[Key 1]],"&lt;&gt;"&amp;tRetro[[#This Row],[MVP Key]])</f>
        <v>0</v>
      </c>
      <c r="G68" s="7" t="str">
        <f>MID(tRetro[[#This Row],[MVP_pos]],1,FIND(":",tRetro[[#This Row],[MVP_pos]])-1)</f>
        <v>QB</v>
      </c>
      <c r="H68" s="7">
        <f>INT(MID(tRetro[[#This Row],[Key 2]],1,1))</f>
        <v>2</v>
      </c>
      <c r="I68" s="83">
        <v>52540</v>
      </c>
      <c r="J68" s="88"/>
      <c r="K68" s="83">
        <v>23</v>
      </c>
      <c r="L68" s="83">
        <v>2</v>
      </c>
      <c r="M68" s="83">
        <v>2</v>
      </c>
      <c r="N68" s="83" t="s">
        <v>32</v>
      </c>
      <c r="O68" s="83" t="s">
        <v>12</v>
      </c>
      <c r="P68" s="83" t="s">
        <v>388</v>
      </c>
      <c r="Q68" s="83" t="s">
        <v>470</v>
      </c>
      <c r="R68" s="83" t="s">
        <v>471</v>
      </c>
      <c r="S68" s="88"/>
      <c r="T68" s="83"/>
      <c r="U68" s="83">
        <v>2</v>
      </c>
      <c r="V68" s="83">
        <v>56500</v>
      </c>
      <c r="W68" s="83">
        <v>75.61</v>
      </c>
      <c r="X68" s="83">
        <v>87.95</v>
      </c>
      <c r="Y68" s="83">
        <v>88.58</v>
      </c>
      <c r="Z68" s="83" t="s">
        <v>472</v>
      </c>
      <c r="AA68" s="83" t="s">
        <v>473</v>
      </c>
      <c r="AB68" s="83" t="s">
        <v>474</v>
      </c>
      <c r="AC68" s="83" t="s">
        <v>475</v>
      </c>
    </row>
    <row r="69" spans="4:29" x14ac:dyDescent="0.45">
      <c r="D69" s="7">
        <f>COUNTIF(tRetro[[#This Row],[Key 1]],tRetro[[#This Row],[MVP Key]])</f>
        <v>1</v>
      </c>
      <c r="E69" s="7">
        <f>COUNTIF(tRetro[[#This Row],[Key 1]],"&lt;&gt;"&amp;tRetro[[#This Row],[MVP Key]])</f>
        <v>0</v>
      </c>
      <c r="G69" s="7" t="str">
        <f>MID(tRetro[[#This Row],[MVP_pos]],1,FIND(":",tRetro[[#This Row],[MVP_pos]])-1)</f>
        <v>RB</v>
      </c>
      <c r="H69" s="7">
        <f>INT(MID(tRetro[[#This Row],[Key 2]],1,1))</f>
        <v>1</v>
      </c>
      <c r="I69" s="84">
        <v>3300</v>
      </c>
      <c r="J69" s="88"/>
      <c r="K69" s="84">
        <v>13</v>
      </c>
      <c r="L69" s="84">
        <v>1</v>
      </c>
      <c r="M69" s="84">
        <v>1</v>
      </c>
      <c r="N69" s="84" t="s">
        <v>15</v>
      </c>
      <c r="O69" s="84" t="s">
        <v>56</v>
      </c>
      <c r="P69" s="84" t="s">
        <v>24</v>
      </c>
      <c r="Q69" s="84" t="s">
        <v>479</v>
      </c>
      <c r="R69" s="84" t="s">
        <v>300</v>
      </c>
      <c r="S69" s="88"/>
      <c r="T69" s="84"/>
      <c r="U69" s="84">
        <v>3</v>
      </c>
      <c r="V69" s="84">
        <v>60000</v>
      </c>
      <c r="W69" s="84">
        <v>74.59</v>
      </c>
      <c r="X69" s="84">
        <v>86.01</v>
      </c>
      <c r="Y69" s="84">
        <v>126.78</v>
      </c>
      <c r="Z69" s="84" t="s">
        <v>480</v>
      </c>
      <c r="AA69" s="84" t="s">
        <v>481</v>
      </c>
      <c r="AB69" s="84" t="s">
        <v>482</v>
      </c>
      <c r="AC69" s="84" t="s">
        <v>483</v>
      </c>
    </row>
    <row r="70" spans="4:29" x14ac:dyDescent="0.45">
      <c r="D70" s="7">
        <f>COUNTIF(tRetro[[#This Row],[Key 1]],tRetro[[#This Row],[MVP Key]])</f>
        <v>1</v>
      </c>
      <c r="E70" s="7">
        <f>COUNTIF(tRetro[[#This Row],[Key 1]],"&lt;&gt;"&amp;tRetro[[#This Row],[MVP Key]])</f>
        <v>0</v>
      </c>
      <c r="G70" s="7" t="str">
        <f>MID(tRetro[[#This Row],[MVP_pos]],1,FIND(":",tRetro[[#This Row],[MVP_pos]])-1)</f>
        <v>QB</v>
      </c>
      <c r="H70" s="7">
        <f>INT(MID(tRetro[[#This Row],[Key 2]],1,1))</f>
        <v>2</v>
      </c>
      <c r="I70" s="85">
        <v>48930</v>
      </c>
      <c r="J70" s="88"/>
      <c r="K70" s="85">
        <v>23</v>
      </c>
      <c r="L70" s="85">
        <v>2</v>
      </c>
      <c r="M70" s="85">
        <v>2</v>
      </c>
      <c r="N70" s="85" t="s">
        <v>62</v>
      </c>
      <c r="O70" s="85" t="s">
        <v>30</v>
      </c>
      <c r="P70" s="85" t="s">
        <v>11</v>
      </c>
      <c r="Q70" s="85" t="s">
        <v>13</v>
      </c>
      <c r="R70" s="85" t="s">
        <v>484</v>
      </c>
      <c r="S70" s="88"/>
      <c r="T70" s="85"/>
      <c r="U70" s="85">
        <v>3</v>
      </c>
      <c r="V70" s="85">
        <v>57500</v>
      </c>
      <c r="W70" s="85">
        <v>60.83</v>
      </c>
      <c r="X70" s="85">
        <v>70.09</v>
      </c>
      <c r="Y70" s="85">
        <v>119.45</v>
      </c>
      <c r="Z70" s="85" t="s">
        <v>485</v>
      </c>
      <c r="AA70" s="85" t="s">
        <v>486</v>
      </c>
      <c r="AB70" s="85" t="s">
        <v>487</v>
      </c>
      <c r="AC70" s="85" t="s">
        <v>488</v>
      </c>
    </row>
    <row r="71" spans="4:29" x14ac:dyDescent="0.45">
      <c r="D71" s="7">
        <f>COUNTIF(tRetro[[#This Row],[Key 1]],tRetro[[#This Row],[MVP Key]])</f>
        <v>1</v>
      </c>
      <c r="E71" s="7">
        <f>COUNTIF(tRetro[[#This Row],[Key 1]],"&lt;&gt;"&amp;tRetro[[#This Row],[MVP Key]])</f>
        <v>0</v>
      </c>
      <c r="G71" s="7" t="str">
        <f>MID(tRetro[[#This Row],[MVP_pos]],1,FIND(":",tRetro[[#This Row],[MVP_pos]])-1)</f>
        <v>RB</v>
      </c>
      <c r="H71" s="7">
        <f>INT(MID(tRetro[[#This Row],[Key 2]],1,1))</f>
        <v>1</v>
      </c>
      <c r="I71" s="7">
        <v>0</v>
      </c>
      <c r="K71" s="7">
        <v>12</v>
      </c>
      <c r="L71" s="7">
        <v>1</v>
      </c>
      <c r="M71" s="7">
        <v>1</v>
      </c>
      <c r="N71" s="7" t="s">
        <v>15</v>
      </c>
      <c r="O71" s="7" t="s">
        <v>67</v>
      </c>
      <c r="P71" s="7" t="s">
        <v>56</v>
      </c>
      <c r="Q71" s="7" t="s">
        <v>272</v>
      </c>
      <c r="R71" s="7" t="s">
        <v>15</v>
      </c>
      <c r="U71" s="7">
        <v>3</v>
      </c>
      <c r="V71" s="7">
        <v>60000</v>
      </c>
      <c r="W71" s="7">
        <v>76.61</v>
      </c>
      <c r="X71" s="7">
        <v>88.5</v>
      </c>
      <c r="Y71" s="7">
        <v>142.59</v>
      </c>
      <c r="Z71" s="7" t="s">
        <v>489</v>
      </c>
      <c r="AA71" s="7" t="s">
        <v>490</v>
      </c>
      <c r="AB71" s="7" t="s">
        <v>491</v>
      </c>
      <c r="AC71" s="7" t="s">
        <v>492</v>
      </c>
    </row>
    <row r="72" spans="4:29" x14ac:dyDescent="0.45">
      <c r="D72" s="7">
        <f>COUNTIF(tRetro[[#This Row],[Key 1]],tRetro[[#This Row],[MVP Key]])</f>
        <v>0</v>
      </c>
      <c r="E72" s="7">
        <f>COUNTIF(tRetro[[#This Row],[Key 1]],"&lt;&gt;"&amp;tRetro[[#This Row],[MVP Key]])</f>
        <v>1</v>
      </c>
      <c r="G72" s="7" t="str">
        <f>MID(tRetro[[#This Row],[MVP_pos]],1,FIND(":",tRetro[[#This Row],[MVP_pos]])-1)</f>
        <v>WR1</v>
      </c>
      <c r="H72" s="7">
        <f>INT(MID(tRetro[[#This Row],[Key 2]],1,1))</f>
        <v>2</v>
      </c>
      <c r="I72" s="86">
        <v>42457</v>
      </c>
      <c r="J72" s="88"/>
      <c r="K72" s="86">
        <v>23</v>
      </c>
      <c r="L72" s="86">
        <v>6</v>
      </c>
      <c r="M72" s="86">
        <v>7</v>
      </c>
      <c r="N72" s="86" t="s">
        <v>13</v>
      </c>
      <c r="O72" s="86" t="s">
        <v>56</v>
      </c>
      <c r="P72" s="86" t="s">
        <v>62</v>
      </c>
      <c r="Q72" s="86" t="s">
        <v>300</v>
      </c>
      <c r="R72" s="86" t="s">
        <v>493</v>
      </c>
      <c r="S72" s="88"/>
      <c r="T72" s="86"/>
      <c r="U72" s="86">
        <v>2</v>
      </c>
      <c r="V72" s="86">
        <v>56000</v>
      </c>
      <c r="W72" s="86">
        <v>68.14</v>
      </c>
      <c r="X72" s="86">
        <v>73.22</v>
      </c>
      <c r="Y72" s="86">
        <v>143.87</v>
      </c>
      <c r="Z72" s="86" t="s">
        <v>494</v>
      </c>
      <c r="AA72" s="86" t="s">
        <v>495</v>
      </c>
      <c r="AB72" s="86" t="s">
        <v>496</v>
      </c>
      <c r="AC72" s="86" t="s">
        <v>497</v>
      </c>
    </row>
    <row r="73" spans="4:29" x14ac:dyDescent="0.45">
      <c r="I73"/>
      <c r="J73" s="88"/>
    </row>
    <row r="74" spans="4:29" x14ac:dyDescent="0.45">
      <c r="I74"/>
      <c r="J74" s="88"/>
    </row>
    <row r="75" spans="4:29" x14ac:dyDescent="0.45">
      <c r="I75"/>
      <c r="J75" s="88"/>
    </row>
    <row r="76" spans="4:29" x14ac:dyDescent="0.45">
      <c r="I76"/>
      <c r="J76" s="88"/>
    </row>
    <row r="77" spans="4:29" x14ac:dyDescent="0.45">
      <c r="I77"/>
      <c r="J77" s="88"/>
    </row>
  </sheetData>
  <sortState xmlns:xlrd2="http://schemas.microsoft.com/office/spreadsheetml/2017/richdata2" ref="I39:I73">
    <sortCondition ref="I39:I73"/>
  </sortState>
  <phoneticPr fontId="19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18:K74"/>
  <sheetViews>
    <sheetView topLeftCell="A40" workbookViewId="0">
      <selection activeCell="B18" sqref="B18"/>
    </sheetView>
  </sheetViews>
  <sheetFormatPr defaultColWidth="10.3984375" defaultRowHeight="14.25" x14ac:dyDescent="0.45"/>
  <cols>
    <col min="2" max="2" width="10.86328125" customWidth="1"/>
  </cols>
  <sheetData>
    <row r="18" spans="2:11" x14ac:dyDescent="0.45">
      <c r="B18" t="str">
        <f t="array" ref="B18:C31">[1]!sql(SQL!B13,retro)</f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1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18" t="str">
        <f t="array" ref="J18:K34">[1]!sql(SQL!B15,retro)</f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18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19" spans="2:11" x14ac:dyDescent="0.45">
      <c r="B1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1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19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19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20" spans="2:11" x14ac:dyDescent="0.45">
      <c r="B2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2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20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20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21" spans="2:11" x14ac:dyDescent="0.45">
      <c r="B2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2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21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21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22" spans="2:11" x14ac:dyDescent="0.45">
      <c r="B22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22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22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22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23" spans="2:11" x14ac:dyDescent="0.45">
      <c r="B23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23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23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23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24" spans="2:11" x14ac:dyDescent="0.45">
      <c r="B24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24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24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24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25" spans="2:11" x14ac:dyDescent="0.45">
      <c r="B25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25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25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25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26" spans="2:11" x14ac:dyDescent="0.45">
      <c r="B26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26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26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26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27" spans="2:11" x14ac:dyDescent="0.45">
      <c r="B27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27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27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27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28" spans="2:11" x14ac:dyDescent="0.45">
      <c r="B2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2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28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28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29" spans="2:11" x14ac:dyDescent="0.45">
      <c r="B2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2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29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29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30" spans="2:11" x14ac:dyDescent="0.45">
      <c r="B3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3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30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30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31" spans="2:11" x14ac:dyDescent="0.45">
      <c r="B3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3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J31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31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32" spans="2:11" x14ac:dyDescent="0.45">
      <c r="J32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32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33" spans="2:11" x14ac:dyDescent="0.45">
      <c r="J33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33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34" spans="2:11" x14ac:dyDescent="0.45">
      <c r="J34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K34" t="str">
        <v>sqlite3.OperationalError: no such column: f_key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36" spans="2:11" x14ac:dyDescent="0.45">
      <c r="B36" t="str">
        <f t="array" ref="B36:C74">[1]!sql(SQL!B17,retro)</f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36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37" spans="2:11" x14ac:dyDescent="0.45">
      <c r="B37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37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38" spans="2:11" x14ac:dyDescent="0.45">
      <c r="B3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3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39" spans="2:11" x14ac:dyDescent="0.45">
      <c r="B3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3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0" spans="2:11" x14ac:dyDescent="0.45">
      <c r="B4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4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1" spans="2:11" x14ac:dyDescent="0.45">
      <c r="B4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4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2" spans="2:11" x14ac:dyDescent="0.45">
      <c r="B42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42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3" spans="2:11" x14ac:dyDescent="0.45">
      <c r="B43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43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4" spans="2:11" x14ac:dyDescent="0.45">
      <c r="B44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44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5" spans="2:11" x14ac:dyDescent="0.45">
      <c r="B45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45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6" spans="2:11" x14ac:dyDescent="0.45">
      <c r="B46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46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7" spans="2:11" x14ac:dyDescent="0.45">
      <c r="B47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47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8" spans="2:11" x14ac:dyDescent="0.45">
      <c r="B4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4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9" spans="2:3" x14ac:dyDescent="0.45">
      <c r="B4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4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0" spans="2:3" x14ac:dyDescent="0.45">
      <c r="B5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5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1" spans="2:3" x14ac:dyDescent="0.45">
      <c r="B5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5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2" spans="2:3" x14ac:dyDescent="0.45">
      <c r="B52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52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3" spans="2:3" x14ac:dyDescent="0.45">
      <c r="B53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53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4" spans="2:3" x14ac:dyDescent="0.45">
      <c r="B54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54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5" spans="2:3" x14ac:dyDescent="0.45">
      <c r="B55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55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6" spans="2:3" x14ac:dyDescent="0.45">
      <c r="B56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56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7" spans="2:3" x14ac:dyDescent="0.45">
      <c r="B57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57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8" spans="2:3" x14ac:dyDescent="0.45">
      <c r="B5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5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9" spans="2:3" x14ac:dyDescent="0.45">
      <c r="B5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5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0" spans="2:3" x14ac:dyDescent="0.45">
      <c r="B6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6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1" spans="2:3" x14ac:dyDescent="0.45">
      <c r="B6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6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2" spans="2:3" x14ac:dyDescent="0.45">
      <c r="B62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62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3" spans="2:3" x14ac:dyDescent="0.45">
      <c r="B63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63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4" spans="2:3" x14ac:dyDescent="0.45">
      <c r="B64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64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5" spans="2:3" x14ac:dyDescent="0.45">
      <c r="B65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65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6" spans="2:3" x14ac:dyDescent="0.45">
      <c r="B66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66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7" spans="2:3" x14ac:dyDescent="0.45">
      <c r="B67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67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8" spans="2:3" x14ac:dyDescent="0.45">
      <c r="B6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68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9" spans="2:3" x14ac:dyDescent="0.45">
      <c r="B6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69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70" spans="2:3" x14ac:dyDescent="0.45">
      <c r="B7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70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71" spans="2:3" x14ac:dyDescent="0.45">
      <c r="B7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71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72" spans="2:3" x14ac:dyDescent="0.45">
      <c r="B72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72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73" spans="2:3" x14ac:dyDescent="0.45">
      <c r="B73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73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74" spans="2:3" x14ac:dyDescent="0.45">
      <c r="B74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C74" t="str">
        <v>sqlite3.OperationalError: no such column: s_key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X94"/>
  <sheetViews>
    <sheetView workbookViewId="0">
      <pane ySplit="1" topLeftCell="A53" activePane="bottomLeft" state="frozen"/>
      <selection pane="bottomLeft" activeCell="A77" sqref="A77:D86"/>
    </sheetView>
  </sheetViews>
  <sheetFormatPr defaultRowHeight="14.25" x14ac:dyDescent="0.45"/>
  <cols>
    <col min="1" max="2" width="9.1328125" style="14"/>
    <col min="15" max="15" width="9.73046875" bestFit="1" customWidth="1"/>
  </cols>
  <sheetData>
    <row r="1" spans="1:24" s="5" customFormat="1" x14ac:dyDescent="0.45">
      <c r="A1" s="14" t="s">
        <v>36</v>
      </c>
      <c r="B1" s="14"/>
      <c r="C1" s="4" t="s">
        <v>43</v>
      </c>
      <c r="D1" s="12"/>
      <c r="E1" s="4" t="s">
        <v>44</v>
      </c>
      <c r="F1" s="12"/>
      <c r="G1" s="4" t="s">
        <v>37</v>
      </c>
      <c r="H1" s="12"/>
      <c r="I1" s="4" t="s">
        <v>38</v>
      </c>
      <c r="J1" s="12"/>
      <c r="K1" s="12"/>
      <c r="L1" s="4" t="s">
        <v>39</v>
      </c>
      <c r="M1" s="12"/>
      <c r="N1" s="4" t="s">
        <v>40</v>
      </c>
      <c r="O1" s="12"/>
      <c r="P1" s="4" t="s">
        <v>41</v>
      </c>
      <c r="Q1" s="12"/>
      <c r="R1" s="4" t="s">
        <v>42</v>
      </c>
      <c r="S1" s="4"/>
      <c r="T1" s="11" t="s">
        <v>292</v>
      </c>
      <c r="U1" s="11"/>
      <c r="V1" s="11"/>
      <c r="W1" s="11"/>
      <c r="X1" s="11"/>
    </row>
    <row r="2" spans="1:24" x14ac:dyDescent="0.45">
      <c r="A2" s="7" t="s">
        <v>12</v>
      </c>
      <c r="G2" s="7" t="s">
        <v>12</v>
      </c>
      <c r="I2" s="7" t="s">
        <v>11</v>
      </c>
      <c r="L2" s="7" t="s">
        <v>10</v>
      </c>
      <c r="N2" s="7" t="s">
        <v>13</v>
      </c>
      <c r="P2" s="7" t="s">
        <v>14</v>
      </c>
      <c r="Q2" s="5"/>
      <c r="R2" s="5"/>
      <c r="S2" s="5"/>
    </row>
    <row r="3" spans="1:24" x14ac:dyDescent="0.45">
      <c r="A3" s="7" t="s">
        <v>15</v>
      </c>
      <c r="C3" s="10"/>
      <c r="E3" s="7" t="s">
        <v>19</v>
      </c>
      <c r="F3" s="10"/>
      <c r="G3" s="10"/>
      <c r="I3" s="7" t="s">
        <v>15</v>
      </c>
      <c r="N3" s="7" t="s">
        <v>16</v>
      </c>
      <c r="P3" s="7" t="s">
        <v>17</v>
      </c>
      <c r="Q3" s="5"/>
      <c r="R3" s="7" t="s">
        <v>18</v>
      </c>
      <c r="S3" s="5"/>
    </row>
    <row r="4" spans="1:24" x14ac:dyDescent="0.45">
      <c r="A4" s="7" t="s">
        <v>22</v>
      </c>
      <c r="G4" s="7" t="s">
        <v>24</v>
      </c>
      <c r="I4" s="7" t="s">
        <v>21</v>
      </c>
      <c r="J4" s="7" t="s">
        <v>23</v>
      </c>
      <c r="M4" s="10"/>
      <c r="N4" s="7" t="s">
        <v>22</v>
      </c>
      <c r="P4" s="7" t="s">
        <v>20</v>
      </c>
      <c r="Q4" s="5"/>
      <c r="R4" s="5"/>
      <c r="S4" s="5"/>
    </row>
    <row r="5" spans="1:24" x14ac:dyDescent="0.45">
      <c r="A5" s="7" t="s">
        <v>25</v>
      </c>
      <c r="E5" s="7" t="s">
        <v>25</v>
      </c>
      <c r="I5" s="7" t="s">
        <v>26</v>
      </c>
      <c r="J5" s="7" t="s">
        <v>28</v>
      </c>
      <c r="M5" s="10"/>
      <c r="N5" s="7" t="s">
        <v>27</v>
      </c>
      <c r="P5" s="5"/>
      <c r="Q5" s="5"/>
      <c r="R5" s="7" t="s">
        <v>29</v>
      </c>
      <c r="S5" s="5"/>
    </row>
    <row r="6" spans="1:24" x14ac:dyDescent="0.45">
      <c r="A6" s="7" t="s">
        <v>56</v>
      </c>
      <c r="E6" s="7" t="s">
        <v>55</v>
      </c>
      <c r="G6" s="7" t="s">
        <v>57</v>
      </c>
      <c r="H6" s="7" t="s">
        <v>56</v>
      </c>
      <c r="K6" s="1"/>
      <c r="L6" s="1"/>
      <c r="M6" s="1"/>
      <c r="N6" s="7" t="s">
        <v>16</v>
      </c>
      <c r="P6" s="7" t="s">
        <v>54</v>
      </c>
      <c r="Q6" s="5"/>
      <c r="R6" s="5"/>
      <c r="S6" s="5"/>
    </row>
    <row r="7" spans="1:24" x14ac:dyDescent="0.45">
      <c r="A7" s="7" t="s">
        <v>30</v>
      </c>
      <c r="C7" s="7" t="s">
        <v>34</v>
      </c>
      <c r="G7" s="7" t="s">
        <v>32</v>
      </c>
      <c r="I7" s="7" t="s">
        <v>30</v>
      </c>
      <c r="J7" s="7" t="s">
        <v>33</v>
      </c>
      <c r="L7" s="7" t="s">
        <v>31</v>
      </c>
      <c r="M7" s="10"/>
      <c r="N7" s="5"/>
      <c r="O7" s="5"/>
      <c r="P7" s="5"/>
      <c r="Q7" s="5"/>
      <c r="R7" s="5"/>
      <c r="S7" s="5"/>
    </row>
    <row r="8" spans="1:24" x14ac:dyDescent="0.45">
      <c r="A8" s="7" t="s">
        <v>47</v>
      </c>
      <c r="C8" s="7" t="s">
        <v>51</v>
      </c>
      <c r="E8" s="7" t="s">
        <v>50</v>
      </c>
      <c r="F8" s="7" t="s">
        <v>49</v>
      </c>
      <c r="G8" s="7" t="s">
        <v>48</v>
      </c>
      <c r="I8" s="10"/>
      <c r="J8" s="10"/>
      <c r="K8" s="10"/>
      <c r="L8" s="10"/>
      <c r="M8" s="10"/>
      <c r="N8" s="5"/>
      <c r="O8" s="5"/>
      <c r="P8" s="7" t="s">
        <v>47</v>
      </c>
      <c r="Q8" s="5"/>
      <c r="R8" s="5"/>
      <c r="S8" s="5"/>
    </row>
    <row r="9" spans="1:24" x14ac:dyDescent="0.45">
      <c r="A9" s="7" t="s">
        <v>32</v>
      </c>
      <c r="G9" s="7" t="s">
        <v>32</v>
      </c>
      <c r="I9" s="7" t="s">
        <v>30</v>
      </c>
      <c r="J9" s="7" t="s">
        <v>30</v>
      </c>
      <c r="M9" s="10"/>
      <c r="N9" s="5"/>
      <c r="O9" s="5"/>
      <c r="P9" s="7" t="s">
        <v>64</v>
      </c>
      <c r="R9" s="7" t="s">
        <v>153</v>
      </c>
      <c r="S9" s="5"/>
    </row>
    <row r="10" spans="1:24" x14ac:dyDescent="0.45">
      <c r="A10" s="7" t="s">
        <v>13</v>
      </c>
      <c r="E10" s="7" t="s">
        <v>63</v>
      </c>
      <c r="G10" s="7" t="s">
        <v>62</v>
      </c>
      <c r="K10" s="10"/>
      <c r="L10" s="10"/>
      <c r="M10" s="10"/>
      <c r="N10" s="7" t="s">
        <v>53</v>
      </c>
      <c r="O10" s="7" t="s">
        <v>13</v>
      </c>
      <c r="P10" s="7" t="s">
        <v>54</v>
      </c>
      <c r="Q10" s="6"/>
      <c r="R10" s="6"/>
      <c r="S10" s="6"/>
    </row>
    <row r="11" spans="1:24" x14ac:dyDescent="0.45">
      <c r="A11" s="7" t="s">
        <v>58</v>
      </c>
      <c r="C11" s="7" t="s">
        <v>60</v>
      </c>
      <c r="G11" s="7" t="s">
        <v>58</v>
      </c>
      <c r="I11" s="7" t="s">
        <v>59</v>
      </c>
      <c r="L11" s="10"/>
      <c r="M11" s="10"/>
      <c r="N11" s="5"/>
      <c r="O11" s="5"/>
      <c r="P11" s="5"/>
      <c r="Q11" s="5"/>
      <c r="R11" s="7" t="s">
        <v>61</v>
      </c>
      <c r="S11" s="7" t="s">
        <v>29</v>
      </c>
    </row>
    <row r="12" spans="1:24" x14ac:dyDescent="0.45">
      <c r="A12" s="7" t="s">
        <v>65</v>
      </c>
      <c r="G12" s="7" t="s">
        <v>66</v>
      </c>
      <c r="H12" s="7" t="s">
        <v>67</v>
      </c>
      <c r="I12" s="7" t="s">
        <v>69</v>
      </c>
      <c r="L12" s="10"/>
      <c r="M12" s="10"/>
      <c r="N12" s="7" t="s">
        <v>65</v>
      </c>
      <c r="O12" s="7" t="s">
        <v>68</v>
      </c>
      <c r="P12" s="5"/>
      <c r="Q12" s="5"/>
      <c r="R12" s="5"/>
      <c r="S12" s="5"/>
    </row>
    <row r="13" spans="1:24" x14ac:dyDescent="0.45">
      <c r="A13" s="7" t="s">
        <v>75</v>
      </c>
      <c r="C13" s="7" t="s">
        <v>76</v>
      </c>
      <c r="G13" s="7" t="s">
        <v>12</v>
      </c>
      <c r="H13" s="7" t="s">
        <v>75</v>
      </c>
      <c r="I13" s="7" t="s">
        <v>75</v>
      </c>
      <c r="K13" s="1"/>
      <c r="L13" s="1"/>
      <c r="M13" s="1"/>
      <c r="N13" s="7" t="s">
        <v>476</v>
      </c>
      <c r="O13" s="5"/>
      <c r="P13" s="5"/>
      <c r="Q13" s="5"/>
      <c r="R13" s="5"/>
      <c r="S13" s="5"/>
    </row>
    <row r="14" spans="1:24" x14ac:dyDescent="0.45">
      <c r="A14" s="7" t="s">
        <v>70</v>
      </c>
      <c r="E14" s="7" t="s">
        <v>72</v>
      </c>
      <c r="I14" s="7" t="s">
        <v>73</v>
      </c>
      <c r="M14" s="10"/>
      <c r="N14" s="7" t="s">
        <v>74</v>
      </c>
      <c r="O14" s="7" t="s">
        <v>70</v>
      </c>
      <c r="P14" s="7" t="s">
        <v>71</v>
      </c>
      <c r="Q14" s="5"/>
      <c r="R14" s="5"/>
      <c r="S14" s="5"/>
    </row>
    <row r="15" spans="1:24" x14ac:dyDescent="0.45">
      <c r="A15" s="7" t="s">
        <v>74</v>
      </c>
      <c r="E15" s="7" t="s">
        <v>72</v>
      </c>
      <c r="I15" s="7" t="s">
        <v>73</v>
      </c>
      <c r="M15" s="1"/>
      <c r="N15" s="7" t="s">
        <v>74</v>
      </c>
      <c r="O15" s="7" t="s">
        <v>70</v>
      </c>
      <c r="P15" s="7" t="s">
        <v>71</v>
      </c>
      <c r="Q15" s="5"/>
      <c r="R15" s="5"/>
      <c r="S15" s="5"/>
      <c r="U15" s="6"/>
      <c r="V15" s="6"/>
    </row>
    <row r="16" spans="1:24" x14ac:dyDescent="0.45">
      <c r="A16" s="7" t="s">
        <v>81</v>
      </c>
      <c r="G16" s="7" t="s">
        <v>82</v>
      </c>
      <c r="H16" s="7" t="s">
        <v>83</v>
      </c>
      <c r="I16" s="7" t="s">
        <v>84</v>
      </c>
      <c r="J16" s="7" t="s">
        <v>81</v>
      </c>
      <c r="L16" s="7" t="s">
        <v>178</v>
      </c>
      <c r="M16" s="10"/>
      <c r="N16" s="5"/>
      <c r="O16" s="5"/>
      <c r="P16" s="5"/>
      <c r="Q16" s="5"/>
      <c r="R16" s="5"/>
      <c r="S16" s="5"/>
    </row>
    <row r="17" spans="1:22" x14ac:dyDescent="0.45">
      <c r="A17" s="7" t="s">
        <v>81</v>
      </c>
      <c r="G17" s="7" t="s">
        <v>82</v>
      </c>
      <c r="H17" s="7" t="s">
        <v>83</v>
      </c>
      <c r="I17" s="7" t="s">
        <v>84</v>
      </c>
      <c r="J17" s="7" t="s">
        <v>81</v>
      </c>
      <c r="L17" s="10"/>
      <c r="M17" s="10"/>
      <c r="N17" s="5"/>
      <c r="O17" s="6"/>
      <c r="P17" s="7" t="s">
        <v>20</v>
      </c>
      <c r="Q17" s="5"/>
      <c r="R17" s="5"/>
      <c r="S17" s="5"/>
    </row>
    <row r="18" spans="1:22" x14ac:dyDescent="0.45">
      <c r="A18" s="7" t="s">
        <v>77</v>
      </c>
      <c r="C18" s="7" t="s">
        <v>78</v>
      </c>
      <c r="E18" s="7" t="s">
        <v>77</v>
      </c>
      <c r="G18" s="7" t="s">
        <v>80</v>
      </c>
      <c r="I18" s="7" t="s">
        <v>79</v>
      </c>
      <c r="J18" s="7" t="s">
        <v>79</v>
      </c>
      <c r="K18" s="10"/>
      <c r="L18" s="10"/>
      <c r="M18" s="10"/>
      <c r="N18" s="5"/>
      <c r="O18" s="6"/>
      <c r="P18" s="5"/>
      <c r="Q18" s="5"/>
      <c r="R18" s="5"/>
      <c r="S18" s="5"/>
    </row>
    <row r="19" spans="1:22" x14ac:dyDescent="0.45">
      <c r="A19" s="7" t="s">
        <v>85</v>
      </c>
      <c r="G19" s="7" t="s">
        <v>85</v>
      </c>
      <c r="H19" s="7" t="s">
        <v>86</v>
      </c>
      <c r="I19" s="7" t="s">
        <v>73</v>
      </c>
      <c r="L19" s="7" t="s">
        <v>188</v>
      </c>
      <c r="N19" s="5"/>
      <c r="O19" s="6"/>
      <c r="P19" s="7" t="s">
        <v>87</v>
      </c>
      <c r="Q19" s="5"/>
      <c r="R19" s="5"/>
      <c r="S19" s="5"/>
    </row>
    <row r="20" spans="1:22" x14ac:dyDescent="0.45">
      <c r="A20" s="7" t="s">
        <v>11</v>
      </c>
      <c r="E20" s="7" t="s">
        <v>63</v>
      </c>
      <c r="G20" s="7" t="s">
        <v>62</v>
      </c>
      <c r="I20" s="7" t="s">
        <v>11</v>
      </c>
      <c r="L20" s="10"/>
      <c r="M20" s="10"/>
      <c r="N20" s="5"/>
      <c r="O20" s="6"/>
      <c r="P20" s="7" t="s">
        <v>88</v>
      </c>
      <c r="Q20" s="7" t="s">
        <v>89</v>
      </c>
      <c r="R20" s="5"/>
      <c r="S20" s="5"/>
    </row>
    <row r="21" spans="1:22" x14ac:dyDescent="0.45">
      <c r="A21" s="7" t="s">
        <v>57</v>
      </c>
      <c r="E21" s="7" t="s">
        <v>55</v>
      </c>
      <c r="G21" s="7" t="s">
        <v>57</v>
      </c>
      <c r="H21" s="7" t="s">
        <v>45</v>
      </c>
      <c r="K21" s="10"/>
      <c r="L21" s="10"/>
      <c r="M21" s="10"/>
      <c r="N21" s="7" t="s">
        <v>53</v>
      </c>
      <c r="P21" s="7" t="s">
        <v>54</v>
      </c>
      <c r="Q21" s="6"/>
      <c r="R21" s="6"/>
      <c r="S21" s="6"/>
      <c r="U21" s="6"/>
      <c r="V21" s="6"/>
    </row>
    <row r="22" spans="1:22" x14ac:dyDescent="0.45">
      <c r="A22" s="7" t="s">
        <v>96</v>
      </c>
      <c r="G22" s="7" t="s">
        <v>58</v>
      </c>
      <c r="I22" s="7" t="s">
        <v>30</v>
      </c>
      <c r="J22" s="7" t="s">
        <v>26</v>
      </c>
      <c r="M22" s="10"/>
      <c r="N22" s="7" t="s">
        <v>96</v>
      </c>
      <c r="P22" s="7" t="s">
        <v>97</v>
      </c>
      <c r="Q22" s="5"/>
      <c r="R22" s="5"/>
      <c r="S22" s="5"/>
    </row>
    <row r="23" spans="1:22" x14ac:dyDescent="0.45">
      <c r="A23" s="7" t="s">
        <v>66</v>
      </c>
      <c r="G23" s="7" t="s">
        <v>66</v>
      </c>
      <c r="H23" s="7" t="s">
        <v>93</v>
      </c>
      <c r="I23" s="7" t="s">
        <v>94</v>
      </c>
      <c r="J23" s="7" t="s">
        <v>95</v>
      </c>
      <c r="L23" s="10"/>
      <c r="M23" s="10"/>
      <c r="N23" s="5"/>
      <c r="O23" s="5"/>
      <c r="P23" s="7" t="s">
        <v>71</v>
      </c>
      <c r="Q23" s="5"/>
      <c r="R23" s="5"/>
      <c r="S23" s="5"/>
    </row>
    <row r="24" spans="1:22" x14ac:dyDescent="0.45">
      <c r="A24" s="7" t="s">
        <v>90</v>
      </c>
      <c r="G24" s="7" t="s">
        <v>83</v>
      </c>
      <c r="H24" s="7" t="s">
        <v>90</v>
      </c>
      <c r="L24" s="7" t="s">
        <v>91</v>
      </c>
      <c r="N24" s="7" t="s">
        <v>27</v>
      </c>
      <c r="P24" s="5"/>
      <c r="Q24" s="5"/>
      <c r="R24" s="7" t="s">
        <v>92</v>
      </c>
      <c r="S24" s="5"/>
    </row>
    <row r="25" spans="1:22" x14ac:dyDescent="0.45">
      <c r="A25" s="7" t="s">
        <v>12</v>
      </c>
      <c r="G25" s="7" t="s">
        <v>12</v>
      </c>
      <c r="H25" s="7" t="s">
        <v>45</v>
      </c>
      <c r="I25" s="7" t="s">
        <v>213</v>
      </c>
      <c r="L25" s="7" t="s">
        <v>10</v>
      </c>
      <c r="N25" s="5"/>
      <c r="O25" s="5"/>
      <c r="P25" s="7" t="s">
        <v>110</v>
      </c>
      <c r="Q25" s="5"/>
      <c r="R25" s="5"/>
      <c r="S25" s="5"/>
    </row>
    <row r="26" spans="1:22" x14ac:dyDescent="0.45">
      <c r="A26" s="7" t="s">
        <v>98</v>
      </c>
      <c r="C26" s="7" t="s">
        <v>100</v>
      </c>
      <c r="E26" s="7" t="s">
        <v>101</v>
      </c>
      <c r="G26" s="7" t="s">
        <v>99</v>
      </c>
      <c r="I26" s="7" t="s">
        <v>98</v>
      </c>
      <c r="K26" s="1"/>
      <c r="L26" s="1"/>
      <c r="M26" s="1"/>
      <c r="N26" s="2"/>
      <c r="O26" s="5"/>
      <c r="P26" s="5"/>
      <c r="Q26" s="5"/>
      <c r="R26" s="5"/>
      <c r="S26" s="5"/>
      <c r="T26" s="7" t="s">
        <v>215</v>
      </c>
      <c r="U26" s="6"/>
      <c r="V26" s="6"/>
    </row>
    <row r="27" spans="1:22" x14ac:dyDescent="0.45">
      <c r="A27" s="7" t="s">
        <v>26</v>
      </c>
      <c r="G27" s="7" t="s">
        <v>102</v>
      </c>
      <c r="I27" s="7" t="s">
        <v>26</v>
      </c>
      <c r="J27" s="7" t="s">
        <v>103</v>
      </c>
      <c r="N27" s="7" t="s">
        <v>104</v>
      </c>
      <c r="R27" s="7" t="s">
        <v>105</v>
      </c>
    </row>
    <row r="28" spans="1:22" x14ac:dyDescent="0.45">
      <c r="A28" s="7" t="s">
        <v>74</v>
      </c>
      <c r="E28" s="7" t="s">
        <v>25</v>
      </c>
      <c r="G28" s="7" t="s">
        <v>90</v>
      </c>
      <c r="I28" s="7" t="s">
        <v>116</v>
      </c>
      <c r="L28" s="7" t="s">
        <v>115</v>
      </c>
      <c r="N28" s="7" t="s">
        <v>74</v>
      </c>
    </row>
    <row r="29" spans="1:22" x14ac:dyDescent="0.45">
      <c r="A29" s="7" t="s">
        <v>24</v>
      </c>
      <c r="G29" s="7" t="s">
        <v>24</v>
      </c>
      <c r="I29" s="7" t="s">
        <v>220</v>
      </c>
      <c r="N29" s="7" t="s">
        <v>221</v>
      </c>
      <c r="R29" s="7" t="s">
        <v>222</v>
      </c>
      <c r="T29" s="7" t="s">
        <v>223</v>
      </c>
    </row>
    <row r="30" spans="1:22" x14ac:dyDescent="0.45">
      <c r="A30" s="7" t="s">
        <v>228</v>
      </c>
      <c r="C30" s="7" t="s">
        <v>229</v>
      </c>
      <c r="I30" s="7" t="s">
        <v>103</v>
      </c>
      <c r="J30" s="7" t="s">
        <v>228</v>
      </c>
      <c r="R30" s="7" t="s">
        <v>230</v>
      </c>
      <c r="S30" s="7" t="s">
        <v>105</v>
      </c>
    </row>
    <row r="31" spans="1:22" x14ac:dyDescent="0.45">
      <c r="A31" s="7" t="s">
        <v>96</v>
      </c>
      <c r="C31" s="7" t="s">
        <v>60</v>
      </c>
      <c r="G31" s="7" t="s">
        <v>58</v>
      </c>
      <c r="N31" s="7" t="s">
        <v>235</v>
      </c>
      <c r="O31" s="7" t="s">
        <v>96</v>
      </c>
      <c r="P31" s="7" t="s">
        <v>97</v>
      </c>
    </row>
    <row r="32" spans="1:22" x14ac:dyDescent="0.45">
      <c r="A32" s="7" t="s">
        <v>221</v>
      </c>
      <c r="C32" s="7" t="s">
        <v>242</v>
      </c>
      <c r="G32" s="7" t="s">
        <v>240</v>
      </c>
      <c r="L32" s="7" t="s">
        <v>243</v>
      </c>
      <c r="N32" s="7" t="s">
        <v>221</v>
      </c>
      <c r="P32" s="7" t="s">
        <v>241</v>
      </c>
    </row>
    <row r="33" spans="1:20" x14ac:dyDescent="0.45">
      <c r="A33" s="7" t="s">
        <v>13</v>
      </c>
      <c r="G33" s="7" t="s">
        <v>62</v>
      </c>
      <c r="I33" s="7" t="s">
        <v>11</v>
      </c>
      <c r="J33" s="7" t="s">
        <v>11</v>
      </c>
      <c r="L33" s="7" t="s">
        <v>111</v>
      </c>
      <c r="N33" s="7" t="s">
        <v>13</v>
      </c>
    </row>
    <row r="34" spans="1:20" x14ac:dyDescent="0.45">
      <c r="A34" s="7" t="s">
        <v>65</v>
      </c>
      <c r="G34" s="7" t="s">
        <v>12</v>
      </c>
      <c r="H34" s="7" t="s">
        <v>66</v>
      </c>
      <c r="L34" s="7" t="s">
        <v>10</v>
      </c>
      <c r="N34" s="7" t="s">
        <v>65</v>
      </c>
      <c r="T34" s="7" t="s">
        <v>252</v>
      </c>
    </row>
    <row r="35" spans="1:20" x14ac:dyDescent="0.45">
      <c r="A35" s="7" t="s">
        <v>257</v>
      </c>
      <c r="E35" s="7" t="s">
        <v>49</v>
      </c>
      <c r="I35" s="7" t="s">
        <v>257</v>
      </c>
      <c r="L35" s="7" t="s">
        <v>258</v>
      </c>
      <c r="N35" s="7" t="s">
        <v>46</v>
      </c>
      <c r="T35" s="7" t="s">
        <v>259</v>
      </c>
    </row>
    <row r="36" spans="1:20" x14ac:dyDescent="0.45">
      <c r="A36" s="7" t="s">
        <v>264</v>
      </c>
      <c r="E36" s="7" t="s">
        <v>264</v>
      </c>
      <c r="F36" s="7" t="s">
        <v>266</v>
      </c>
      <c r="G36" s="7" t="s">
        <v>24</v>
      </c>
      <c r="N36" s="7" t="s">
        <v>22</v>
      </c>
      <c r="P36" s="7" t="s">
        <v>265</v>
      </c>
    </row>
    <row r="37" spans="1:20" x14ac:dyDescent="0.45">
      <c r="A37" s="7" t="s">
        <v>15</v>
      </c>
      <c r="G37" s="7" t="s">
        <v>56</v>
      </c>
      <c r="I37" s="7" t="s">
        <v>15</v>
      </c>
      <c r="J37" s="7" t="s">
        <v>69</v>
      </c>
      <c r="K37" s="7" t="s">
        <v>271</v>
      </c>
      <c r="L37" s="7" t="s">
        <v>272</v>
      </c>
    </row>
    <row r="38" spans="1:20" x14ac:dyDescent="0.45">
      <c r="A38" s="14" t="s">
        <v>66</v>
      </c>
      <c r="G38" s="10" t="s">
        <v>66</v>
      </c>
      <c r="H38" s="10" t="s">
        <v>277</v>
      </c>
      <c r="L38" s="10" t="s">
        <v>280</v>
      </c>
      <c r="N38" s="10" t="s">
        <v>279</v>
      </c>
      <c r="P38" s="10" t="s">
        <v>278</v>
      </c>
    </row>
    <row r="39" spans="1:20" x14ac:dyDescent="0.45">
      <c r="A39" s="7" t="s">
        <v>257</v>
      </c>
      <c r="C39" s="7" t="s">
        <v>51</v>
      </c>
      <c r="G39" s="7" t="s">
        <v>85</v>
      </c>
      <c r="I39" s="7" t="s">
        <v>257</v>
      </c>
      <c r="N39" s="7" t="s">
        <v>74</v>
      </c>
      <c r="T39" s="7" t="s">
        <v>285</v>
      </c>
    </row>
    <row r="40" spans="1:20" x14ac:dyDescent="0.45">
      <c r="A40" s="14" t="s">
        <v>293</v>
      </c>
      <c r="G40" s="14" t="s">
        <v>294</v>
      </c>
      <c r="H40" s="14" t="s">
        <v>86</v>
      </c>
      <c r="I40" s="14" t="s">
        <v>103</v>
      </c>
      <c r="J40" s="14" t="s">
        <v>299</v>
      </c>
      <c r="K40" s="14"/>
      <c r="L40" s="14"/>
      <c r="M40" s="14"/>
      <c r="N40" s="14"/>
      <c r="O40" s="14"/>
      <c r="P40" s="14"/>
      <c r="R40" s="14" t="s">
        <v>105</v>
      </c>
    </row>
    <row r="41" spans="1:20" s="14" customFormat="1" x14ac:dyDescent="0.45">
      <c r="A41" s="7" t="s">
        <v>15</v>
      </c>
      <c r="B41" s="7"/>
      <c r="C41" s="7"/>
      <c r="D41" s="7"/>
      <c r="E41" s="7" t="s">
        <v>300</v>
      </c>
      <c r="F41" s="7"/>
      <c r="G41" s="7" t="s">
        <v>24</v>
      </c>
      <c r="H41" s="7"/>
      <c r="I41" s="7" t="s">
        <v>15</v>
      </c>
      <c r="N41" s="7" t="s">
        <v>16</v>
      </c>
      <c r="P41" s="7"/>
      <c r="Q41" s="7"/>
      <c r="R41" s="7" t="s">
        <v>222</v>
      </c>
    </row>
    <row r="42" spans="1:20" x14ac:dyDescent="0.45">
      <c r="A42" s="7" t="s">
        <v>12</v>
      </c>
      <c r="E42" s="7" t="s">
        <v>306</v>
      </c>
      <c r="G42" s="7" t="s">
        <v>12</v>
      </c>
      <c r="H42" s="7" t="s">
        <v>277</v>
      </c>
      <c r="I42" s="7" t="s">
        <v>75</v>
      </c>
      <c r="L42" s="7" t="s">
        <v>305</v>
      </c>
    </row>
    <row r="43" spans="1:20" s="15" customFormat="1" x14ac:dyDescent="0.45">
      <c r="A43" s="7" t="s">
        <v>80</v>
      </c>
      <c r="E43" s="7" t="s">
        <v>19</v>
      </c>
      <c r="G43" s="7" t="s">
        <v>80</v>
      </c>
      <c r="H43" s="7" t="s">
        <v>312</v>
      </c>
      <c r="I43" s="7" t="s">
        <v>311</v>
      </c>
      <c r="J43" s="7"/>
      <c r="L43" s="7" t="s">
        <v>31</v>
      </c>
    </row>
    <row r="44" spans="1:20" s="15" customFormat="1" x14ac:dyDescent="0.45">
      <c r="A44" s="7" t="s">
        <v>317</v>
      </c>
      <c r="B44" s="7"/>
      <c r="F44" s="7"/>
      <c r="G44" s="7" t="s">
        <v>62</v>
      </c>
      <c r="H44" s="7" t="s">
        <v>320</v>
      </c>
      <c r="I44" s="7"/>
      <c r="J44" s="7"/>
      <c r="L44" s="7" t="s">
        <v>317</v>
      </c>
      <c r="N44" s="7" t="s">
        <v>318</v>
      </c>
      <c r="P44" s="7" t="s">
        <v>319</v>
      </c>
    </row>
    <row r="45" spans="1:20" s="15" customFormat="1" x14ac:dyDescent="0.45">
      <c r="A45" s="18" t="s">
        <v>325</v>
      </c>
      <c r="C45" s="18" t="s">
        <v>100</v>
      </c>
      <c r="F45" s="7"/>
      <c r="G45" s="18" t="s">
        <v>294</v>
      </c>
      <c r="H45" s="7"/>
      <c r="I45" s="7"/>
      <c r="J45" s="7"/>
      <c r="L45" s="18" t="s">
        <v>326</v>
      </c>
      <c r="N45" s="18" t="s">
        <v>325</v>
      </c>
      <c r="T45" s="18" t="s">
        <v>327</v>
      </c>
    </row>
    <row r="46" spans="1:20" s="18" customFormat="1" x14ac:dyDescent="0.45">
      <c r="A46" s="24" t="s">
        <v>338</v>
      </c>
      <c r="F46" s="7"/>
      <c r="G46" s="24" t="s">
        <v>82</v>
      </c>
      <c r="H46" s="24" t="s">
        <v>312</v>
      </c>
      <c r="I46" s="24" t="s">
        <v>338</v>
      </c>
      <c r="J46" s="24" t="s">
        <v>23</v>
      </c>
      <c r="L46" s="7"/>
      <c r="R46" s="24" t="s">
        <v>339</v>
      </c>
    </row>
    <row r="47" spans="1:20" s="24" customFormat="1" x14ac:dyDescent="0.45">
      <c r="A47" s="25" t="s">
        <v>63</v>
      </c>
      <c r="E47" s="25" t="s">
        <v>63</v>
      </c>
      <c r="G47" s="25" t="s">
        <v>277</v>
      </c>
      <c r="H47" s="25" t="s">
        <v>62</v>
      </c>
      <c r="L47" s="7"/>
      <c r="N47" s="25" t="s">
        <v>13</v>
      </c>
      <c r="P47" s="25" t="s">
        <v>349</v>
      </c>
    </row>
    <row r="48" spans="1:20" s="15" customFormat="1" x14ac:dyDescent="0.45">
      <c r="A48" s="26" t="s">
        <v>65</v>
      </c>
      <c r="F48" s="7"/>
      <c r="G48" s="26" t="s">
        <v>66</v>
      </c>
      <c r="H48" s="7"/>
      <c r="I48" s="26" t="s">
        <v>94</v>
      </c>
      <c r="J48" s="26" t="s">
        <v>73</v>
      </c>
      <c r="L48" s="26" t="s">
        <v>355</v>
      </c>
      <c r="N48" s="26" t="s">
        <v>65</v>
      </c>
    </row>
    <row r="49" spans="1:20" s="26" customFormat="1" x14ac:dyDescent="0.45">
      <c r="A49" s="27" t="s">
        <v>220</v>
      </c>
      <c r="C49" s="27" t="s">
        <v>362</v>
      </c>
      <c r="E49" s="27" t="s">
        <v>264</v>
      </c>
      <c r="F49" s="7"/>
      <c r="G49" s="7"/>
      <c r="H49" s="7"/>
      <c r="I49" s="27" t="s">
        <v>360</v>
      </c>
      <c r="J49" s="27" t="s">
        <v>361</v>
      </c>
      <c r="P49" s="27" t="s">
        <v>265</v>
      </c>
    </row>
    <row r="50" spans="1:20" s="27" customFormat="1" x14ac:dyDescent="0.45">
      <c r="A50" s="30" t="s">
        <v>367</v>
      </c>
      <c r="C50" s="30" t="s">
        <v>367</v>
      </c>
      <c r="G50" s="30" t="s">
        <v>320</v>
      </c>
      <c r="I50" s="30" t="s">
        <v>369</v>
      </c>
      <c r="J50" s="30" t="s">
        <v>370</v>
      </c>
      <c r="N50" s="30" t="s">
        <v>53</v>
      </c>
    </row>
    <row r="51" spans="1:20" s="29" customFormat="1" x14ac:dyDescent="0.45">
      <c r="A51" s="7" t="s">
        <v>375</v>
      </c>
      <c r="E51" s="7" t="s">
        <v>378</v>
      </c>
      <c r="F51" s="7"/>
      <c r="G51" s="7"/>
      <c r="H51" s="7"/>
      <c r="I51" s="7" t="s">
        <v>375</v>
      </c>
      <c r="J51" s="7" t="s">
        <v>377</v>
      </c>
      <c r="N51" s="7" t="s">
        <v>221</v>
      </c>
      <c r="P51" s="7" t="s">
        <v>376</v>
      </c>
    </row>
    <row r="52" spans="1:20" s="27" customFormat="1" x14ac:dyDescent="0.45">
      <c r="A52" s="31" t="s">
        <v>277</v>
      </c>
      <c r="E52" s="31" t="s">
        <v>101</v>
      </c>
      <c r="F52" s="7"/>
      <c r="G52" s="31" t="s">
        <v>277</v>
      </c>
      <c r="H52" s="31" t="s">
        <v>99</v>
      </c>
      <c r="I52" s="31" t="s">
        <v>383</v>
      </c>
      <c r="J52" s="31" t="s">
        <v>383</v>
      </c>
    </row>
    <row r="53" spans="1:20" s="31" customFormat="1" x14ac:dyDescent="0.45">
      <c r="A53" s="32" t="s">
        <v>75</v>
      </c>
      <c r="C53" s="32" t="s">
        <v>76</v>
      </c>
      <c r="F53" s="7"/>
      <c r="G53" s="32" t="s">
        <v>12</v>
      </c>
      <c r="I53" s="32" t="s">
        <v>75</v>
      </c>
      <c r="J53" s="32" t="s">
        <v>103</v>
      </c>
      <c r="N53" s="32" t="s">
        <v>388</v>
      </c>
    </row>
    <row r="54" spans="1:20" s="32" customFormat="1" x14ac:dyDescent="0.45">
      <c r="A54" s="33" t="s">
        <v>45</v>
      </c>
      <c r="E54" s="33" t="s">
        <v>395</v>
      </c>
      <c r="F54" s="7"/>
      <c r="G54" s="33" t="s">
        <v>45</v>
      </c>
      <c r="H54" s="33" t="s">
        <v>85</v>
      </c>
      <c r="I54" s="33" t="s">
        <v>393</v>
      </c>
      <c r="P54" s="33" t="s">
        <v>394</v>
      </c>
    </row>
    <row r="55" spans="1:20" s="33" customFormat="1" x14ac:dyDescent="0.45">
      <c r="A55" s="34" t="s">
        <v>311</v>
      </c>
      <c r="C55" s="34" t="s">
        <v>401</v>
      </c>
      <c r="E55" s="34" t="s">
        <v>19</v>
      </c>
      <c r="F55" s="7"/>
      <c r="G55" s="34" t="s">
        <v>400</v>
      </c>
      <c r="I55" s="34" t="s">
        <v>311</v>
      </c>
      <c r="J55" s="34" t="s">
        <v>311</v>
      </c>
    </row>
    <row r="56" spans="1:20" s="31" customFormat="1" x14ac:dyDescent="0.45">
      <c r="A56" s="35" t="s">
        <v>12</v>
      </c>
      <c r="C56" s="35" t="s">
        <v>76</v>
      </c>
      <c r="F56" s="7"/>
      <c r="G56" s="35" t="s">
        <v>12</v>
      </c>
      <c r="I56" s="35" t="s">
        <v>75</v>
      </c>
      <c r="L56" s="35" t="s">
        <v>10</v>
      </c>
      <c r="R56" s="35" t="s">
        <v>406</v>
      </c>
    </row>
    <row r="57" spans="1:20" s="35" customFormat="1" x14ac:dyDescent="0.45">
      <c r="A57" s="36" t="s">
        <v>411</v>
      </c>
      <c r="C57" s="36" t="s">
        <v>411</v>
      </c>
      <c r="D57" s="36" t="s">
        <v>413</v>
      </c>
      <c r="G57" s="36" t="s">
        <v>83</v>
      </c>
      <c r="I57" s="36" t="s">
        <v>377</v>
      </c>
      <c r="N57" s="36" t="s">
        <v>412</v>
      </c>
    </row>
    <row r="58" spans="1:20" s="36" customFormat="1" x14ac:dyDescent="0.45">
      <c r="A58" s="37" t="s">
        <v>67</v>
      </c>
      <c r="G58" s="37" t="s">
        <v>67</v>
      </c>
      <c r="I58" s="37" t="s">
        <v>369</v>
      </c>
      <c r="L58" s="37" t="s">
        <v>272</v>
      </c>
      <c r="N58" s="37" t="s">
        <v>53</v>
      </c>
      <c r="P58" s="37" t="s">
        <v>418</v>
      </c>
    </row>
    <row r="59" spans="1:20" s="35" customFormat="1" x14ac:dyDescent="0.45">
      <c r="A59" s="38" t="s">
        <v>90</v>
      </c>
      <c r="F59" s="7"/>
      <c r="G59" s="38" t="s">
        <v>90</v>
      </c>
      <c r="H59" s="38" t="s">
        <v>82</v>
      </c>
      <c r="L59" s="38" t="s">
        <v>258</v>
      </c>
      <c r="P59" s="38" t="s">
        <v>20</v>
      </c>
      <c r="R59" s="38" t="s">
        <v>423</v>
      </c>
    </row>
    <row r="60" spans="1:20" s="38" customFormat="1" x14ac:dyDescent="0.45">
      <c r="A60" s="39" t="s">
        <v>65</v>
      </c>
      <c r="E60" s="39" t="s">
        <v>428</v>
      </c>
      <c r="F60" s="7"/>
      <c r="G60" s="39" t="s">
        <v>66</v>
      </c>
      <c r="I60" s="39" t="s">
        <v>103</v>
      </c>
      <c r="L60" s="39" t="s">
        <v>188</v>
      </c>
      <c r="N60" s="39" t="s">
        <v>65</v>
      </c>
    </row>
    <row r="61" spans="1:20" s="39" customFormat="1" x14ac:dyDescent="0.45">
      <c r="A61" s="40" t="s">
        <v>84</v>
      </c>
      <c r="E61" s="40" t="s">
        <v>378</v>
      </c>
      <c r="F61" s="7"/>
      <c r="G61" s="40" t="s">
        <v>82</v>
      </c>
      <c r="I61" s="40" t="s">
        <v>84</v>
      </c>
      <c r="L61" s="40" t="s">
        <v>258</v>
      </c>
      <c r="N61" s="40" t="s">
        <v>46</v>
      </c>
    </row>
    <row r="62" spans="1:20" s="40" customFormat="1" x14ac:dyDescent="0.45">
      <c r="A62" s="41" t="s">
        <v>279</v>
      </c>
      <c r="C62" s="41" t="s">
        <v>51</v>
      </c>
      <c r="E62" s="41" t="s">
        <v>49</v>
      </c>
      <c r="F62" s="7"/>
      <c r="I62" s="41" t="s">
        <v>257</v>
      </c>
      <c r="N62" s="41" t="s">
        <v>279</v>
      </c>
      <c r="O62" s="41" t="s">
        <v>235</v>
      </c>
    </row>
    <row r="63" spans="1:20" s="41" customFormat="1" x14ac:dyDescent="0.45">
      <c r="A63" s="42" t="s">
        <v>75</v>
      </c>
      <c r="F63" s="7"/>
      <c r="G63" s="42" t="s">
        <v>86</v>
      </c>
      <c r="I63" s="42" t="s">
        <v>75</v>
      </c>
      <c r="J63" s="42" t="s">
        <v>75</v>
      </c>
      <c r="N63" s="42" t="s">
        <v>104</v>
      </c>
      <c r="P63" s="42" t="s">
        <v>441</v>
      </c>
    </row>
    <row r="64" spans="1:20" s="42" customFormat="1" x14ac:dyDescent="0.45">
      <c r="A64" s="43" t="s">
        <v>67</v>
      </c>
      <c r="F64" s="7"/>
      <c r="G64" s="43" t="s">
        <v>67</v>
      </c>
      <c r="I64" s="43" t="s">
        <v>447</v>
      </c>
      <c r="N64" s="43" t="s">
        <v>446</v>
      </c>
      <c r="O64" s="43" t="s">
        <v>68</v>
      </c>
      <c r="T64" s="43" t="s">
        <v>448</v>
      </c>
    </row>
    <row r="65" spans="1:20" s="43" customFormat="1" x14ac:dyDescent="0.45">
      <c r="A65" s="44" t="s">
        <v>362</v>
      </c>
      <c r="C65" s="44" t="s">
        <v>362</v>
      </c>
      <c r="G65" s="44" t="s">
        <v>240</v>
      </c>
      <c r="H65" s="44" t="s">
        <v>24</v>
      </c>
      <c r="I65" s="44" t="s">
        <v>220</v>
      </c>
      <c r="L65" s="44" t="s">
        <v>243</v>
      </c>
    </row>
    <row r="66" spans="1:20" s="44" customFormat="1" x14ac:dyDescent="0.45">
      <c r="A66" s="45" t="s">
        <v>457</v>
      </c>
      <c r="C66" s="45" t="s">
        <v>459</v>
      </c>
      <c r="G66" s="45" t="s">
        <v>48</v>
      </c>
      <c r="I66" s="45" t="s">
        <v>257</v>
      </c>
      <c r="J66" s="45" t="s">
        <v>458</v>
      </c>
      <c r="L66" s="45" t="s">
        <v>457</v>
      </c>
    </row>
    <row r="67" spans="1:20" s="45" customFormat="1" x14ac:dyDescent="0.45">
      <c r="A67" s="46" t="s">
        <v>84</v>
      </c>
      <c r="C67" s="46" t="s">
        <v>464</v>
      </c>
      <c r="G67" s="46" t="s">
        <v>67</v>
      </c>
      <c r="I67" s="46" t="s">
        <v>84</v>
      </c>
      <c r="J67" s="46" t="s">
        <v>271</v>
      </c>
      <c r="R67" s="46" t="s">
        <v>465</v>
      </c>
    </row>
    <row r="68" spans="1:20" s="46" customFormat="1" x14ac:dyDescent="0.45">
      <c r="A68" s="47" t="s">
        <v>32</v>
      </c>
      <c r="E68" s="47" t="s">
        <v>470</v>
      </c>
      <c r="G68" s="47" t="s">
        <v>32</v>
      </c>
      <c r="H68" s="47" t="s">
        <v>12</v>
      </c>
      <c r="L68" s="47" t="s">
        <v>471</v>
      </c>
      <c r="N68" s="47" t="s">
        <v>388</v>
      </c>
    </row>
    <row r="69" spans="1:20" s="47" customFormat="1" x14ac:dyDescent="0.45">
      <c r="A69" s="49" t="s">
        <v>15</v>
      </c>
      <c r="E69" s="49" t="s">
        <v>300</v>
      </c>
      <c r="G69" s="49" t="s">
        <v>56</v>
      </c>
      <c r="H69" s="49" t="s">
        <v>24</v>
      </c>
      <c r="I69" s="49" t="s">
        <v>15</v>
      </c>
      <c r="L69" s="49" t="s">
        <v>479</v>
      </c>
    </row>
    <row r="70" spans="1:20" s="49" customFormat="1" x14ac:dyDescent="0.45">
      <c r="A70" s="50" t="s">
        <v>62</v>
      </c>
      <c r="G70" s="50" t="s">
        <v>62</v>
      </c>
      <c r="I70" s="50" t="s">
        <v>30</v>
      </c>
      <c r="J70" s="50" t="s">
        <v>11</v>
      </c>
      <c r="N70" s="50" t="s">
        <v>13</v>
      </c>
      <c r="T70" s="50" t="s">
        <v>484</v>
      </c>
    </row>
    <row r="71" spans="1:20" s="50" customFormat="1" x14ac:dyDescent="0.45">
      <c r="A71" s="51" t="s">
        <v>15</v>
      </c>
      <c r="G71" s="51" t="s">
        <v>67</v>
      </c>
      <c r="H71" s="51" t="s">
        <v>56</v>
      </c>
      <c r="I71" s="51" t="s">
        <v>15</v>
      </c>
      <c r="J71" s="51" t="s">
        <v>15</v>
      </c>
      <c r="L71" s="51" t="s">
        <v>272</v>
      </c>
    </row>
    <row r="72" spans="1:20" s="7" customFormat="1" x14ac:dyDescent="0.45">
      <c r="A72" s="86" t="s">
        <v>13</v>
      </c>
      <c r="B72" s="86"/>
      <c r="C72" s="86" t="s">
        <v>493</v>
      </c>
      <c r="D72" s="86"/>
      <c r="E72" s="86" t="s">
        <v>300</v>
      </c>
      <c r="F72" s="86" t="s">
        <v>56</v>
      </c>
      <c r="G72" s="86" t="s">
        <v>62</v>
      </c>
      <c r="J72" s="86"/>
      <c r="K72" s="86"/>
      <c r="L72" s="86"/>
      <c r="M72" s="86"/>
      <c r="N72" s="86" t="s">
        <v>13</v>
      </c>
      <c r="O72" s="86"/>
      <c r="P72" s="86"/>
      <c r="Q72" s="86"/>
      <c r="R72" s="86"/>
      <c r="S72" s="86"/>
    </row>
    <row r="73" spans="1:20" s="7" customFormat="1" x14ac:dyDescent="0.4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</row>
    <row r="74" spans="1:20" s="37" customFormat="1" x14ac:dyDescent="0.45">
      <c r="F74" s="7"/>
    </row>
    <row r="75" spans="1:20" x14ac:dyDescent="0.45">
      <c r="A75" s="14" t="s">
        <v>52</v>
      </c>
      <c r="C75" s="17">
        <f ca="1">COUNTA(C2:INDIRECT(ADDRESS((ROW()-1),COLUMN())))</f>
        <v>22</v>
      </c>
      <c r="D75" s="10">
        <f ca="1">COUNTA(D2:INDIRECT(ADDRESS((ROW()-1),COLUMN())))</f>
        <v>1</v>
      </c>
      <c r="E75" s="10">
        <f ca="1">COUNTA(E2:INDIRECT(ADDRESS((ROW()-1),COLUMN())))</f>
        <v>29</v>
      </c>
      <c r="F75" s="10">
        <f ca="1">COUNTA(F2:INDIRECT(ADDRESS((ROW()-1),COLUMN())))</f>
        <v>3</v>
      </c>
      <c r="G75" s="10">
        <f ca="1">COUNTA(G2:INDIRECT(ADDRESS((ROW()-1),COLUMN())))</f>
        <v>62</v>
      </c>
      <c r="H75" s="10">
        <f ca="1">COUNTA(H2:INDIRECT(ADDRESS((ROW()-1),COLUMN())))</f>
        <v>25</v>
      </c>
      <c r="I75" s="10">
        <f ca="1">COUNTA(I2:INDIRECT(ADDRESS((ROW()-1),COLUMN())))</f>
        <v>55</v>
      </c>
      <c r="J75" s="10">
        <f ca="1">COUNTA(J2:INDIRECT(ADDRESS((ROW()-1),COLUMN())))</f>
        <v>27</v>
      </c>
      <c r="K75" s="10">
        <f ca="1">COUNTA(K2:INDIRECT(ADDRESS((ROW()-1),COLUMN())))</f>
        <v>1</v>
      </c>
      <c r="L75" s="10">
        <f ca="1">COUNTA(L2:INDIRECT(ADDRESS((ROW()-1),COLUMN())))</f>
        <v>28</v>
      </c>
      <c r="M75" s="10">
        <f ca="1">COUNTA(M2:INDIRECT(ADDRESS((ROW()-1),COLUMN())))</f>
        <v>0</v>
      </c>
      <c r="N75" s="10">
        <f ca="1">COUNTA(N2:INDIRECT(ADDRESS((ROW()-1),COLUMN())))</f>
        <v>42</v>
      </c>
      <c r="O75" s="10">
        <f ca="1">COUNTA(O2:INDIRECT(ADDRESS((ROW()-1),COLUMN())))</f>
        <v>7</v>
      </c>
      <c r="P75" s="10">
        <f ca="1">COUNTA(P2:INDIRECT(ADDRESS((ROW()-1),COLUMN())))</f>
        <v>28</v>
      </c>
      <c r="Q75" s="10">
        <f ca="1">COUNTA(Q2:INDIRECT(ADDRESS((ROW()-1),COLUMN())))</f>
        <v>1</v>
      </c>
      <c r="R75" s="10">
        <f ca="1">COUNTA(R2:INDIRECT(ADDRESS((ROW()-1),COLUMN())))</f>
        <v>14</v>
      </c>
      <c r="S75" s="10">
        <f ca="1">COUNTA(S2:INDIRECT(ADDRESS((ROW()-1),COLUMN())))</f>
        <v>2</v>
      </c>
      <c r="T75" s="10">
        <f ca="1">COUNTA(T2:INDIRECT(ADDRESS((ROW()-1),COLUMN())))</f>
        <v>8</v>
      </c>
    </row>
    <row r="76" spans="1:20" x14ac:dyDescent="0.45">
      <c r="C76" s="10"/>
    </row>
    <row r="77" spans="1:20" s="10" customFormat="1" x14ac:dyDescent="0.45">
      <c r="A77" s="3" t="s">
        <v>290</v>
      </c>
      <c r="B77" s="14">
        <f>COUNTA(A2:A72)</f>
        <v>71</v>
      </c>
      <c r="G77"/>
    </row>
    <row r="78" spans="1:20" x14ac:dyDescent="0.45">
      <c r="A78" s="11" t="s">
        <v>43</v>
      </c>
      <c r="B78" s="17">
        <v>22</v>
      </c>
      <c r="C78" s="24">
        <v>1</v>
      </c>
      <c r="G78" s="10"/>
    </row>
    <row r="79" spans="1:20" x14ac:dyDescent="0.45">
      <c r="A79" s="11" t="s">
        <v>44</v>
      </c>
      <c r="B79">
        <v>29</v>
      </c>
      <c r="C79">
        <v>3</v>
      </c>
    </row>
    <row r="80" spans="1:20" x14ac:dyDescent="0.45">
      <c r="A80" s="11" t="s">
        <v>37</v>
      </c>
      <c r="B80">
        <v>62</v>
      </c>
      <c r="C80">
        <v>25</v>
      </c>
    </row>
    <row r="81" spans="1:4" x14ac:dyDescent="0.45">
      <c r="A81" s="11" t="s">
        <v>38</v>
      </c>
      <c r="B81">
        <v>55</v>
      </c>
      <c r="C81">
        <v>27</v>
      </c>
      <c r="D81">
        <v>1</v>
      </c>
    </row>
    <row r="82" spans="1:4" x14ac:dyDescent="0.45">
      <c r="A82" s="11" t="s">
        <v>39</v>
      </c>
      <c r="B82">
        <v>28</v>
      </c>
      <c r="C82">
        <v>0</v>
      </c>
    </row>
    <row r="83" spans="1:4" x14ac:dyDescent="0.45">
      <c r="A83" s="11" t="s">
        <v>40</v>
      </c>
      <c r="B83">
        <v>42</v>
      </c>
      <c r="C83">
        <v>7</v>
      </c>
    </row>
    <row r="84" spans="1:4" x14ac:dyDescent="0.45">
      <c r="A84" s="11" t="s">
        <v>41</v>
      </c>
      <c r="B84">
        <v>28</v>
      </c>
      <c r="C84">
        <v>1</v>
      </c>
    </row>
    <row r="85" spans="1:4" x14ac:dyDescent="0.45">
      <c r="A85" s="11" t="s">
        <v>42</v>
      </c>
      <c r="B85">
        <v>14</v>
      </c>
      <c r="C85">
        <v>2</v>
      </c>
    </row>
    <row r="86" spans="1:4" x14ac:dyDescent="0.45">
      <c r="A86" s="11" t="s">
        <v>292</v>
      </c>
      <c r="B86">
        <v>8</v>
      </c>
    </row>
    <row r="87" spans="1:4" x14ac:dyDescent="0.45">
      <c r="C87" s="13"/>
    </row>
    <row r="88" spans="1:4" x14ac:dyDescent="0.45">
      <c r="C88" s="13"/>
    </row>
    <row r="89" spans="1:4" x14ac:dyDescent="0.45">
      <c r="C89" s="13"/>
    </row>
    <row r="90" spans="1:4" x14ac:dyDescent="0.45">
      <c r="C90" s="13"/>
    </row>
    <row r="91" spans="1:4" x14ac:dyDescent="0.45">
      <c r="C91" s="13"/>
    </row>
    <row r="92" spans="1:4" x14ac:dyDescent="0.45">
      <c r="C92" s="11"/>
    </row>
    <row r="93" spans="1:4" x14ac:dyDescent="0.45">
      <c r="C93" s="13"/>
    </row>
    <row r="94" spans="1:4" x14ac:dyDescent="0.45">
      <c r="C94" s="13"/>
    </row>
  </sheetData>
  <autoFilter ref="A1:X72" xr:uid="{00000000-0009-0000-0000-000007000000}"/>
  <sortState xmlns:xlrd2="http://schemas.microsoft.com/office/spreadsheetml/2017/richdata2" columnSort="1" ref="I41:M41">
    <sortCondition ref="I41:M41"/>
  </sortState>
  <conditionalFormatting sqref="A58">
    <cfRule type="containsText" dxfId="4" priority="1" operator="containsText" text=":DEN">
      <formula>NOT(ISERROR(SEARCH(":DEN",A58)))</formula>
    </cfRule>
    <cfRule type="containsText" dxfId="3" priority="2" operator="containsText" text=":CIN">
      <formula>NOT(ISERROR(SEARCH(":CIN",A58)))</formula>
    </cfRule>
  </conditionalFormatting>
  <conditionalFormatting sqref="G58 I58 L58 N58 P58">
    <cfRule type="containsText" dxfId="2" priority="3" operator="containsText" text=":DEN">
      <formula>NOT(ISERROR(SEARCH(":DEN",G58)))</formula>
    </cfRule>
    <cfRule type="containsText" dxfId="1" priority="4" operator="containsText" text=":CIN">
      <formula>NOT(ISERROR(SEARCH(":CIN",G58)))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E17"/>
  <sheetViews>
    <sheetView workbookViewId="0">
      <selection activeCell="B17" sqref="B17"/>
    </sheetView>
  </sheetViews>
  <sheetFormatPr defaultRowHeight="14.25" x14ac:dyDescent="0.45"/>
  <cols>
    <col min="1" max="1" width="19.265625" bestFit="1" customWidth="1"/>
    <col min="2" max="2" width="109.73046875" style="20" customWidth="1"/>
    <col min="4" max="4" width="11.265625" customWidth="1"/>
  </cols>
  <sheetData>
    <row r="1" spans="1:5" s="19" customFormat="1" x14ac:dyDescent="0.45">
      <c r="A1" s="22" t="s">
        <v>332</v>
      </c>
      <c r="B1" s="20"/>
    </row>
    <row r="2" spans="1:5" ht="85.5" x14ac:dyDescent="0.45">
      <c r="B2" s="23" t="s">
        <v>337</v>
      </c>
      <c r="C2" t="str">
        <f t="array" ref="C2:E6">[1]!sql(B2,retro)</f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D2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E2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3" spans="1:5" ht="85.5" x14ac:dyDescent="0.45">
      <c r="B3" s="23" t="s">
        <v>354</v>
      </c>
      <c r="C3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D3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E3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4" spans="1:5" x14ac:dyDescent="0.45">
      <c r="A4" s="22" t="s">
        <v>333</v>
      </c>
      <c r="C4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D4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E4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5" spans="1:5" s="20" customFormat="1" ht="85.5" x14ac:dyDescent="0.45">
      <c r="B5" s="23" t="s">
        <v>334</v>
      </c>
      <c r="C5" s="20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D5" s="20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E5" s="20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6" spans="1:5" x14ac:dyDescent="0.45">
      <c r="A6" s="22" t="s">
        <v>335</v>
      </c>
      <c r="C6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D6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  <c r="E6" t="str">
        <v>sqlite3.OperationalError: no such column: key
    ~~~~~~~~~^^^^^^^
    c.execute(query)
  File "C:\Users\mxmei\anaconda3\Lib\site-packages\xlwings\ext\sql.py", line 68, in _sql
    return _sql(query, *tables)
  File "C:\Users\mxmei\anaconda3\Lib\site-packages\xlwings\ext\sql.py", line 28, in sql_dynamic
    ret = func(*args)
  File "C:\Users\mxmei\anaconda3\Lib\site-packages\xlwings\udfs.py", line 536, in call_udf
    res = call_udf(script, fname, args, this_workbook, FromVariant(caller))
  File "C:\Users\mxmei\anaconda3\Lib\site-packages\xlwings\com_server.py", line 235, in CallUDF
    return func(*args)
  File "C:\Users\mxmei\anaconda3\Lib\site-packages\win32com\server\policy.py", line 633, in _invokeex_
                     ~~~~~~~~~~~~~~~^^^^^^^^^^^^^^^^^^^^^^^^^^^^^^^^^^^^^^^^
    return S_OK, -1, self._invokeex_(dispid, lcid, wFlags, args, None, None)
  File "C:\Users\mxmei\anaconda3\Lib\site-packages\win32com\server\policy.py", line 303, in _invoke_
           ~~~~~~~~~~~~~^^^^^^^^^^^^^^^^^^^^^^^^^^^^
    return self._invoke_(dispid, lcid, wFlags, args)
  File "C:\Users\mxmei\anaconda3\Lib\site-packages\win32com\server\policy.py", line 298, in _Invoke_</v>
      </c>
    </row>
    <row r="7" spans="1:5" ht="71.25" x14ac:dyDescent="0.45">
      <c r="B7" s="23" t="s">
        <v>336</v>
      </c>
    </row>
    <row r="8" spans="1:5" x14ac:dyDescent="0.45">
      <c r="A8" s="3" t="s">
        <v>344</v>
      </c>
    </row>
    <row r="9" spans="1:5" ht="85.5" x14ac:dyDescent="0.45">
      <c r="B9" s="20" t="s">
        <v>345</v>
      </c>
    </row>
    <row r="10" spans="1:5" ht="114" x14ac:dyDescent="0.45">
      <c r="B10" s="20" t="s">
        <v>348</v>
      </c>
    </row>
    <row r="11" spans="1:5" x14ac:dyDescent="0.45">
      <c r="B11" s="20" t="s">
        <v>347</v>
      </c>
    </row>
    <row r="13" spans="1:5" ht="71.25" x14ac:dyDescent="0.45">
      <c r="B13" s="20" t="s">
        <v>498</v>
      </c>
    </row>
    <row r="15" spans="1:5" ht="71.25" x14ac:dyDescent="0.45">
      <c r="B15" s="20" t="s">
        <v>499</v>
      </c>
    </row>
    <row r="17" spans="2:2" ht="71.25" x14ac:dyDescent="0.45">
      <c r="B17" s="20" t="s">
        <v>500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78"/>
  <sheetViews>
    <sheetView workbookViewId="0">
      <selection activeCell="A63" sqref="A63"/>
    </sheetView>
  </sheetViews>
  <sheetFormatPr defaultRowHeight="14.25" x14ac:dyDescent="0.45"/>
  <sheetData>
    <row r="1" spans="1:18" x14ac:dyDescent="0.45">
      <c r="A1" s="4" t="s">
        <v>43</v>
      </c>
      <c r="B1" s="12"/>
      <c r="C1" s="4" t="s">
        <v>44</v>
      </c>
      <c r="D1" s="12"/>
      <c r="E1" s="4" t="s">
        <v>37</v>
      </c>
      <c r="F1" s="12"/>
      <c r="G1" s="4" t="s">
        <v>38</v>
      </c>
      <c r="H1" s="12"/>
      <c r="I1" s="12"/>
      <c r="J1" s="4" t="s">
        <v>39</v>
      </c>
      <c r="K1" s="12"/>
      <c r="L1" s="4" t="s">
        <v>40</v>
      </c>
      <c r="M1" s="12"/>
      <c r="N1" s="4" t="s">
        <v>41</v>
      </c>
      <c r="O1" s="12"/>
      <c r="P1" s="4" t="s">
        <v>42</v>
      </c>
      <c r="Q1" s="4"/>
      <c r="R1" s="11" t="s">
        <v>292</v>
      </c>
    </row>
    <row r="2" spans="1:18" x14ac:dyDescent="0.45">
      <c r="A2" s="47"/>
      <c r="B2" s="47"/>
      <c r="C2" s="47"/>
      <c r="D2" s="47"/>
      <c r="E2" s="7" t="s">
        <v>12</v>
      </c>
      <c r="F2" s="47"/>
      <c r="G2" s="7" t="s">
        <v>11</v>
      </c>
      <c r="H2" s="47"/>
      <c r="I2" s="47"/>
      <c r="J2" s="7" t="s">
        <v>10</v>
      </c>
      <c r="K2" s="47"/>
      <c r="L2" s="7" t="s">
        <v>13</v>
      </c>
      <c r="M2" s="47"/>
      <c r="N2" s="7" t="s">
        <v>14</v>
      </c>
      <c r="O2" s="47"/>
      <c r="P2" s="47"/>
      <c r="Q2" s="47"/>
      <c r="R2" s="47"/>
    </row>
    <row r="3" spans="1:18" hidden="1" x14ac:dyDescent="0.45">
      <c r="A3" s="47"/>
      <c r="B3" s="47"/>
      <c r="C3" s="7" t="s">
        <v>19</v>
      </c>
      <c r="D3" s="47"/>
      <c r="E3" s="47"/>
      <c r="F3" s="47"/>
      <c r="G3" s="7" t="s">
        <v>15</v>
      </c>
      <c r="H3" s="47"/>
      <c r="I3" s="47"/>
      <c r="J3" s="47"/>
      <c r="K3" s="47"/>
      <c r="L3" s="7" t="s">
        <v>16</v>
      </c>
      <c r="N3" s="7" t="s">
        <v>17</v>
      </c>
      <c r="O3" s="47"/>
      <c r="P3" s="7" t="s">
        <v>18</v>
      </c>
      <c r="Q3" s="47"/>
      <c r="R3" s="47"/>
    </row>
    <row r="4" spans="1:18" hidden="1" x14ac:dyDescent="0.45">
      <c r="A4" s="47"/>
      <c r="B4" s="47"/>
      <c r="C4" s="47"/>
      <c r="D4" s="47"/>
      <c r="E4" s="7" t="s">
        <v>24</v>
      </c>
      <c r="F4" s="47"/>
      <c r="G4" s="7" t="s">
        <v>21</v>
      </c>
      <c r="H4" s="7" t="s">
        <v>23</v>
      </c>
      <c r="I4" s="47"/>
      <c r="J4" s="47"/>
      <c r="K4" s="47"/>
      <c r="L4" s="7" t="s">
        <v>22</v>
      </c>
      <c r="M4" s="47"/>
      <c r="N4" s="7" t="s">
        <v>20</v>
      </c>
      <c r="O4" s="47"/>
      <c r="P4" s="47"/>
      <c r="Q4" s="47"/>
      <c r="R4" s="47"/>
    </row>
    <row r="5" spans="1:18" hidden="1" x14ac:dyDescent="0.45">
      <c r="A5" s="47"/>
      <c r="B5" s="47"/>
      <c r="C5" s="7" t="s">
        <v>25</v>
      </c>
      <c r="D5" s="47"/>
      <c r="E5" s="47"/>
      <c r="F5" s="47"/>
      <c r="G5" s="7" t="s">
        <v>26</v>
      </c>
      <c r="H5" s="7" t="s">
        <v>28</v>
      </c>
      <c r="I5" s="47"/>
      <c r="J5" s="47"/>
      <c r="K5" s="47"/>
      <c r="L5" s="7" t="s">
        <v>27</v>
      </c>
      <c r="M5" s="47"/>
      <c r="N5" s="47"/>
      <c r="O5" s="47"/>
      <c r="P5" s="7" t="s">
        <v>29</v>
      </c>
      <c r="Q5" s="47"/>
      <c r="R5" s="47"/>
    </row>
    <row r="6" spans="1:18" hidden="1" x14ac:dyDescent="0.45">
      <c r="A6" s="47"/>
      <c r="B6" s="47"/>
      <c r="C6" s="7" t="s">
        <v>55</v>
      </c>
      <c r="D6" s="47"/>
      <c r="E6" s="7" t="s">
        <v>57</v>
      </c>
      <c r="F6" s="7" t="s">
        <v>56</v>
      </c>
      <c r="G6" s="47"/>
      <c r="H6" s="47"/>
      <c r="I6" s="1"/>
      <c r="J6" s="1"/>
      <c r="K6" s="1"/>
      <c r="L6" s="7" t="s">
        <v>16</v>
      </c>
      <c r="M6" s="47"/>
      <c r="N6" s="7" t="s">
        <v>54</v>
      </c>
      <c r="O6" s="47"/>
      <c r="P6" s="47"/>
      <c r="Q6" s="47"/>
      <c r="R6" s="47"/>
    </row>
    <row r="7" spans="1:18" x14ac:dyDescent="0.45">
      <c r="A7" s="7" t="s">
        <v>34</v>
      </c>
      <c r="B7" s="47"/>
      <c r="C7" s="47"/>
      <c r="D7" s="47"/>
      <c r="E7" s="7" t="s">
        <v>32</v>
      </c>
      <c r="F7" s="47"/>
      <c r="G7" s="7" t="s">
        <v>30</v>
      </c>
      <c r="H7" s="7" t="s">
        <v>33</v>
      </c>
      <c r="I7" s="47"/>
      <c r="J7" s="7" t="s">
        <v>31</v>
      </c>
      <c r="K7" s="47"/>
      <c r="L7" s="47"/>
      <c r="M7" s="47"/>
      <c r="N7" s="47"/>
      <c r="O7" s="47"/>
      <c r="P7" s="47"/>
      <c r="Q7" s="47"/>
      <c r="R7" s="47"/>
    </row>
    <row r="8" spans="1:18" hidden="1" x14ac:dyDescent="0.45">
      <c r="A8" s="7" t="s">
        <v>51</v>
      </c>
      <c r="B8" s="47"/>
      <c r="C8" s="7" t="s">
        <v>50</v>
      </c>
      <c r="D8" s="7" t="s">
        <v>49</v>
      </c>
      <c r="E8" s="7" t="s">
        <v>48</v>
      </c>
      <c r="F8" s="47"/>
      <c r="G8" s="47"/>
      <c r="H8" s="47"/>
      <c r="I8" s="47"/>
      <c r="J8" s="47"/>
      <c r="K8" s="47"/>
      <c r="L8" s="47"/>
      <c r="M8" s="47"/>
      <c r="N8" s="7" t="s">
        <v>47</v>
      </c>
      <c r="O8" s="47"/>
      <c r="P8" s="47"/>
      <c r="Q8" s="47"/>
      <c r="R8" s="47"/>
    </row>
    <row r="9" spans="1:18" x14ac:dyDescent="0.45">
      <c r="A9" s="47"/>
      <c r="B9" s="47"/>
      <c r="C9" s="47"/>
      <c r="D9" s="47"/>
      <c r="E9" s="7" t="s">
        <v>32</v>
      </c>
      <c r="F9" s="47"/>
      <c r="G9" s="7" t="s">
        <v>30</v>
      </c>
      <c r="H9" s="7" t="s">
        <v>30</v>
      </c>
      <c r="I9" s="47"/>
      <c r="J9" s="47"/>
      <c r="K9" s="47"/>
      <c r="L9" s="47"/>
      <c r="M9" s="47"/>
      <c r="N9" s="7" t="s">
        <v>64</v>
      </c>
      <c r="O9" s="47"/>
      <c r="P9" s="7" t="s">
        <v>153</v>
      </c>
      <c r="Q9" s="47"/>
      <c r="R9" s="47"/>
    </row>
    <row r="10" spans="1:18" x14ac:dyDescent="0.45">
      <c r="A10" s="47"/>
      <c r="B10" s="47"/>
      <c r="C10" s="7" t="s">
        <v>63</v>
      </c>
      <c r="D10" s="47"/>
      <c r="E10" s="7" t="s">
        <v>62</v>
      </c>
      <c r="F10" s="47"/>
      <c r="G10" s="47"/>
      <c r="H10" s="47"/>
      <c r="I10" s="47"/>
      <c r="J10" s="47"/>
      <c r="K10" s="47"/>
      <c r="L10" s="7" t="s">
        <v>53</v>
      </c>
      <c r="M10" s="7" t="s">
        <v>13</v>
      </c>
      <c r="N10" s="7" t="s">
        <v>54</v>
      </c>
      <c r="O10" s="47"/>
      <c r="P10" s="47"/>
      <c r="Q10" s="47"/>
      <c r="R10" s="47"/>
    </row>
    <row r="11" spans="1:18" hidden="1" x14ac:dyDescent="0.45">
      <c r="A11" s="7" t="s">
        <v>60</v>
      </c>
      <c r="B11" s="47"/>
      <c r="C11" s="47"/>
      <c r="D11" s="47"/>
      <c r="E11" s="7" t="s">
        <v>58</v>
      </c>
      <c r="F11" s="47"/>
      <c r="G11" s="7" t="s">
        <v>59</v>
      </c>
      <c r="H11" s="47"/>
      <c r="I11" s="47"/>
      <c r="J11" s="47"/>
      <c r="K11" s="47"/>
      <c r="L11" s="47"/>
      <c r="M11" s="47"/>
      <c r="N11" s="47"/>
      <c r="O11" s="47"/>
      <c r="P11" s="7" t="s">
        <v>61</v>
      </c>
      <c r="Q11" s="7" t="s">
        <v>29</v>
      </c>
      <c r="R11" s="47"/>
    </row>
    <row r="12" spans="1:18" hidden="1" x14ac:dyDescent="0.45">
      <c r="A12" s="47"/>
      <c r="B12" s="47"/>
      <c r="C12" s="47"/>
      <c r="D12" s="47"/>
      <c r="E12" s="7" t="s">
        <v>66</v>
      </c>
      <c r="F12" s="7" t="s">
        <v>67</v>
      </c>
      <c r="G12" s="7" t="s">
        <v>69</v>
      </c>
      <c r="H12" s="47"/>
      <c r="I12" s="47"/>
      <c r="J12" s="47"/>
      <c r="K12" s="47"/>
      <c r="L12" s="7" t="s">
        <v>65</v>
      </c>
      <c r="M12" s="7" t="s">
        <v>68</v>
      </c>
      <c r="N12" s="47"/>
      <c r="O12" s="47"/>
      <c r="P12" s="47"/>
      <c r="Q12" s="47"/>
      <c r="R12" s="47"/>
    </row>
    <row r="13" spans="1:18" x14ac:dyDescent="0.45">
      <c r="A13" s="7" t="s">
        <v>76</v>
      </c>
      <c r="B13" s="47"/>
      <c r="C13" s="47"/>
      <c r="D13" s="47"/>
      <c r="E13" s="7" t="s">
        <v>12</v>
      </c>
      <c r="F13" s="7" t="s">
        <v>75</v>
      </c>
      <c r="G13" s="7" t="s">
        <v>75</v>
      </c>
      <c r="I13" s="1"/>
      <c r="J13" s="1"/>
      <c r="K13" s="1"/>
      <c r="L13" s="7" t="s">
        <v>476</v>
      </c>
      <c r="M13" s="47"/>
      <c r="N13" s="47"/>
      <c r="O13" s="47"/>
      <c r="P13" s="47"/>
      <c r="Q13" s="47"/>
      <c r="R13" s="47"/>
    </row>
    <row r="14" spans="1:18" x14ac:dyDescent="0.45">
      <c r="A14" s="47"/>
      <c r="B14" s="47"/>
      <c r="C14" s="7" t="s">
        <v>63</v>
      </c>
      <c r="D14" s="47"/>
      <c r="E14" s="7" t="s">
        <v>62</v>
      </c>
      <c r="F14" s="47"/>
      <c r="G14" s="7" t="s">
        <v>11</v>
      </c>
      <c r="H14" s="47"/>
      <c r="I14" s="47"/>
      <c r="J14" s="47"/>
      <c r="K14" s="47"/>
      <c r="L14" s="47"/>
      <c r="M14" s="47"/>
      <c r="N14" s="7" t="s">
        <v>88</v>
      </c>
      <c r="O14" s="7" t="s">
        <v>89</v>
      </c>
      <c r="P14" s="47"/>
      <c r="Q14" s="47"/>
      <c r="R14" s="47"/>
    </row>
    <row r="15" spans="1:18" x14ac:dyDescent="0.45">
      <c r="A15" s="47"/>
      <c r="B15" s="47"/>
      <c r="C15" s="47"/>
      <c r="D15" s="47"/>
      <c r="E15" s="7" t="s">
        <v>58</v>
      </c>
      <c r="F15" s="47"/>
      <c r="G15" s="7" t="s">
        <v>30</v>
      </c>
      <c r="H15" s="7" t="s">
        <v>26</v>
      </c>
      <c r="I15" s="47"/>
      <c r="J15" s="47"/>
      <c r="K15" s="47"/>
      <c r="L15" s="7" t="s">
        <v>96</v>
      </c>
      <c r="M15" s="47"/>
      <c r="N15" s="7" t="s">
        <v>97</v>
      </c>
      <c r="O15" s="47"/>
      <c r="P15" s="47"/>
      <c r="Q15" s="47"/>
      <c r="R15" s="47"/>
    </row>
    <row r="16" spans="1:18" hidden="1" x14ac:dyDescent="0.45">
      <c r="A16" s="47"/>
      <c r="B16" s="47"/>
      <c r="C16" s="47"/>
      <c r="D16" s="47"/>
      <c r="E16" s="7" t="s">
        <v>66</v>
      </c>
      <c r="F16" s="7" t="s">
        <v>93</v>
      </c>
      <c r="G16" s="7" t="s">
        <v>94</v>
      </c>
      <c r="H16" s="7" t="s">
        <v>95</v>
      </c>
      <c r="I16" s="47"/>
      <c r="J16" s="47"/>
      <c r="K16" s="47"/>
      <c r="L16" s="47"/>
      <c r="M16" s="47"/>
      <c r="N16" s="7" t="s">
        <v>71</v>
      </c>
      <c r="O16" s="47"/>
      <c r="P16" s="47"/>
      <c r="Q16" s="47"/>
      <c r="R16" s="47"/>
    </row>
    <row r="17" spans="1:18" hidden="1" x14ac:dyDescent="0.45">
      <c r="A17" s="47"/>
      <c r="B17" s="47"/>
      <c r="C17" s="47"/>
      <c r="D17" s="47"/>
      <c r="E17" s="7" t="s">
        <v>83</v>
      </c>
      <c r="F17" s="7" t="s">
        <v>90</v>
      </c>
      <c r="G17" s="47"/>
      <c r="H17" s="47"/>
      <c r="I17" s="47"/>
      <c r="J17" s="7" t="s">
        <v>91</v>
      </c>
      <c r="K17" s="47"/>
      <c r="L17" s="7" t="s">
        <v>27</v>
      </c>
      <c r="M17" s="47"/>
      <c r="N17" s="47"/>
      <c r="O17" s="47"/>
      <c r="P17" s="7" t="s">
        <v>92</v>
      </c>
      <c r="Q17" s="47"/>
      <c r="R17" s="47"/>
    </row>
    <row r="18" spans="1:18" hidden="1" x14ac:dyDescent="0.45">
      <c r="A18" s="47"/>
      <c r="B18" s="47"/>
      <c r="C18" s="47"/>
      <c r="D18" s="47"/>
      <c r="E18" s="7" t="s">
        <v>12</v>
      </c>
      <c r="F18" s="7" t="s">
        <v>45</v>
      </c>
      <c r="G18" s="7" t="s">
        <v>213</v>
      </c>
      <c r="H18" s="47"/>
      <c r="I18" s="47"/>
      <c r="J18" s="7" t="s">
        <v>10</v>
      </c>
      <c r="K18" s="47"/>
      <c r="L18" s="47"/>
      <c r="M18" s="47"/>
      <c r="N18" s="7" t="s">
        <v>110</v>
      </c>
      <c r="O18" s="47"/>
      <c r="P18" s="47"/>
      <c r="Q18" s="47"/>
      <c r="R18" s="47"/>
    </row>
    <row r="19" spans="1:18" hidden="1" x14ac:dyDescent="0.45">
      <c r="A19" s="7" t="s">
        <v>100</v>
      </c>
      <c r="B19" s="47"/>
      <c r="C19" s="7" t="s">
        <v>101</v>
      </c>
      <c r="D19" s="47"/>
      <c r="E19" s="7" t="s">
        <v>99</v>
      </c>
      <c r="F19" s="47"/>
      <c r="G19" s="7" t="s">
        <v>98</v>
      </c>
      <c r="H19" s="47"/>
      <c r="I19" s="1"/>
      <c r="J19" s="1"/>
      <c r="K19" s="1"/>
      <c r="L19" s="47"/>
      <c r="M19" s="47"/>
      <c r="N19" s="47"/>
      <c r="O19" s="47"/>
      <c r="P19" s="47"/>
      <c r="Q19" s="47"/>
      <c r="R19" s="7" t="s">
        <v>215</v>
      </c>
    </row>
    <row r="20" spans="1:18" hidden="1" x14ac:dyDescent="0.45">
      <c r="A20" s="47"/>
      <c r="B20" s="47"/>
      <c r="C20" s="47"/>
      <c r="D20" s="47"/>
      <c r="E20" s="7" t="s">
        <v>102</v>
      </c>
      <c r="F20" s="47"/>
      <c r="G20" s="7" t="s">
        <v>26</v>
      </c>
      <c r="H20" s="7" t="s">
        <v>103</v>
      </c>
      <c r="I20" s="47"/>
      <c r="J20" s="47"/>
      <c r="K20" s="47"/>
      <c r="L20" s="7" t="s">
        <v>104</v>
      </c>
      <c r="M20" s="47"/>
      <c r="N20" s="47"/>
      <c r="O20" s="47"/>
      <c r="P20" s="7" t="s">
        <v>105</v>
      </c>
      <c r="Q20" s="47"/>
      <c r="R20" s="47"/>
    </row>
    <row r="21" spans="1:18" hidden="1" x14ac:dyDescent="0.45">
      <c r="A21" s="47"/>
      <c r="B21" s="47"/>
      <c r="C21" s="7" t="s">
        <v>25</v>
      </c>
      <c r="D21" s="47"/>
      <c r="E21" s="7" t="s">
        <v>90</v>
      </c>
      <c r="F21" s="47"/>
      <c r="G21" s="7" t="s">
        <v>116</v>
      </c>
      <c r="H21" s="47"/>
      <c r="I21" s="47"/>
      <c r="J21" s="7" t="s">
        <v>115</v>
      </c>
      <c r="K21" s="47"/>
      <c r="L21" s="7" t="s">
        <v>74</v>
      </c>
      <c r="M21" s="47"/>
      <c r="N21" s="47"/>
      <c r="O21" s="47"/>
      <c r="P21" s="47"/>
      <c r="Q21" s="47"/>
      <c r="R21" s="47"/>
    </row>
    <row r="22" spans="1:18" hidden="1" x14ac:dyDescent="0.45">
      <c r="A22" s="47"/>
      <c r="B22" s="47"/>
      <c r="C22" s="47"/>
      <c r="D22" s="47"/>
      <c r="E22" s="7" t="s">
        <v>24</v>
      </c>
      <c r="F22" s="47"/>
      <c r="G22" s="7" t="s">
        <v>220</v>
      </c>
      <c r="H22" s="47"/>
      <c r="I22" s="47"/>
      <c r="J22" s="47"/>
      <c r="K22" s="47"/>
      <c r="L22" s="7" t="s">
        <v>221</v>
      </c>
      <c r="M22" s="47"/>
      <c r="N22" s="47"/>
      <c r="O22" s="47"/>
      <c r="P22" s="7" t="s">
        <v>222</v>
      </c>
      <c r="Q22" s="47"/>
      <c r="R22" s="7" t="s">
        <v>223</v>
      </c>
    </row>
    <row r="23" spans="1:18" hidden="1" x14ac:dyDescent="0.45">
      <c r="A23" s="7" t="s">
        <v>229</v>
      </c>
      <c r="B23" s="47"/>
      <c r="C23" s="47"/>
      <c r="D23" s="47"/>
      <c r="E23" s="47"/>
      <c r="F23" s="47"/>
      <c r="G23" s="7" t="s">
        <v>103</v>
      </c>
      <c r="H23" s="7" t="s">
        <v>228</v>
      </c>
      <c r="I23" s="47"/>
      <c r="J23" s="47"/>
      <c r="K23" s="47"/>
      <c r="L23" s="47"/>
      <c r="M23" s="47"/>
      <c r="N23" s="47"/>
      <c r="O23" s="47"/>
      <c r="P23" s="7" t="s">
        <v>230</v>
      </c>
      <c r="Q23" s="7" t="s">
        <v>105</v>
      </c>
      <c r="R23" s="47"/>
    </row>
    <row r="24" spans="1:18" hidden="1" x14ac:dyDescent="0.45">
      <c r="A24" s="7" t="s">
        <v>60</v>
      </c>
      <c r="B24" s="47"/>
      <c r="C24" s="47"/>
      <c r="D24" s="47"/>
      <c r="E24" s="7" t="s">
        <v>58</v>
      </c>
      <c r="F24" s="47"/>
      <c r="G24" s="47"/>
      <c r="H24" s="47"/>
      <c r="I24" s="47"/>
      <c r="J24" s="47"/>
      <c r="K24" s="47"/>
      <c r="L24" s="7" t="s">
        <v>235</v>
      </c>
      <c r="M24" s="7" t="s">
        <v>96</v>
      </c>
      <c r="N24" s="7" t="s">
        <v>97</v>
      </c>
      <c r="O24" s="47"/>
      <c r="P24" s="47"/>
      <c r="Q24" s="47"/>
      <c r="R24" s="47"/>
    </row>
    <row r="25" spans="1:18" hidden="1" x14ac:dyDescent="0.45">
      <c r="A25" s="7" t="s">
        <v>242</v>
      </c>
      <c r="B25" s="47"/>
      <c r="C25" s="47"/>
      <c r="D25" s="47"/>
      <c r="E25" s="7" t="s">
        <v>240</v>
      </c>
      <c r="F25" s="47"/>
      <c r="G25" s="47"/>
      <c r="H25" s="47"/>
      <c r="I25" s="47"/>
      <c r="J25" s="7" t="s">
        <v>243</v>
      </c>
      <c r="K25" s="47"/>
      <c r="L25" s="7" t="s">
        <v>221</v>
      </c>
      <c r="M25" s="47"/>
      <c r="N25" s="7" t="s">
        <v>241</v>
      </c>
      <c r="O25" s="47"/>
      <c r="P25" s="47"/>
      <c r="Q25" s="47"/>
      <c r="R25" s="47"/>
    </row>
    <row r="26" spans="1:18" x14ac:dyDescent="0.45">
      <c r="A26" s="47"/>
      <c r="B26" s="47"/>
      <c r="C26" s="47"/>
      <c r="D26" s="47"/>
      <c r="E26" s="7" t="s">
        <v>62</v>
      </c>
      <c r="G26" s="7" t="s">
        <v>11</v>
      </c>
      <c r="H26" s="7" t="s">
        <v>11</v>
      </c>
      <c r="I26" s="47"/>
      <c r="J26" s="7" t="s">
        <v>111</v>
      </c>
      <c r="K26" s="47"/>
      <c r="L26" s="7" t="s">
        <v>13</v>
      </c>
      <c r="M26" s="47"/>
      <c r="N26" s="47"/>
      <c r="O26" s="47"/>
      <c r="P26" s="47"/>
      <c r="Q26" s="47"/>
      <c r="R26" s="47"/>
    </row>
    <row r="27" spans="1:18" hidden="1" x14ac:dyDescent="0.45">
      <c r="A27" s="47"/>
      <c r="B27" s="47"/>
      <c r="C27" s="47"/>
      <c r="D27" s="47"/>
      <c r="E27" s="7" t="s">
        <v>12</v>
      </c>
      <c r="F27" s="7" t="s">
        <v>66</v>
      </c>
      <c r="G27" s="47"/>
      <c r="H27" s="47"/>
      <c r="I27" s="47"/>
      <c r="J27" s="7" t="s">
        <v>10</v>
      </c>
      <c r="K27" s="47"/>
      <c r="L27" s="7" t="s">
        <v>65</v>
      </c>
      <c r="M27" s="47"/>
      <c r="N27" s="47"/>
      <c r="O27" s="47"/>
      <c r="P27" s="47"/>
      <c r="Q27" s="47"/>
      <c r="R27" s="7" t="s">
        <v>252</v>
      </c>
    </row>
    <row r="28" spans="1:18" hidden="1" x14ac:dyDescent="0.45">
      <c r="A28" s="47"/>
      <c r="B28" s="47"/>
      <c r="C28" s="7" t="s">
        <v>49</v>
      </c>
      <c r="D28" s="47"/>
      <c r="E28" s="47"/>
      <c r="F28" s="47"/>
      <c r="G28" s="7" t="s">
        <v>257</v>
      </c>
      <c r="H28" s="47"/>
      <c r="I28" s="47"/>
      <c r="J28" s="7" t="s">
        <v>258</v>
      </c>
      <c r="K28" s="47"/>
      <c r="L28" s="7" t="s">
        <v>46</v>
      </c>
      <c r="M28" s="47"/>
      <c r="N28" s="47"/>
      <c r="O28" s="47"/>
      <c r="P28" s="47"/>
      <c r="Q28" s="47"/>
      <c r="R28" s="7" t="s">
        <v>259</v>
      </c>
    </row>
    <row r="29" spans="1:18" hidden="1" x14ac:dyDescent="0.45">
      <c r="A29" s="47"/>
      <c r="B29" s="47"/>
      <c r="C29" s="7" t="s">
        <v>264</v>
      </c>
      <c r="D29" s="7" t="s">
        <v>266</v>
      </c>
      <c r="E29" s="7" t="s">
        <v>24</v>
      </c>
      <c r="F29" s="47"/>
      <c r="G29" s="47"/>
      <c r="H29" s="47"/>
      <c r="I29" s="47"/>
      <c r="J29" s="47"/>
      <c r="K29" s="47"/>
      <c r="L29" s="7" t="s">
        <v>22</v>
      </c>
      <c r="M29" s="47"/>
      <c r="N29" s="7" t="s">
        <v>265</v>
      </c>
      <c r="O29" s="47"/>
      <c r="P29" s="47"/>
      <c r="Q29" s="47"/>
      <c r="R29" s="47"/>
    </row>
    <row r="30" spans="1:18" hidden="1" x14ac:dyDescent="0.45">
      <c r="A30" s="47"/>
      <c r="B30" s="47"/>
      <c r="C30" s="47"/>
      <c r="D30" s="47"/>
      <c r="E30" s="7" t="s">
        <v>56</v>
      </c>
      <c r="F30" s="47"/>
      <c r="G30" s="7" t="s">
        <v>15</v>
      </c>
      <c r="H30" s="7" t="s">
        <v>69</v>
      </c>
      <c r="I30" s="7" t="s">
        <v>271</v>
      </c>
      <c r="J30" s="7" t="s">
        <v>272</v>
      </c>
      <c r="K30" s="47"/>
      <c r="L30" s="47"/>
      <c r="M30" s="47"/>
      <c r="N30" s="47"/>
      <c r="O30" s="47"/>
      <c r="P30" s="47"/>
      <c r="Q30" s="47"/>
      <c r="R30" s="47"/>
    </row>
    <row r="31" spans="1:18" hidden="1" x14ac:dyDescent="0.45">
      <c r="A31" s="47"/>
      <c r="B31" s="47"/>
      <c r="C31" s="47"/>
      <c r="D31" s="47"/>
      <c r="E31" s="47" t="s">
        <v>66</v>
      </c>
      <c r="F31" s="47" t="s">
        <v>277</v>
      </c>
      <c r="G31" s="47"/>
      <c r="H31" s="47"/>
      <c r="I31" s="47"/>
      <c r="J31" s="47" t="s">
        <v>280</v>
      </c>
      <c r="K31" s="47"/>
      <c r="L31" s="47" t="s">
        <v>279</v>
      </c>
      <c r="M31" s="47"/>
      <c r="N31" s="47" t="s">
        <v>278</v>
      </c>
      <c r="O31" s="47"/>
      <c r="P31" s="47"/>
      <c r="Q31" s="47"/>
      <c r="R31" s="47"/>
    </row>
    <row r="32" spans="1:18" hidden="1" x14ac:dyDescent="0.45">
      <c r="A32" s="7" t="s">
        <v>51</v>
      </c>
      <c r="B32" s="47"/>
      <c r="C32" s="47"/>
      <c r="D32" s="47"/>
      <c r="E32" s="7" t="s">
        <v>85</v>
      </c>
      <c r="F32" s="47"/>
      <c r="G32" s="7" t="s">
        <v>257</v>
      </c>
      <c r="H32" s="47"/>
      <c r="I32" s="47"/>
      <c r="J32" s="47"/>
      <c r="K32" s="47"/>
      <c r="L32" s="7" t="s">
        <v>74</v>
      </c>
      <c r="M32" s="47"/>
      <c r="N32" s="47"/>
      <c r="O32" s="47"/>
      <c r="P32" s="47"/>
      <c r="Q32" s="47"/>
      <c r="R32" s="7" t="s">
        <v>285</v>
      </c>
    </row>
    <row r="33" spans="1:18" hidden="1" x14ac:dyDescent="0.45">
      <c r="A33" s="47"/>
      <c r="B33" s="47"/>
      <c r="C33" s="47"/>
      <c r="D33" s="47"/>
      <c r="E33" s="47" t="s">
        <v>294</v>
      </c>
      <c r="F33" s="47" t="s">
        <v>86</v>
      </c>
      <c r="G33" s="47" t="s">
        <v>103</v>
      </c>
      <c r="H33" s="47" t="s">
        <v>299</v>
      </c>
      <c r="I33" s="47"/>
      <c r="J33" s="47"/>
      <c r="K33" s="47"/>
      <c r="L33" s="47"/>
      <c r="M33" s="47"/>
      <c r="N33" s="47"/>
      <c r="O33" s="47"/>
      <c r="P33" s="47" t="s">
        <v>105</v>
      </c>
      <c r="Q33" s="47"/>
      <c r="R33" s="47"/>
    </row>
    <row r="34" spans="1:18" hidden="1" x14ac:dyDescent="0.45">
      <c r="A34" s="7"/>
      <c r="B34" s="7"/>
      <c r="C34" s="7" t="s">
        <v>300</v>
      </c>
      <c r="D34" s="7"/>
      <c r="E34" s="7" t="s">
        <v>24</v>
      </c>
      <c r="F34" s="7"/>
      <c r="G34" s="7" t="s">
        <v>15</v>
      </c>
      <c r="H34" s="47"/>
      <c r="I34" s="47"/>
      <c r="J34" s="47"/>
      <c r="K34" s="47"/>
      <c r="L34" s="7" t="s">
        <v>16</v>
      </c>
      <c r="M34" s="47"/>
      <c r="N34" s="7"/>
      <c r="O34" s="7"/>
      <c r="P34" s="7" t="s">
        <v>222</v>
      </c>
      <c r="Q34" s="47"/>
      <c r="R34" s="47"/>
    </row>
    <row r="35" spans="1:18" hidden="1" x14ac:dyDescent="0.45">
      <c r="A35" s="47"/>
      <c r="B35" s="47"/>
      <c r="C35" s="7" t="s">
        <v>306</v>
      </c>
      <c r="D35" s="47"/>
      <c r="E35" s="7" t="s">
        <v>12</v>
      </c>
      <c r="F35" s="7" t="s">
        <v>277</v>
      </c>
      <c r="G35" s="7" t="s">
        <v>75</v>
      </c>
      <c r="H35" s="47"/>
      <c r="I35" s="47"/>
      <c r="J35" s="7" t="s">
        <v>305</v>
      </c>
      <c r="K35" s="47"/>
      <c r="L35" s="47"/>
      <c r="M35" s="47"/>
      <c r="N35" s="47"/>
      <c r="O35" s="47"/>
      <c r="P35" s="47"/>
      <c r="Q35" s="47"/>
      <c r="R35" s="47"/>
    </row>
    <row r="36" spans="1:18" hidden="1" x14ac:dyDescent="0.45">
      <c r="A36" s="47"/>
      <c r="B36" s="47"/>
      <c r="C36" s="7" t="s">
        <v>19</v>
      </c>
      <c r="D36" s="47"/>
      <c r="E36" s="7" t="s">
        <v>80</v>
      </c>
      <c r="F36" s="7" t="s">
        <v>312</v>
      </c>
      <c r="G36" s="7" t="s">
        <v>311</v>
      </c>
      <c r="H36" s="7"/>
      <c r="I36" s="47"/>
      <c r="J36" s="7" t="s">
        <v>31</v>
      </c>
      <c r="K36" s="47"/>
      <c r="L36" s="47"/>
      <c r="M36" s="47"/>
      <c r="N36" s="47"/>
      <c r="O36" s="47"/>
      <c r="P36" s="47"/>
      <c r="Q36" s="47"/>
      <c r="R36" s="47"/>
    </row>
    <row r="37" spans="1:18" x14ac:dyDescent="0.45">
      <c r="A37" s="47"/>
      <c r="B37" s="47"/>
      <c r="C37" s="47"/>
      <c r="D37" s="7"/>
      <c r="E37" s="7" t="s">
        <v>62</v>
      </c>
      <c r="F37" s="7" t="s">
        <v>320</v>
      </c>
      <c r="G37" s="7"/>
      <c r="H37" s="7"/>
      <c r="I37" s="47"/>
      <c r="J37" s="7" t="s">
        <v>317</v>
      </c>
      <c r="K37" s="47"/>
      <c r="L37" s="7" t="s">
        <v>318</v>
      </c>
      <c r="M37" s="47"/>
      <c r="N37" s="7" t="s">
        <v>319</v>
      </c>
      <c r="O37" s="47"/>
      <c r="P37" s="47"/>
      <c r="Q37" s="47"/>
      <c r="R37" s="47"/>
    </row>
    <row r="38" spans="1:18" hidden="1" x14ac:dyDescent="0.45">
      <c r="A38" s="47" t="s">
        <v>100</v>
      </c>
      <c r="B38" s="47"/>
      <c r="C38" s="47"/>
      <c r="D38" s="7"/>
      <c r="E38" s="47" t="s">
        <v>294</v>
      </c>
      <c r="F38" s="7"/>
      <c r="G38" s="7"/>
      <c r="H38" s="7"/>
      <c r="I38" s="47"/>
      <c r="J38" s="47" t="s">
        <v>326</v>
      </c>
      <c r="K38" s="47"/>
      <c r="L38" s="47" t="s">
        <v>325</v>
      </c>
      <c r="M38" s="47"/>
      <c r="N38" s="47"/>
      <c r="O38" s="47"/>
      <c r="P38" s="47"/>
      <c r="Q38" s="47"/>
      <c r="R38" s="47" t="s">
        <v>327</v>
      </c>
    </row>
    <row r="39" spans="1:18" hidden="1" x14ac:dyDescent="0.45">
      <c r="A39" s="47"/>
      <c r="B39" s="47"/>
      <c r="C39" s="47"/>
      <c r="D39" s="7"/>
      <c r="E39" s="47" t="s">
        <v>82</v>
      </c>
      <c r="F39" s="47" t="s">
        <v>312</v>
      </c>
      <c r="G39" s="47" t="s">
        <v>338</v>
      </c>
      <c r="H39" s="47" t="s">
        <v>23</v>
      </c>
      <c r="I39" s="47"/>
      <c r="J39" s="7"/>
      <c r="K39" s="47"/>
      <c r="L39" s="47"/>
      <c r="M39" s="47"/>
      <c r="N39" s="47"/>
      <c r="O39" s="47"/>
      <c r="P39" s="47" t="s">
        <v>339</v>
      </c>
      <c r="Q39" s="47"/>
      <c r="R39" s="47"/>
    </row>
    <row r="40" spans="1:18" x14ac:dyDescent="0.45">
      <c r="A40" s="47"/>
      <c r="B40" s="47"/>
      <c r="C40" s="47" t="s">
        <v>63</v>
      </c>
      <c r="D40" s="47"/>
      <c r="E40" s="47" t="s">
        <v>277</v>
      </c>
      <c r="F40" s="47" t="s">
        <v>62</v>
      </c>
      <c r="G40" s="47"/>
      <c r="H40" s="47"/>
      <c r="I40" s="47"/>
      <c r="J40" s="7"/>
      <c r="K40" s="47"/>
      <c r="L40" s="47" t="s">
        <v>13</v>
      </c>
      <c r="M40" s="47"/>
      <c r="N40" s="47" t="s">
        <v>349</v>
      </c>
      <c r="O40" s="47"/>
      <c r="P40" s="47"/>
      <c r="Q40" s="47"/>
      <c r="R40" s="47"/>
    </row>
    <row r="41" spans="1:18" hidden="1" x14ac:dyDescent="0.45">
      <c r="A41" s="47"/>
      <c r="B41" s="47"/>
      <c r="C41" s="47"/>
      <c r="D41" s="7"/>
      <c r="E41" s="47" t="s">
        <v>66</v>
      </c>
      <c r="F41" s="7"/>
      <c r="G41" s="47" t="s">
        <v>94</v>
      </c>
      <c r="H41" s="47" t="s">
        <v>73</v>
      </c>
      <c r="I41" s="47"/>
      <c r="J41" s="47" t="s">
        <v>355</v>
      </c>
      <c r="K41" s="47"/>
      <c r="L41" s="47" t="s">
        <v>65</v>
      </c>
      <c r="M41" s="47"/>
      <c r="N41" s="47"/>
      <c r="O41" s="47"/>
      <c r="P41" s="47"/>
      <c r="Q41" s="47"/>
      <c r="R41" s="47"/>
    </row>
    <row r="42" spans="1:18" hidden="1" x14ac:dyDescent="0.45">
      <c r="A42" s="47" t="s">
        <v>362</v>
      </c>
      <c r="B42" s="47"/>
      <c r="C42" s="47" t="s">
        <v>264</v>
      </c>
      <c r="D42" s="7"/>
      <c r="E42" s="7"/>
      <c r="F42" s="7"/>
      <c r="G42" s="47" t="s">
        <v>360</v>
      </c>
      <c r="H42" s="47" t="s">
        <v>361</v>
      </c>
      <c r="I42" s="47"/>
      <c r="J42" s="47"/>
      <c r="K42" s="47"/>
      <c r="L42" s="47"/>
      <c r="M42" s="47"/>
      <c r="N42" s="47" t="s">
        <v>265</v>
      </c>
      <c r="O42" s="47"/>
      <c r="P42" s="47"/>
      <c r="Q42" s="47"/>
      <c r="R42" s="47"/>
    </row>
    <row r="43" spans="1:18" hidden="1" x14ac:dyDescent="0.45">
      <c r="A43" s="47" t="s">
        <v>367</v>
      </c>
      <c r="B43" s="47"/>
      <c r="C43" s="47"/>
      <c r="D43" s="47"/>
      <c r="E43" s="47" t="s">
        <v>320</v>
      </c>
      <c r="F43" s="47"/>
      <c r="G43" s="47" t="s">
        <v>369</v>
      </c>
      <c r="H43" s="47" t="s">
        <v>370</v>
      </c>
      <c r="I43" s="47"/>
      <c r="J43" s="47"/>
      <c r="K43" s="47"/>
      <c r="L43" s="47" t="s">
        <v>53</v>
      </c>
      <c r="M43" s="47"/>
      <c r="N43" s="47"/>
      <c r="O43" s="47"/>
      <c r="P43" s="47"/>
      <c r="Q43" s="47"/>
      <c r="R43" s="47"/>
    </row>
    <row r="44" spans="1:18" hidden="1" x14ac:dyDescent="0.45">
      <c r="A44" s="47"/>
      <c r="B44" s="47"/>
      <c r="C44" s="7" t="s">
        <v>378</v>
      </c>
      <c r="D44" s="7"/>
      <c r="E44" s="7"/>
      <c r="F44" s="7"/>
      <c r="G44" s="7" t="s">
        <v>375</v>
      </c>
      <c r="H44" s="7" t="s">
        <v>377</v>
      </c>
      <c r="I44" s="47"/>
      <c r="J44" s="47"/>
      <c r="K44" s="47"/>
      <c r="L44" s="7" t="s">
        <v>221</v>
      </c>
      <c r="M44" s="47"/>
      <c r="N44" s="7" t="s">
        <v>376</v>
      </c>
      <c r="O44" s="47"/>
      <c r="P44" s="47"/>
      <c r="Q44" s="47"/>
      <c r="R44" s="47"/>
    </row>
    <row r="45" spans="1:18" hidden="1" x14ac:dyDescent="0.45">
      <c r="A45" s="47"/>
      <c r="B45" s="47"/>
      <c r="C45" s="47" t="s">
        <v>101</v>
      </c>
      <c r="D45" s="7"/>
      <c r="E45" s="47" t="s">
        <v>277</v>
      </c>
      <c r="F45" s="47" t="s">
        <v>99</v>
      </c>
      <c r="G45" s="47" t="s">
        <v>383</v>
      </c>
      <c r="H45" s="47" t="s">
        <v>383</v>
      </c>
      <c r="I45" s="47"/>
      <c r="J45" s="47"/>
      <c r="K45" s="47"/>
      <c r="L45" s="47"/>
      <c r="M45" s="47"/>
      <c r="N45" s="47"/>
      <c r="O45" s="47"/>
      <c r="P45" s="47"/>
      <c r="Q45" s="47"/>
      <c r="R45" s="47"/>
    </row>
    <row r="46" spans="1:18" hidden="1" x14ac:dyDescent="0.45">
      <c r="A46" s="47" t="s">
        <v>76</v>
      </c>
      <c r="B46" s="47"/>
      <c r="C46" s="47"/>
      <c r="D46" s="7"/>
      <c r="E46" s="47" t="s">
        <v>12</v>
      </c>
      <c r="F46" s="47"/>
      <c r="G46" s="47" t="s">
        <v>75</v>
      </c>
      <c r="H46" s="47" t="s">
        <v>103</v>
      </c>
      <c r="I46" s="47"/>
      <c r="J46" s="47"/>
      <c r="K46" s="47"/>
      <c r="L46" s="47" t="s">
        <v>388</v>
      </c>
      <c r="M46" s="47"/>
      <c r="N46" s="47"/>
      <c r="O46" s="47"/>
      <c r="P46" s="47"/>
      <c r="Q46" s="47"/>
      <c r="R46" s="47"/>
    </row>
    <row r="47" spans="1:18" hidden="1" x14ac:dyDescent="0.45">
      <c r="A47" s="47"/>
      <c r="B47" s="47"/>
      <c r="C47" s="47" t="s">
        <v>395</v>
      </c>
      <c r="D47" s="7"/>
      <c r="E47" s="47" t="s">
        <v>45</v>
      </c>
      <c r="F47" s="47" t="s">
        <v>85</v>
      </c>
      <c r="G47" s="47" t="s">
        <v>393</v>
      </c>
      <c r="H47" s="47"/>
      <c r="I47" s="47"/>
      <c r="J47" s="47"/>
      <c r="K47" s="47"/>
      <c r="L47" s="47"/>
      <c r="M47" s="47"/>
      <c r="N47" s="47" t="s">
        <v>394</v>
      </c>
      <c r="O47" s="47"/>
      <c r="P47" s="47"/>
      <c r="Q47" s="47"/>
      <c r="R47" s="47"/>
    </row>
    <row r="48" spans="1:18" hidden="1" x14ac:dyDescent="0.45">
      <c r="A48" s="47" t="s">
        <v>401</v>
      </c>
      <c r="B48" s="47"/>
      <c r="C48" s="47" t="s">
        <v>19</v>
      </c>
      <c r="D48" s="7"/>
      <c r="E48" s="47" t="s">
        <v>400</v>
      </c>
      <c r="F48" s="47"/>
      <c r="G48" s="47" t="s">
        <v>311</v>
      </c>
      <c r="H48" s="47" t="s">
        <v>311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</row>
    <row r="49" spans="1:18" hidden="1" x14ac:dyDescent="0.45">
      <c r="A49" s="47" t="s">
        <v>76</v>
      </c>
      <c r="B49" s="47"/>
      <c r="C49" s="47"/>
      <c r="D49" s="7"/>
      <c r="E49" s="47" t="s">
        <v>12</v>
      </c>
      <c r="F49" s="47"/>
      <c r="G49" s="47" t="s">
        <v>75</v>
      </c>
      <c r="H49" s="47"/>
      <c r="I49" s="47"/>
      <c r="J49" s="47" t="s">
        <v>10</v>
      </c>
      <c r="K49" s="47"/>
      <c r="L49" s="47"/>
      <c r="M49" s="47"/>
      <c r="N49" s="47"/>
      <c r="O49" s="47"/>
      <c r="P49" s="47" t="s">
        <v>406</v>
      </c>
      <c r="Q49" s="47"/>
      <c r="R49" s="47"/>
    </row>
    <row r="50" spans="1:18" hidden="1" x14ac:dyDescent="0.45">
      <c r="A50" s="47" t="s">
        <v>411</v>
      </c>
      <c r="B50" s="47" t="s">
        <v>413</v>
      </c>
      <c r="C50" s="47"/>
      <c r="D50" s="47"/>
      <c r="E50" s="47" t="s">
        <v>83</v>
      </c>
      <c r="F50" s="47"/>
      <c r="G50" s="47" t="s">
        <v>377</v>
      </c>
      <c r="H50" s="47"/>
      <c r="I50" s="47"/>
      <c r="J50" s="47"/>
      <c r="K50" s="47"/>
      <c r="L50" s="47" t="s">
        <v>412</v>
      </c>
      <c r="M50" s="47"/>
      <c r="N50" s="47"/>
      <c r="O50" s="47"/>
      <c r="P50" s="47"/>
      <c r="Q50" s="47"/>
      <c r="R50" s="47"/>
    </row>
    <row r="51" spans="1:18" hidden="1" x14ac:dyDescent="0.45">
      <c r="A51" s="47"/>
      <c r="B51" s="47"/>
      <c r="C51" s="47"/>
      <c r="D51" s="47"/>
      <c r="E51" s="47" t="s">
        <v>67</v>
      </c>
      <c r="F51" s="47"/>
      <c r="G51" s="47" t="s">
        <v>369</v>
      </c>
      <c r="H51" s="47"/>
      <c r="I51" s="47"/>
      <c r="J51" s="47" t="s">
        <v>272</v>
      </c>
      <c r="K51" s="47"/>
      <c r="L51" s="47" t="s">
        <v>53</v>
      </c>
      <c r="M51" s="47"/>
      <c r="N51" s="47" t="s">
        <v>418</v>
      </c>
      <c r="O51" s="47"/>
      <c r="P51" s="47"/>
      <c r="Q51" s="47"/>
      <c r="R51" s="47"/>
    </row>
    <row r="52" spans="1:18" hidden="1" x14ac:dyDescent="0.45">
      <c r="A52" s="47"/>
      <c r="B52" s="47"/>
      <c r="C52" s="47"/>
      <c r="D52" s="7"/>
      <c r="E52" s="47" t="s">
        <v>90</v>
      </c>
      <c r="F52" s="47" t="s">
        <v>82</v>
      </c>
      <c r="G52" s="47"/>
      <c r="H52" s="47"/>
      <c r="I52" s="47"/>
      <c r="J52" s="47" t="s">
        <v>258</v>
      </c>
      <c r="K52" s="47"/>
      <c r="L52" s="47"/>
      <c r="M52" s="47"/>
      <c r="N52" s="47" t="s">
        <v>20</v>
      </c>
      <c r="O52" s="47"/>
      <c r="P52" s="47" t="s">
        <v>423</v>
      </c>
      <c r="Q52" s="47"/>
      <c r="R52" s="47"/>
    </row>
    <row r="53" spans="1:18" hidden="1" x14ac:dyDescent="0.45">
      <c r="A53" s="47"/>
      <c r="B53" s="47"/>
      <c r="C53" s="47" t="s">
        <v>428</v>
      </c>
      <c r="D53" s="7"/>
      <c r="E53" s="47" t="s">
        <v>66</v>
      </c>
      <c r="F53" s="47"/>
      <c r="G53" s="47" t="s">
        <v>103</v>
      </c>
      <c r="H53" s="47"/>
      <c r="I53" s="47"/>
      <c r="J53" s="47" t="s">
        <v>188</v>
      </c>
      <c r="K53" s="47"/>
      <c r="L53" s="47" t="s">
        <v>65</v>
      </c>
      <c r="M53" s="47"/>
      <c r="N53" s="47"/>
      <c r="O53" s="47"/>
      <c r="P53" s="47"/>
      <c r="Q53" s="47"/>
      <c r="R53" s="47"/>
    </row>
    <row r="54" spans="1:18" hidden="1" x14ac:dyDescent="0.45">
      <c r="A54" s="47"/>
      <c r="B54" s="47"/>
      <c r="C54" s="47" t="s">
        <v>378</v>
      </c>
      <c r="D54" s="7"/>
      <c r="E54" s="47" t="s">
        <v>82</v>
      </c>
      <c r="F54" s="47"/>
      <c r="G54" s="47" t="s">
        <v>84</v>
      </c>
      <c r="H54" s="47"/>
      <c r="I54" s="47"/>
      <c r="J54" s="47" t="s">
        <v>258</v>
      </c>
      <c r="K54" s="47"/>
      <c r="L54" s="47" t="s">
        <v>46</v>
      </c>
      <c r="M54" s="47"/>
      <c r="N54" s="47"/>
      <c r="O54" s="47"/>
      <c r="P54" s="47"/>
      <c r="Q54" s="47"/>
      <c r="R54" s="47"/>
    </row>
    <row r="55" spans="1:18" hidden="1" x14ac:dyDescent="0.45">
      <c r="A55" s="47" t="s">
        <v>51</v>
      </c>
      <c r="B55" s="47"/>
      <c r="C55" s="47" t="s">
        <v>49</v>
      </c>
      <c r="D55" s="7"/>
      <c r="E55" s="47"/>
      <c r="F55" s="47"/>
      <c r="G55" s="47" t="s">
        <v>257</v>
      </c>
      <c r="H55" s="47"/>
      <c r="I55" s="47"/>
      <c r="J55" s="47"/>
      <c r="K55" s="47"/>
      <c r="L55" s="47" t="s">
        <v>279</v>
      </c>
      <c r="M55" s="47" t="s">
        <v>235</v>
      </c>
      <c r="N55" s="47"/>
      <c r="O55" s="47"/>
      <c r="P55" s="47"/>
      <c r="Q55" s="47"/>
      <c r="R55" s="47"/>
    </row>
    <row r="56" spans="1:18" hidden="1" x14ac:dyDescent="0.45">
      <c r="A56" s="47"/>
      <c r="B56" s="47"/>
      <c r="C56" s="47"/>
      <c r="D56" s="7"/>
      <c r="E56" s="47" t="s">
        <v>86</v>
      </c>
      <c r="F56" s="47"/>
      <c r="G56" s="47" t="s">
        <v>75</v>
      </c>
      <c r="H56" s="47" t="s">
        <v>75</v>
      </c>
      <c r="I56" s="47"/>
      <c r="J56" s="47"/>
      <c r="K56" s="47"/>
      <c r="L56" s="47" t="s">
        <v>104</v>
      </c>
      <c r="M56" s="47"/>
      <c r="N56" s="47" t="s">
        <v>441</v>
      </c>
      <c r="O56" s="47"/>
      <c r="P56" s="47"/>
      <c r="Q56" s="47"/>
      <c r="R56" s="47"/>
    </row>
    <row r="57" spans="1:18" hidden="1" x14ac:dyDescent="0.45">
      <c r="A57" s="47"/>
      <c r="B57" s="47"/>
      <c r="C57" s="47"/>
      <c r="D57" s="7"/>
      <c r="E57" s="47" t="s">
        <v>67</v>
      </c>
      <c r="F57" s="47"/>
      <c r="G57" s="47" t="s">
        <v>447</v>
      </c>
      <c r="H57" s="47"/>
      <c r="I57" s="47"/>
      <c r="J57" s="47"/>
      <c r="K57" s="47"/>
      <c r="L57" s="47" t="s">
        <v>446</v>
      </c>
      <c r="M57" s="47" t="s">
        <v>68</v>
      </c>
      <c r="N57" s="47"/>
      <c r="O57" s="47"/>
      <c r="P57" s="47"/>
      <c r="Q57" s="47"/>
      <c r="R57" s="47" t="s">
        <v>448</v>
      </c>
    </row>
    <row r="58" spans="1:18" hidden="1" x14ac:dyDescent="0.45">
      <c r="A58" s="47" t="s">
        <v>362</v>
      </c>
      <c r="B58" s="47"/>
      <c r="C58" s="47"/>
      <c r="D58" s="47"/>
      <c r="E58" s="47" t="s">
        <v>240</v>
      </c>
      <c r="F58" s="47" t="s">
        <v>24</v>
      </c>
      <c r="G58" s="47" t="s">
        <v>220</v>
      </c>
      <c r="H58" s="47"/>
      <c r="I58" s="47"/>
      <c r="J58" s="47" t="s">
        <v>243</v>
      </c>
      <c r="K58" s="47"/>
      <c r="L58" s="47"/>
      <c r="M58" s="47"/>
      <c r="N58" s="47"/>
      <c r="O58" s="47"/>
      <c r="P58" s="47"/>
      <c r="Q58" s="47"/>
      <c r="R58" s="47"/>
    </row>
    <row r="59" spans="1:18" x14ac:dyDescent="0.45">
      <c r="A59" s="47" t="s">
        <v>459</v>
      </c>
      <c r="B59" s="47"/>
      <c r="C59" s="47"/>
      <c r="D59" s="47"/>
      <c r="E59" s="47" t="s">
        <v>48</v>
      </c>
      <c r="F59" s="47"/>
      <c r="G59" s="47" t="s">
        <v>257</v>
      </c>
      <c r="H59" s="47" t="s">
        <v>458</v>
      </c>
      <c r="I59" s="47"/>
      <c r="J59" s="47" t="s">
        <v>457</v>
      </c>
      <c r="K59" s="47"/>
      <c r="L59" s="47"/>
      <c r="M59" s="47"/>
      <c r="N59" s="47"/>
      <c r="O59" s="47"/>
      <c r="P59" s="47"/>
      <c r="Q59" s="47"/>
      <c r="R59" s="47"/>
    </row>
    <row r="60" spans="1:18" hidden="1" x14ac:dyDescent="0.45">
      <c r="A60" s="47" t="s">
        <v>464</v>
      </c>
      <c r="B60" s="47"/>
      <c r="C60" s="47"/>
      <c r="D60" s="47"/>
      <c r="E60" s="47" t="s">
        <v>67</v>
      </c>
      <c r="F60" s="47"/>
      <c r="G60" s="47" t="s">
        <v>84</v>
      </c>
      <c r="H60" s="47" t="s">
        <v>271</v>
      </c>
      <c r="I60" s="47"/>
      <c r="J60" s="47"/>
      <c r="K60" s="47"/>
      <c r="L60" s="47"/>
      <c r="M60" s="47"/>
      <c r="N60" s="47"/>
      <c r="O60" s="47"/>
      <c r="P60" s="47" t="s">
        <v>465</v>
      </c>
      <c r="Q60" s="47"/>
      <c r="R60" s="47"/>
    </row>
    <row r="61" spans="1:18" x14ac:dyDescent="0.45">
      <c r="A61" s="47"/>
      <c r="B61" s="47"/>
      <c r="C61" s="47" t="s">
        <v>470</v>
      </c>
      <c r="D61" s="47"/>
      <c r="E61" s="47" t="s">
        <v>32</v>
      </c>
      <c r="F61" s="47" t="s">
        <v>12</v>
      </c>
      <c r="G61" s="47"/>
      <c r="H61" s="47"/>
      <c r="I61" s="47"/>
      <c r="J61" s="47" t="s">
        <v>471</v>
      </c>
      <c r="K61" s="47"/>
      <c r="L61" s="47" t="s">
        <v>388</v>
      </c>
      <c r="M61" s="47"/>
      <c r="N61" s="47"/>
      <c r="O61" s="47"/>
      <c r="P61" s="47"/>
      <c r="Q61" s="47"/>
      <c r="R61" s="47"/>
    </row>
    <row r="63" spans="1:18" x14ac:dyDescent="0.45">
      <c r="A63" s="48" t="s">
        <v>62</v>
      </c>
      <c r="B63">
        <v>5</v>
      </c>
    </row>
    <row r="64" spans="1:18" x14ac:dyDescent="0.45">
      <c r="A64" s="48" t="s">
        <v>13</v>
      </c>
      <c r="B64">
        <v>4</v>
      </c>
    </row>
    <row r="65" spans="1:3" x14ac:dyDescent="0.45">
      <c r="A65" s="48" t="s">
        <v>32</v>
      </c>
      <c r="B65">
        <v>3</v>
      </c>
    </row>
    <row r="66" spans="1:3" x14ac:dyDescent="0.45">
      <c r="A66" s="48" t="s">
        <v>30</v>
      </c>
      <c r="B66">
        <v>3</v>
      </c>
      <c r="C66">
        <v>1</v>
      </c>
    </row>
    <row r="67" spans="1:3" x14ac:dyDescent="0.45">
      <c r="A67" s="48" t="s">
        <v>11</v>
      </c>
      <c r="B67">
        <v>3</v>
      </c>
      <c r="C67">
        <v>1</v>
      </c>
    </row>
    <row r="68" spans="1:3" x14ac:dyDescent="0.45">
      <c r="A68" s="48" t="s">
        <v>63</v>
      </c>
      <c r="B68">
        <v>3</v>
      </c>
    </row>
    <row r="69" spans="1:3" x14ac:dyDescent="0.45">
      <c r="A69" s="48" t="s">
        <v>457</v>
      </c>
      <c r="B69">
        <v>1</v>
      </c>
    </row>
    <row r="70" spans="1:3" x14ac:dyDescent="0.45">
      <c r="A70" s="48" t="s">
        <v>476</v>
      </c>
      <c r="B70">
        <v>1</v>
      </c>
    </row>
    <row r="71" spans="1:3" x14ac:dyDescent="0.45">
      <c r="A71" s="48" t="s">
        <v>14</v>
      </c>
      <c r="B71">
        <v>1</v>
      </c>
    </row>
    <row r="72" spans="1:3" x14ac:dyDescent="0.45">
      <c r="A72" s="48" t="s">
        <v>89</v>
      </c>
      <c r="B72">
        <v>1</v>
      </c>
    </row>
    <row r="73" spans="1:3" x14ac:dyDescent="0.45">
      <c r="A73" s="48" t="s">
        <v>470</v>
      </c>
      <c r="B73">
        <v>1</v>
      </c>
    </row>
    <row r="74" spans="1:3" x14ac:dyDescent="0.45">
      <c r="A74" s="48" t="s">
        <v>34</v>
      </c>
      <c r="B74">
        <v>1</v>
      </c>
    </row>
    <row r="75" spans="1:3" x14ac:dyDescent="0.45">
      <c r="A75" s="48" t="s">
        <v>459</v>
      </c>
      <c r="B75">
        <v>1</v>
      </c>
    </row>
    <row r="76" spans="1:3" x14ac:dyDescent="0.45">
      <c r="A76" s="48" t="s">
        <v>64</v>
      </c>
      <c r="B76">
        <v>1</v>
      </c>
    </row>
    <row r="77" spans="1:3" x14ac:dyDescent="0.45">
      <c r="A77" s="48" t="s">
        <v>477</v>
      </c>
      <c r="B77">
        <v>0</v>
      </c>
    </row>
    <row r="78" spans="1:3" x14ac:dyDescent="0.45">
      <c r="A78" s="48" t="s">
        <v>478</v>
      </c>
      <c r="B78">
        <v>0</v>
      </c>
    </row>
  </sheetData>
  <sortState xmlns:xlrd2="http://schemas.microsoft.com/office/spreadsheetml/2017/richdata2" ref="A63:C78">
    <sortCondition descending="1" ref="B63:B78"/>
  </sortState>
  <conditionalFormatting sqref="A1:XFD1048576">
    <cfRule type="containsText" dxfId="0" priority="7" operator="containsText" text=":BUF">
      <formula>NOT(ISERROR(SEARCH(":BUF",A1)))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Wins by Key</vt:lpstr>
      <vt:lpstr>Wins by Postion</vt:lpstr>
      <vt:lpstr>MVP by Position</vt:lpstr>
      <vt:lpstr>MVP by Player</vt:lpstr>
      <vt:lpstr>Team Count</vt:lpstr>
      <vt:lpstr>Retro</vt:lpstr>
      <vt:lpstr>MVP Keys</vt:lpstr>
      <vt:lpstr>Position Matrix</vt:lpstr>
      <vt:lpstr>SQL</vt:lpstr>
      <vt:lpstr>Sheet1</vt:lpstr>
      <vt:lpstr>key_team_cnt</vt:lpstr>
      <vt:lpstr>WinsByPosition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2024-09-06T04:42:29Z</dcterms:created>
  <dcterms:modified xsi:type="dcterms:W3CDTF">2025-11-05T02:33:19Z</dcterms:modified>
</cp:coreProperties>
</file>