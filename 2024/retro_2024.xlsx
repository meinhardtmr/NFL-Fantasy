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NFL-Fantasy\2024\"/>
    </mc:Choice>
  </mc:AlternateContent>
  <xr:revisionPtr revIDLastSave="0" documentId="13_ncr:1_{8C2415FB-B26A-4CF3-8849-9759B8ECA626}" xr6:coauthVersionLast="47" xr6:coauthVersionMax="47" xr10:uidLastSave="{00000000-0000-0000-0000-000000000000}"/>
  <bookViews>
    <workbookView xWindow="43080" yWindow="-120" windowWidth="29040" windowHeight="15720" tabRatio="651" firstSheet="1" activeTab="5" xr2:uid="{00000000-000D-0000-FFFF-FFFF00000000}"/>
  </bookViews>
  <sheets>
    <sheet name="Sheet2" sheetId="13" state="hidden" r:id="rId1"/>
    <sheet name="Wins by Key" sheetId="7" r:id="rId2"/>
    <sheet name="Wins by Postion" sheetId="6" r:id="rId3"/>
    <sheet name="MVP by Key" sheetId="11" r:id="rId4"/>
    <sheet name="MVP by Position" sheetId="5" r:id="rId5"/>
    <sheet name="MVP by Player" sheetId="4" r:id="rId6"/>
    <sheet name="Team Count" sheetId="9" r:id="rId7"/>
    <sheet name="Retro" sheetId="1" r:id="rId8"/>
    <sheet name="Position Matrix" sheetId="3" r:id="rId9"/>
  </sheets>
  <definedNames>
    <definedName name="_xlnm._FilterDatabase" localSheetId="5" hidden="1">'MVP by Position'!$B$32:$B$67</definedName>
    <definedName name="_xlnm._FilterDatabase" localSheetId="4" hidden="1">'MVP by Position'!$K$2:$K$11</definedName>
    <definedName name="_xlnm._FilterDatabase" localSheetId="7" hidden="1">Retro!$L$2:$L$36</definedName>
    <definedName name="_xlnm._FilterDatabase" localSheetId="2" hidden="1">'Wins by Postion'!$M$2:$M$12</definedName>
    <definedName name="ExternalData_1" localSheetId="0" hidden="1">Sheet2!$A$3:$AB$9</definedName>
    <definedName name="MVPbyPlayer">'MVP by Player'!$U$2:INDEX(!$R:$R,COUNTA('MVP by Player'!$R:$R))</definedName>
    <definedName name="WinsByPosition">'Position Matrix'!$A$84:$A$93</definedName>
  </definedNames>
  <calcPr calcId="191029"/>
  <pivotCaches>
    <pivotCache cacheId="143" r:id="rId10"/>
    <pivotCache cacheId="14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2" i="3" l="1"/>
  <c r="P3" i="6" s="1"/>
  <c r="R72" i="3" l="1"/>
  <c r="Q72" i="3"/>
  <c r="N11" i="6" s="1" a="1"/>
  <c r="N11" i="6" s="1"/>
  <c r="P72" i="3"/>
  <c r="O72" i="3"/>
  <c r="N10" i="6" s="1" a="1"/>
  <c r="N10" i="6" s="1"/>
  <c r="N72" i="3"/>
  <c r="M72" i="3"/>
  <c r="N9" i="6" s="1" a="1"/>
  <c r="N9" i="6" s="1"/>
  <c r="L72" i="3"/>
  <c r="K72" i="3"/>
  <c r="N8" i="6" s="1" a="1"/>
  <c r="N8" i="6" s="1"/>
  <c r="J72" i="3"/>
  <c r="I72" i="3"/>
  <c r="H72" i="3"/>
  <c r="G72" i="3"/>
  <c r="F72" i="3"/>
  <c r="E72" i="3"/>
  <c r="D72" i="3"/>
  <c r="N5" i="6" s="1" a="1"/>
  <c r="N5" i="6" s="1"/>
  <c r="C72" i="3"/>
  <c r="B72" i="3"/>
  <c r="S72" i="3"/>
  <c r="N12" i="6" s="1"/>
  <c r="N4" i="6" l="1" a="1"/>
  <c r="N4" i="6" s="1"/>
  <c r="N7" i="6" a="1"/>
  <c r="N7" i="6" s="1"/>
  <c r="N6" i="6" a="1"/>
  <c r="N6" i="6" s="1"/>
  <c r="I71" i="1" l="1"/>
  <c r="H71" i="1"/>
  <c r="F71" i="1"/>
  <c r="E71" i="1"/>
  <c r="I70" i="1"/>
  <c r="E70" i="1" s="1"/>
  <c r="H70" i="1"/>
  <c r="F70" i="1"/>
  <c r="I69" i="1"/>
  <c r="H69" i="1"/>
  <c r="F69" i="1"/>
  <c r="E69" i="1"/>
  <c r="I68" i="1"/>
  <c r="H68" i="1"/>
  <c r="F68" i="1"/>
  <c r="E68" i="1"/>
  <c r="I67" i="1"/>
  <c r="E67" i="1" s="1"/>
  <c r="H67" i="1"/>
  <c r="F67" i="1"/>
  <c r="I66" i="1"/>
  <c r="F66" i="1" s="1"/>
  <c r="H66" i="1"/>
  <c r="I65" i="1"/>
  <c r="E65" i="1" s="1"/>
  <c r="H65" i="1"/>
  <c r="F65" i="1"/>
  <c r="I64" i="1"/>
  <c r="F64" i="1" s="1"/>
  <c r="H64" i="1"/>
  <c r="I63" i="1"/>
  <c r="F63" i="1" s="1"/>
  <c r="H63" i="1"/>
  <c r="E63" i="1"/>
  <c r="I62" i="1"/>
  <c r="E62" i="1" s="1"/>
  <c r="H62" i="1"/>
  <c r="F62" i="1"/>
  <c r="I61" i="1"/>
  <c r="H61" i="1"/>
  <c r="F61" i="1"/>
  <c r="E61" i="1"/>
  <c r="I60" i="1"/>
  <c r="E60" i="1" s="1"/>
  <c r="H60" i="1"/>
  <c r="F60" i="1"/>
  <c r="I59" i="1"/>
  <c r="H59" i="1"/>
  <c r="F59" i="1"/>
  <c r="E59" i="1"/>
  <c r="I58" i="1"/>
  <c r="H58" i="1"/>
  <c r="F58" i="1"/>
  <c r="E58" i="1"/>
  <c r="I57" i="1"/>
  <c r="E57" i="1" s="1"/>
  <c r="H57" i="1"/>
  <c r="F57" i="1"/>
  <c r="I56" i="1"/>
  <c r="H56" i="1"/>
  <c r="F56" i="1"/>
  <c r="E56" i="1"/>
  <c r="I55" i="1"/>
  <c r="E55" i="1" s="1"/>
  <c r="H55" i="1"/>
  <c r="I54" i="1"/>
  <c r="H54" i="1"/>
  <c r="F54" i="1"/>
  <c r="E54" i="1"/>
  <c r="I53" i="1"/>
  <c r="F53" i="1" s="1"/>
  <c r="H53" i="1"/>
  <c r="I52" i="1"/>
  <c r="E52" i="1" s="1"/>
  <c r="H52" i="1"/>
  <c r="I51" i="1"/>
  <c r="H51" i="1"/>
  <c r="F51" i="1"/>
  <c r="E51" i="1"/>
  <c r="I50" i="1"/>
  <c r="E50" i="1" s="1"/>
  <c r="H50" i="1"/>
  <c r="F50" i="1"/>
  <c r="I49" i="1"/>
  <c r="E49" i="1" s="1"/>
  <c r="H49" i="1"/>
  <c r="I48" i="1"/>
  <c r="H48" i="1"/>
  <c r="F48" i="1"/>
  <c r="E48" i="1"/>
  <c r="I47" i="1"/>
  <c r="E47" i="1" s="1"/>
  <c r="H47" i="1"/>
  <c r="F47" i="1"/>
  <c r="I46" i="1"/>
  <c r="H46" i="1"/>
  <c r="F46" i="1"/>
  <c r="E46" i="1"/>
  <c r="I45" i="1"/>
  <c r="E45" i="1" s="1"/>
  <c r="H45" i="1"/>
  <c r="F45" i="1"/>
  <c r="I44" i="1"/>
  <c r="E44" i="1" s="1"/>
  <c r="H44" i="1"/>
  <c r="F44" i="1"/>
  <c r="I43" i="1"/>
  <c r="H43" i="1"/>
  <c r="F43" i="1"/>
  <c r="E43" i="1"/>
  <c r="I42" i="1"/>
  <c r="E42" i="1" s="1"/>
  <c r="H42" i="1"/>
  <c r="I41" i="1"/>
  <c r="H41" i="1"/>
  <c r="F41" i="1"/>
  <c r="E41" i="1"/>
  <c r="I40" i="1"/>
  <c r="E40" i="1" s="1"/>
  <c r="H40" i="1"/>
  <c r="F40" i="1"/>
  <c r="I39" i="1"/>
  <c r="H39" i="1"/>
  <c r="F39" i="1"/>
  <c r="E39" i="1"/>
  <c r="I38" i="1"/>
  <c r="E38" i="1" s="1"/>
  <c r="H38" i="1"/>
  <c r="I37" i="1"/>
  <c r="E37" i="1" s="1"/>
  <c r="H37" i="1"/>
  <c r="F37" i="1"/>
  <c r="I36" i="1"/>
  <c r="E36" i="1" s="1"/>
  <c r="H36" i="1"/>
  <c r="I35" i="1"/>
  <c r="E35" i="1" s="1"/>
  <c r="H35" i="1"/>
  <c r="F35" i="1"/>
  <c r="I34" i="1"/>
  <c r="H34" i="1"/>
  <c r="F34" i="1"/>
  <c r="E34" i="1"/>
  <c r="I33" i="1"/>
  <c r="E33" i="1" s="1"/>
  <c r="H33" i="1"/>
  <c r="F33" i="1"/>
  <c r="I32" i="1"/>
  <c r="E32" i="1" s="1"/>
  <c r="H32" i="1"/>
  <c r="F32" i="1"/>
  <c r="I31" i="1"/>
  <c r="E31" i="1" s="1"/>
  <c r="H31" i="1"/>
  <c r="F31" i="1"/>
  <c r="I30" i="1"/>
  <c r="E30" i="1" s="1"/>
  <c r="H30" i="1"/>
  <c r="F30" i="1"/>
  <c r="I29" i="1"/>
  <c r="H29" i="1"/>
  <c r="F29" i="1"/>
  <c r="E29" i="1"/>
  <c r="I28" i="1"/>
  <c r="H28" i="1"/>
  <c r="F28" i="1"/>
  <c r="E28" i="1"/>
  <c r="I27" i="1"/>
  <c r="E27" i="1" s="1"/>
  <c r="H27" i="1"/>
  <c r="I26" i="1"/>
  <c r="H26" i="1"/>
  <c r="F26" i="1"/>
  <c r="E26" i="1"/>
  <c r="I25" i="1"/>
  <c r="E25" i="1" s="1"/>
  <c r="H25" i="1"/>
  <c r="I24" i="1"/>
  <c r="F24" i="1" s="1"/>
  <c r="H24" i="1"/>
  <c r="E24" i="1"/>
  <c r="I23" i="1"/>
  <c r="H23" i="1"/>
  <c r="F23" i="1"/>
  <c r="E23" i="1"/>
  <c r="I22" i="1"/>
  <c r="E22" i="1" s="1"/>
  <c r="H22" i="1"/>
  <c r="F22" i="1"/>
  <c r="I21" i="1"/>
  <c r="H21" i="1"/>
  <c r="F21" i="1"/>
  <c r="E21" i="1"/>
  <c r="I20" i="1"/>
  <c r="E20" i="1" s="1"/>
  <c r="H20" i="1"/>
  <c r="F20" i="1"/>
  <c r="I19" i="1"/>
  <c r="H19" i="1"/>
  <c r="F19" i="1"/>
  <c r="E19" i="1"/>
  <c r="I18" i="1"/>
  <c r="H18" i="1"/>
  <c r="F18" i="1"/>
  <c r="E18" i="1"/>
  <c r="I17" i="1"/>
  <c r="E17" i="1" s="1"/>
  <c r="H17" i="1"/>
  <c r="F17" i="1"/>
  <c r="I16" i="1"/>
  <c r="F16" i="1" s="1"/>
  <c r="H16" i="1"/>
  <c r="I15" i="1"/>
  <c r="E15" i="1" s="1"/>
  <c r="H15" i="1"/>
  <c r="F15" i="1"/>
  <c r="I14" i="1"/>
  <c r="F14" i="1" s="1"/>
  <c r="H14" i="1"/>
  <c r="I13" i="1"/>
  <c r="F13" i="1" s="1"/>
  <c r="H13" i="1"/>
  <c r="E13" i="1"/>
  <c r="I12" i="1"/>
  <c r="E12" i="1" s="1"/>
  <c r="H12" i="1"/>
  <c r="F12" i="1"/>
  <c r="I11" i="1"/>
  <c r="H11" i="1"/>
  <c r="F11" i="1"/>
  <c r="E11" i="1"/>
  <c r="I10" i="1"/>
  <c r="E10" i="1" s="1"/>
  <c r="H10" i="1"/>
  <c r="F10" i="1"/>
  <c r="I9" i="1"/>
  <c r="H9" i="1"/>
  <c r="F9" i="1"/>
  <c r="E9" i="1"/>
  <c r="I8" i="1"/>
  <c r="H8" i="1"/>
  <c r="F8" i="1"/>
  <c r="E8" i="1"/>
  <c r="I7" i="1"/>
  <c r="E7" i="1" s="1"/>
  <c r="H7" i="1"/>
  <c r="F7" i="1"/>
  <c r="I6" i="1"/>
  <c r="F6" i="1" s="1"/>
  <c r="H6" i="1"/>
  <c r="I5" i="1"/>
  <c r="E5" i="1" s="1"/>
  <c r="H5" i="1"/>
  <c r="I4" i="1"/>
  <c r="H4" i="1"/>
  <c r="F4" i="1"/>
  <c r="E4" i="1"/>
  <c r="I3" i="1"/>
  <c r="F3" i="1" s="1"/>
  <c r="H3" i="1"/>
  <c r="I2" i="1"/>
  <c r="E2" i="1" s="1"/>
  <c r="H2" i="1"/>
  <c r="F2" i="1" l="1"/>
  <c r="F52" i="1"/>
  <c r="E6" i="1"/>
  <c r="E3" i="1"/>
  <c r="E14" i="1"/>
  <c r="F25" i="1"/>
  <c r="F36" i="1"/>
  <c r="E53" i="1"/>
  <c r="E64" i="1"/>
  <c r="F42" i="1"/>
  <c r="E16" i="1"/>
  <c r="F27" i="1"/>
  <c r="F38" i="1"/>
  <c r="F49" i="1"/>
  <c r="E66" i="1"/>
  <c r="F5" i="1"/>
  <c r="F5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1CACC5-F682-4E61-85AE-4486F8480F4C}" keepAlive="1" name="ModelConnection_ExternalData_1" description="Data Model" type="5" refreshedVersion="8" minRefreshableVersion="5" saveData="1">
    <dbPr connection="Data Model Connection" command="DRILLTHROUGH MAXROWS 1000 SELECT FROM [Model] WHERE (([Measures].[Count of key],[tRetro].[key].&amp;[13])) RETURN [$tRetro].[Winnings],[$tRetro].[Winners],[$tRetro].[HS_Pos],[$tRetro].[HS_MVP],[$tRetro].[MVP_Rank],[$tRetro].[ID],[$tRetro].[GroupID],[$tRetro].[key],[$tRetro].[mvp_salary_rank],[$tRetro].[l_salary_rank],[$tRetro].[MVP_pos],[$tRetro].[p2_pos],[$tRetro].[p3_pos],[$tRetro].[p4_pos],[$tRetro].[p5_pos],[$tRetro].[p6_pos],[$tRetro].[select],[$tRetro].[team_cnt],[$tRetro].[total_salary],[$tRetro].[total_fppg],[$tRetro].[total_ppts],[$tRetro].[total_pts],[$tRetro].[MVP_name],[$tRetro].[p2_name],[$tRetro].[p3_name],[$tRetro].[p4_name],[$tRetro].[p5_name],[$tRetro].[p6_name]" commandType="4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<sst xmlns="http://schemas.openxmlformats.org/spreadsheetml/2006/main" count="1382" uniqueCount="716">
  <si>
    <t>p2_pos</t>
  </si>
  <si>
    <t>p3_pos</t>
  </si>
  <si>
    <t>p4_pos</t>
  </si>
  <si>
    <t>p5_pos</t>
  </si>
  <si>
    <t>p2_name</t>
  </si>
  <si>
    <t>p3_name</t>
  </si>
  <si>
    <t>p4_name</t>
  </si>
  <si>
    <t>p5_name</t>
  </si>
  <si>
    <t>total_salary</t>
  </si>
  <si>
    <t>total_fppg</t>
  </si>
  <si>
    <t>TE:BAL</t>
  </si>
  <si>
    <t>RB:KC</t>
  </si>
  <si>
    <t>QB:BAL</t>
  </si>
  <si>
    <t>WR1:KC</t>
  </si>
  <si>
    <t>WR2:KC</t>
  </si>
  <si>
    <t>RB:PHI</t>
  </si>
  <si>
    <t>K:GB</t>
  </si>
  <si>
    <t>WR2:DET</t>
  </si>
  <si>
    <t>RB1:DET</t>
  </si>
  <si>
    <t>WR1:LAR</t>
  </si>
  <si>
    <t>RB2:DET</t>
  </si>
  <si>
    <t>QB:LAR</t>
  </si>
  <si>
    <t>K:SF</t>
  </si>
  <si>
    <t>WR1:SF</t>
  </si>
  <si>
    <t>RB:BUF</t>
  </si>
  <si>
    <t>QB:BUF</t>
  </si>
  <si>
    <t>total_ppts</t>
  </si>
  <si>
    <t>MVP</t>
  </si>
  <si>
    <t>QB</t>
  </si>
  <si>
    <t>RB</t>
  </si>
  <si>
    <t>TE</t>
  </si>
  <si>
    <t>WR1</t>
  </si>
  <si>
    <t>WR2</t>
  </si>
  <si>
    <t>WR3</t>
  </si>
  <si>
    <t>D</t>
  </si>
  <si>
    <t>K</t>
  </si>
  <si>
    <t>QB:TB</t>
  </si>
  <si>
    <t>WR1:DET</t>
  </si>
  <si>
    <t>QB:HOU</t>
  </si>
  <si>
    <t>K:CHI</t>
  </si>
  <si>
    <t>D:HOU</t>
  </si>
  <si>
    <t>WR1:ATL</t>
  </si>
  <si>
    <t>K:ATL</t>
  </si>
  <si>
    <t>QB:PHI</t>
  </si>
  <si>
    <t>QB:ATL</t>
  </si>
  <si>
    <t>QB:KC</t>
  </si>
  <si>
    <t>K:KC</t>
  </si>
  <si>
    <t>WR1:CIN</t>
  </si>
  <si>
    <t>QB:CIN</t>
  </si>
  <si>
    <t>QB:WAS</t>
  </si>
  <si>
    <t>RB:DAL</t>
  </si>
  <si>
    <t>WR1:DAL</t>
  </si>
  <si>
    <t>RB:BAL</t>
  </si>
  <si>
    <t>D:BAL</t>
  </si>
  <si>
    <t>RB:SEA</t>
  </si>
  <si>
    <t>QB:DET</t>
  </si>
  <si>
    <t>QB:SEA</t>
  </si>
  <si>
    <t>QB:DAL</t>
  </si>
  <si>
    <t>QB:PIT</t>
  </si>
  <si>
    <t>WR3:KC</t>
  </si>
  <si>
    <t>QB:SF</t>
  </si>
  <si>
    <t>RB:NYG</t>
  </si>
  <si>
    <t>RB:DEN</t>
  </si>
  <si>
    <t>QB:DEN</t>
  </si>
  <si>
    <t>WR3:PIT</t>
  </si>
  <si>
    <t>WR2:BAL</t>
  </si>
  <si>
    <t>RB:SF</t>
  </si>
  <si>
    <t>MVP_pos</t>
  </si>
  <si>
    <t>select</t>
  </si>
  <si>
    <t>team_cnt</t>
  </si>
  <si>
    <t>TE:SEA</t>
  </si>
  <si>
    <t>RB:LAR</t>
  </si>
  <si>
    <t>WR1:MIN</t>
  </si>
  <si>
    <t>RB2:NYG</t>
  </si>
  <si>
    <t>QB:MIN</t>
  </si>
  <si>
    <t>WR2:MIN</t>
  </si>
  <si>
    <t>TE:DET</t>
  </si>
  <si>
    <t>TE:WAS</t>
  </si>
  <si>
    <t>QB:LAC</t>
  </si>
  <si>
    <t>TE:LAC</t>
  </si>
  <si>
    <t>Games</t>
  </si>
  <si>
    <t>WR4</t>
  </si>
  <si>
    <t>TE1:BAL</t>
  </si>
  <si>
    <t>K:LAC</t>
  </si>
  <si>
    <t>RB:GB</t>
  </si>
  <si>
    <t>QB:GB</t>
  </si>
  <si>
    <t>ID</t>
  </si>
  <si>
    <t>WR2:LAC</t>
  </si>
  <si>
    <t>RB1:LAR</t>
  </si>
  <si>
    <t>D:LAR</t>
  </si>
  <si>
    <t>D:ATL</t>
  </si>
  <si>
    <t>RB:ATL</t>
  </si>
  <si>
    <t>RB:MIN</t>
  </si>
  <si>
    <t>WR2:CHI</t>
  </si>
  <si>
    <t>K:MIN</t>
  </si>
  <si>
    <t>WR1:BAL</t>
  </si>
  <si>
    <t>RB1:TB</t>
  </si>
  <si>
    <t>K:DAL</t>
  </si>
  <si>
    <t>D:CHI</t>
  </si>
  <si>
    <t>WR2:WAS</t>
  </si>
  <si>
    <t>K:CIN</t>
  </si>
  <si>
    <t>TE:KC</t>
  </si>
  <si>
    <t>D:KC</t>
  </si>
  <si>
    <t>WR1:BUF</t>
  </si>
  <si>
    <t>WR:BUF</t>
  </si>
  <si>
    <t>p6_pos</t>
  </si>
  <si>
    <t>p6_name</t>
  </si>
  <si>
    <t>WR3:LAC</t>
  </si>
  <si>
    <t>120114-69189:Justin Herbert</t>
  </si>
  <si>
    <t>120114-57439:Patrick Mahomes</t>
  </si>
  <si>
    <t>120114-29253:Keenan Allen</t>
  </si>
  <si>
    <t>120114-41642:Harrison Butker</t>
  </si>
  <si>
    <t>120114-120639:Quentin Johnston</t>
  </si>
  <si>
    <t>120114-86687:Hollywood Brown</t>
  </si>
  <si>
    <t>120474-41535:Baker Mayfield</t>
  </si>
  <si>
    <t>120474-152664:Bucky Irving</t>
  </si>
  <si>
    <t>120474-129471:C.J. Stroud</t>
  </si>
  <si>
    <t>120474-53562:Nick Chubb</t>
  </si>
  <si>
    <t>120474-137902:Rachaad White</t>
  </si>
  <si>
    <t>WR2:MIA</t>
  </si>
  <si>
    <t>120537-91626:James Cook</t>
  </si>
  <si>
    <t>120537-62239:Josh Allen</t>
  </si>
  <si>
    <t>120537-86518:Khalil Shakir</t>
  </si>
  <si>
    <t>120537-90573:Jaylen Waddle</t>
  </si>
  <si>
    <t>120537-145558:Dalton Kincaid</t>
  </si>
  <si>
    <t>120537-166112:Ollie Gordon II</t>
  </si>
  <si>
    <t>RB2:KC</t>
  </si>
  <si>
    <t>WR1:GB</t>
  </si>
  <si>
    <t>120969-31716:Dak Prescott</t>
  </si>
  <si>
    <t>120969-72731:Josh Jacobs</t>
  </si>
  <si>
    <t>120969-110246:George Pickens</t>
  </si>
  <si>
    <t>120969-94370:Romeo Doubs</t>
  </si>
  <si>
    <t>120969-26247:Brandon McManus</t>
  </si>
  <si>
    <t>120969-185861:Emanuel Wilson</t>
  </si>
  <si>
    <t>Winnings</t>
  </si>
  <si>
    <t>Winners</t>
  </si>
  <si>
    <t>QB:NYG Q</t>
  </si>
  <si>
    <t>121303-183240:Cam Skattebo</t>
  </si>
  <si>
    <t>121303-83074:Dallas Goedert</t>
  </si>
  <si>
    <t>121303-151966:Jaxson Dart</t>
  </si>
  <si>
    <t>121303-69531:Jalen Hurts</t>
  </si>
  <si>
    <t>121303-103539:Wan'Dale Robinson</t>
  </si>
  <si>
    <t>121718-129368:Jahmyr Gibbs</t>
  </si>
  <si>
    <t>121718-86997:Amon-Ra St. Brown</t>
  </si>
  <si>
    <t>121718-86811:Cade Otton</t>
  </si>
  <si>
    <t>121718-12532:Detroit Lions</t>
  </si>
  <si>
    <t>121718-140176:Jake Bates</t>
  </si>
  <si>
    <t>121718-128624:Tez Johnson</t>
  </si>
  <si>
    <t>Key</t>
  </si>
  <si>
    <t>Position</t>
  </si>
  <si>
    <t>RB1:ATL</t>
  </si>
  <si>
    <t>WR:NYG</t>
  </si>
  <si>
    <t>120474-103591:Graham Mertz</t>
  </si>
  <si>
    <t>RB1:BUF</t>
  </si>
  <si>
    <t>TE1:BUF</t>
  </si>
  <si>
    <t>RB2:MIA</t>
  </si>
  <si>
    <t>RB1:DEN</t>
  </si>
  <si>
    <t>RB1:GB</t>
  </si>
  <si>
    <t>RB3:GB</t>
  </si>
  <si>
    <t>WR4:BUF</t>
  </si>
  <si>
    <t>RB1:CHI</t>
  </si>
  <si>
    <t>WR4:WAS</t>
  </si>
  <si>
    <t>WR1:NYG</t>
  </si>
  <si>
    <t>121303-114054:Dalen Cambre</t>
  </si>
  <si>
    <t>RB1:PIT</t>
  </si>
  <si>
    <t>TE1:TB</t>
  </si>
  <si>
    <t>D:DET</t>
  </si>
  <si>
    <t>K:DET</t>
  </si>
  <si>
    <t>WR5:TB</t>
  </si>
  <si>
    <t>RB2:GB</t>
  </si>
  <si>
    <t>RB1:LAC</t>
  </si>
  <si>
    <t>TE1:KC</t>
  </si>
  <si>
    <t>RB3:WAS</t>
  </si>
  <si>
    <t>RB1:MIN</t>
  </si>
  <si>
    <t>QB1:HOU</t>
  </si>
  <si>
    <t>RB1:HOU</t>
  </si>
  <si>
    <t>RB2:TB</t>
  </si>
  <si>
    <t>QB2:HOU</t>
  </si>
  <si>
    <t>TE:PHI</t>
  </si>
  <si>
    <t>Grand Total</t>
  </si>
  <si>
    <t>tRetro[Winnings]</t>
  </si>
  <si>
    <t>tRetro[Winners]</t>
  </si>
  <si>
    <t>tRetro[HS_Pos]</t>
  </si>
  <si>
    <t>tRetro[HS_MVP]</t>
  </si>
  <si>
    <t>tRetro[MVP_Rank]</t>
  </si>
  <si>
    <t>tRetro[ID]</t>
  </si>
  <si>
    <t>tRetro[GroupID]</t>
  </si>
  <si>
    <t>tRetro[key]</t>
  </si>
  <si>
    <t>tRetro[mvp_salary_rank]</t>
  </si>
  <si>
    <t>tRetro[l_salary_rank]</t>
  </si>
  <si>
    <t>tRetro[MVP_pos]</t>
  </si>
  <si>
    <t>tRetro[p2_pos]</t>
  </si>
  <si>
    <t>tRetro[p3_pos]</t>
  </si>
  <si>
    <t>tRetro[p4_pos]</t>
  </si>
  <si>
    <t>tRetro[p5_pos]</t>
  </si>
  <si>
    <t>tRetro[p6_pos]</t>
  </si>
  <si>
    <t>tRetro[select]</t>
  </si>
  <si>
    <t>tRetro[team_cnt]</t>
  </si>
  <si>
    <t>tRetro[total_salary]</t>
  </si>
  <si>
    <t>tRetro[total_fppg]</t>
  </si>
  <si>
    <t>tRetro[total_ppts]</t>
  </si>
  <si>
    <t>tRetro[total_pts]</t>
  </si>
  <si>
    <t>tRetro[MVP_name]</t>
  </si>
  <si>
    <t>tRetro[p2_name]</t>
  </si>
  <si>
    <t>tRetro[p3_name]</t>
  </si>
  <si>
    <t>tRetro[p4_name]</t>
  </si>
  <si>
    <t>tRetro[p5_name]</t>
  </si>
  <si>
    <t>tRetro[p6_name]</t>
  </si>
  <si>
    <t>Data returned for Count, 13 (First 1000 rows).</t>
  </si>
  <si>
    <t>D2</t>
  </si>
  <si>
    <t>K2</t>
  </si>
  <si>
    <t>QB2</t>
  </si>
  <si>
    <t>RB2</t>
  </si>
  <si>
    <t>TE2</t>
  </si>
  <si>
    <t>WR12</t>
  </si>
  <si>
    <t>WR22</t>
  </si>
  <si>
    <t>WR32</t>
  </si>
  <si>
    <t>RB1:BAL</t>
  </si>
  <si>
    <t>Team Count</t>
  </si>
  <si>
    <t>Count</t>
  </si>
  <si>
    <t>Count 1</t>
  </si>
  <si>
    <t>Count 2</t>
  </si>
  <si>
    <t>Count 3</t>
  </si>
  <si>
    <t>MVP Position</t>
  </si>
  <si>
    <t>MVP Pts Rank</t>
  </si>
  <si>
    <t>MVP Key</t>
  </si>
  <si>
    <t>LS Key</t>
  </si>
  <si>
    <t>Points Rank</t>
  </si>
  <si>
    <t>D:DEN</t>
  </si>
  <si>
    <t>Key 2</t>
  </si>
  <si>
    <t>Place</t>
  </si>
  <si>
    <t>Count of MVP_pos</t>
  </si>
  <si>
    <t>Count of MVP Position</t>
  </si>
  <si>
    <t>Count of Key 2</t>
  </si>
  <si>
    <t>WR1:LAC</t>
  </si>
  <si>
    <t>WR2:PHI</t>
  </si>
  <si>
    <t>RB1:PHI</t>
  </si>
  <si>
    <t>D:PHI</t>
  </si>
  <si>
    <t>RB3</t>
  </si>
  <si>
    <t>HS Position</t>
  </si>
  <si>
    <t>HS MVP</t>
  </si>
  <si>
    <t>HS Wins</t>
  </si>
  <si>
    <t>Group ID</t>
  </si>
  <si>
    <t>total_pts</t>
  </si>
  <si>
    <t>Column1</t>
  </si>
  <si>
    <t>105733-63115:Lamar Jackson</t>
  </si>
  <si>
    <t>105733-92575:Isiah Pacheco</t>
  </si>
  <si>
    <t>105733-111311:Rashee Rice</t>
  </si>
  <si>
    <t>105733-158974:Xavier Worthy</t>
  </si>
  <si>
    <t>105733-87260:Isaiah Likely</t>
  </si>
  <si>
    <t>WR1:PHI</t>
  </si>
  <si>
    <t>WR3:GB</t>
  </si>
  <si>
    <t>106557-64401:Saquon Barkley</t>
  </si>
  <si>
    <t>106557-72846:A.J. Brown</t>
  </si>
  <si>
    <t>106557-90576:DeVonta Smith</t>
  </si>
  <si>
    <t>106557-89455:Jayden Reed</t>
  </si>
  <si>
    <t>106557-85622:Brayden Narveson</t>
  </si>
  <si>
    <t>106609-79970:Cooper Kupp</t>
  </si>
  <si>
    <t>106609-6654:Matthew Stafford</t>
  </si>
  <si>
    <t>106609-129368:Jahmyr Gibbs</t>
  </si>
  <si>
    <t>106609-111631:Jameson Williams</t>
  </si>
  <si>
    <t>106609-73273:David Montgomery</t>
  </si>
  <si>
    <t>RB:NYJ</t>
  </si>
  <si>
    <t>RB2:SF</t>
  </si>
  <si>
    <t>WR3:NYJ</t>
  </si>
  <si>
    <t>106699-91372:Jake Moody</t>
  </si>
  <si>
    <t>106699-103064:Breece Hall</t>
  </si>
  <si>
    <t>106699-56018:Deebo Samuel Sr.</t>
  </si>
  <si>
    <t>106699-86875:Jordan Mason</t>
  </si>
  <si>
    <t>106699-56809:Allen Lazard</t>
  </si>
  <si>
    <t>WR2:ATL</t>
  </si>
  <si>
    <t>106989-69531:Jalen Hurts</t>
  </si>
  <si>
    <t>106989-22038:Kirk Cousins</t>
  </si>
  <si>
    <t>106989-90576:DeVonta Smith</t>
  </si>
  <si>
    <t>106989-53212:Younghoe Koo</t>
  </si>
  <si>
    <t>106989-69777:Darnell Mooney</t>
  </si>
  <si>
    <t>RB1:MIA</t>
  </si>
  <si>
    <t>D:BUF</t>
  </si>
  <si>
    <t>TE:MIA</t>
  </si>
  <si>
    <t>106717-91626:James Cook</t>
  </si>
  <si>
    <t>106717-62239:Josh Allen</t>
  </si>
  <si>
    <t>106717-138820:De'Von Achane</t>
  </si>
  <si>
    <t>106717-12526:Buffalo Bills</t>
  </si>
  <si>
    <t>106717-48116:Jonnu Smith</t>
  </si>
  <si>
    <t>WR2:HOU</t>
  </si>
  <si>
    <t>K:HOU</t>
  </si>
  <si>
    <t>106876-91419:Nico Collins</t>
  </si>
  <si>
    <t>106876-129471:C.J. Stroud</t>
  </si>
  <si>
    <t>106876-33714:Cairo Santos</t>
  </si>
  <si>
    <t>106876-29932:Ka'imi Fairbairn</t>
  </si>
  <si>
    <t>106876-12556:Houston Texans</t>
  </si>
  <si>
    <t>WR2:BUF</t>
  </si>
  <si>
    <t>WR3:JAC</t>
  </si>
  <si>
    <t>RB3:BUF</t>
  </si>
  <si>
    <t>107260-62239:Josh Allen</t>
  </si>
  <si>
    <t>107260-91626:James Cook</t>
  </si>
  <si>
    <t>107260-86518:Khalil Shakir</t>
  </si>
  <si>
    <t>107260-60858:Christian Kirk</t>
  </si>
  <si>
    <t>107260-63050:Ty Johnson</t>
  </si>
  <si>
    <t>107208-111311:Rashee Rice</t>
  </si>
  <si>
    <t>107208-57439:Patrick Mahomes</t>
  </si>
  <si>
    <t>107208-112745:Drake London</t>
  </si>
  <si>
    <t>107208-69777:Darnell Mooney</t>
  </si>
  <si>
    <t>107208-41642:Harrison Butker</t>
  </si>
  <si>
    <t>QB:NYJ</t>
  </si>
  <si>
    <t>RB1:NYJ</t>
  </si>
  <si>
    <t>WR2:NYJ</t>
  </si>
  <si>
    <t>D:NYJ</t>
  </si>
  <si>
    <t>WR3:NE</t>
  </si>
  <si>
    <t>107022-6894:Aaron Rodgers</t>
  </si>
  <si>
    <t>107022-103064:Breece Hall</t>
  </si>
  <si>
    <t>107022-56809:Allen Lazard</t>
  </si>
  <si>
    <t>107022-12544:New York Jets</t>
  </si>
  <si>
    <t>107022-111876:DeMario Douglas</t>
  </si>
  <si>
    <t>WR1:WAS</t>
  </si>
  <si>
    <t>107261-85701:Ja'Marr Chase</t>
  </si>
  <si>
    <t>107261-102785:Jayden Daniels</t>
  </si>
  <si>
    <t>107261-63336:Joe Burrow</t>
  </si>
  <si>
    <t>107261-56250:Terry McLaurin</t>
  </si>
  <si>
    <t>107261-56648:Jeremy McNichols</t>
  </si>
  <si>
    <t>107485-39280:Derrick Henry</t>
  </si>
  <si>
    <t>107485-63115:Lamar Jackson</t>
  </si>
  <si>
    <t>107485-86518:Khalil Shakir</t>
  </si>
  <si>
    <t>107485-12555:Baltimore Ravens</t>
  </si>
  <si>
    <t>107485-71521:Justice Hill</t>
  </si>
  <si>
    <t>WR2:NYG</t>
  </si>
  <si>
    <t>K:NYG</t>
  </si>
  <si>
    <t>107283-151761:Malik Nabers</t>
  </si>
  <si>
    <t>107283-86631:CeeDee Lamb</t>
  </si>
  <si>
    <t>107283-103539:Wan'Dale Robinson</t>
  </si>
  <si>
    <t>107283-55515:Greg Joseph</t>
  </si>
  <si>
    <t>107283-72297:Rico Dowdle</t>
  </si>
  <si>
    <t>RB:DET</t>
  </si>
  <si>
    <t>107540-103342:Kenneth Walker III</t>
  </si>
  <si>
    <t>107540-129368:Jahmyr Gibbs</t>
  </si>
  <si>
    <t>107540-26483:Geno Smith</t>
  </si>
  <si>
    <t>107540-38435:Jared Goff</t>
  </si>
  <si>
    <t>107540-137953:AJ Barner</t>
  </si>
  <si>
    <t>107540-73273:David Montgomery</t>
  </si>
  <si>
    <t>107540-111631:Jameson Williams</t>
  </si>
  <si>
    <t>K:TEN</t>
  </si>
  <si>
    <t>QB:MIA</t>
  </si>
  <si>
    <t>RB:TEN</t>
  </si>
  <si>
    <t>D:TEN</t>
  </si>
  <si>
    <t>107539-6642:Nick Folk</t>
  </si>
  <si>
    <t>107539-70051:Tyler Huntley</t>
  </si>
  <si>
    <t>107539-63759:Tony Pollard</t>
  </si>
  <si>
    <t>107539-12534:Tennessee Titans</t>
  </si>
  <si>
    <t>107539-107293:Tyjae Spears</t>
  </si>
  <si>
    <t>WR2:DAL</t>
  </si>
  <si>
    <t>TE3:PIT</t>
  </si>
  <si>
    <t>107769-31716:Dak Prescott</t>
  </si>
  <si>
    <t>107769-91591:Justin Fields</t>
  </si>
  <si>
    <t>107769-72297:Rico Dowdle</t>
  </si>
  <si>
    <t>107769-88548:Jalen Tolbert</t>
  </si>
  <si>
    <t>107769-92882:Connor Heyward</t>
  </si>
  <si>
    <t>WR2:NO</t>
  </si>
  <si>
    <t>107841-45229:Kareem Hunt</t>
  </si>
  <si>
    <t>107841-57439:Patrick Mahomes</t>
  </si>
  <si>
    <t>107841-170287:Rashid Shaheed</t>
  </si>
  <si>
    <t>107841-41642:Harrison Butker</t>
  </si>
  <si>
    <t>107841-55987:JuJu Smith-Schuster</t>
  </si>
  <si>
    <t>107555-22038:Kirk Cousins</t>
  </si>
  <si>
    <t>107555-41535:Baker Mayfield</t>
  </si>
  <si>
    <t>107555-112745:Drake London</t>
  </si>
  <si>
    <t>107555-53212:Younghoe Koo</t>
  </si>
  <si>
    <t>107555-69777:Darnell Mooney</t>
  </si>
  <si>
    <t>WR1:NYJ</t>
  </si>
  <si>
    <t>107899-103564:Garrett Wilson</t>
  </si>
  <si>
    <t>107899-103064:Breece Hall</t>
  </si>
  <si>
    <t>107899-6894:Aaron Rodgers</t>
  </si>
  <si>
    <t>107899-56809:Allen Lazard</t>
  </si>
  <si>
    <t>107899-103694:Ray Davis</t>
  </si>
  <si>
    <t>QB:NYG</t>
  </si>
  <si>
    <t>RB:CIN Q</t>
  </si>
  <si>
    <t>RB1:NYG</t>
  </si>
  <si>
    <t>108048-63336:Joe Burrow</t>
  </si>
  <si>
    <t>108048-63519:Daniel Jones</t>
  </si>
  <si>
    <t>108048-89493:Chase Brown</t>
  </si>
  <si>
    <t>108048-86153:Tyrone Tracy Jr.</t>
  </si>
  <si>
    <t>108048-63819:Darius Slayton</t>
  </si>
  <si>
    <t>TE:SF</t>
  </si>
  <si>
    <t>WR3:SEA</t>
  </si>
  <si>
    <t>107861-85607:Brock Purdy</t>
  </si>
  <si>
    <t>107861-26483:Geno Smith</t>
  </si>
  <si>
    <t>107861-56018:Deebo Samuel Sr.</t>
  </si>
  <si>
    <t>107861-39793:George Kittle</t>
  </si>
  <si>
    <t>107861-27050:Tyler Lockett</t>
  </si>
  <si>
    <t>RB2:TB Q</t>
  </si>
  <si>
    <t>108397-63115:Lamar Jackson</t>
  </si>
  <si>
    <t>108397-41535:Baker Mayfield</t>
  </si>
  <si>
    <t>108397-137902:Rachaad White</t>
  </si>
  <si>
    <t>108397-52436:Mark Andrews</t>
  </si>
  <si>
    <t>108397-85845:Rashod Bateman</t>
  </si>
  <si>
    <t>K:DEN</t>
  </si>
  <si>
    <t>WR3:NO Q</t>
  </si>
  <si>
    <t>108145-93541:Javonte Williams</t>
  </si>
  <si>
    <t>108145-102965:Bo Nix</t>
  </si>
  <si>
    <t>108145-48380:Wil Lutz</t>
  </si>
  <si>
    <t>108145-12531:Denver Broncos</t>
  </si>
  <si>
    <t>108145-69581:Cedrick Wilson Jr.</t>
  </si>
  <si>
    <t>QB2:PIT</t>
  </si>
  <si>
    <t>WR1:PIT</t>
  </si>
  <si>
    <t>108347-103064:Breece Hall</t>
  </si>
  <si>
    <t>108347-22015:Russell Wilson</t>
  </si>
  <si>
    <t>108347-90575:Najee Harris</t>
  </si>
  <si>
    <t>108347-110246:George Pickens</t>
  </si>
  <si>
    <t>108347-64581:Van Jefferson</t>
  </si>
  <si>
    <t>TE:SF Q</t>
  </si>
  <si>
    <t>108584-86631:CeeDee Lamb</t>
  </si>
  <si>
    <t>108584-85607:Brock Purdy</t>
  </si>
  <si>
    <t>108584-39793:George Kittle</t>
  </si>
  <si>
    <t>108584-87705:Anders Carlson</t>
  </si>
  <si>
    <t>108584-89644:Isaac Guerendo</t>
  </si>
  <si>
    <t>WR3:LAR</t>
  </si>
  <si>
    <t>WR5:LAR IR</t>
  </si>
  <si>
    <t>108416-6654:Matthew Stafford</t>
  </si>
  <si>
    <t>108416-85671:Justin Jefferson</t>
  </si>
  <si>
    <t>108416-104433:Kyren Williams</t>
  </si>
  <si>
    <t>108416-38264:Demarcus Robinson</t>
  </si>
  <si>
    <t>108416-103020:Puka Nacua</t>
  </si>
  <si>
    <t>D:PIT</t>
  </si>
  <si>
    <t>WR3:NYG</t>
  </si>
  <si>
    <t>108707-86153:Tyrone Tracy Jr.</t>
  </si>
  <si>
    <t>108707-90575:Najee Harris</t>
  </si>
  <si>
    <t>108707-12547:Pittsburgh Steelers</t>
  </si>
  <si>
    <t>108707-63819:Darius Slayton</t>
  </si>
  <si>
    <t>108707-90870:Calvin Austin III</t>
  </si>
  <si>
    <t>WR1:HOU</t>
  </si>
  <si>
    <t>108750-103564:Garrett Wilson</t>
  </si>
  <si>
    <t>108750-6894:Aaron Rodgers</t>
  </si>
  <si>
    <t>108750-129291:Tank Dell</t>
  </si>
  <si>
    <t>108750-45889:Davante Adams</t>
  </si>
  <si>
    <t>108750-12544:New York Jets</t>
  </si>
  <si>
    <t>D:IND</t>
  </si>
  <si>
    <t>TE2:MIN</t>
  </si>
  <si>
    <t>108941-85671:Justin Jefferson</t>
  </si>
  <si>
    <t>108941-63589:Sam Darnold</t>
  </si>
  <si>
    <t>108941-129210:Jordan Addison</t>
  </si>
  <si>
    <t>108941-12535:Indianapolis Colts</t>
  </si>
  <si>
    <t>108941-63907:Josh Oliver</t>
  </si>
  <si>
    <t>RB1:KC</t>
  </si>
  <si>
    <t>TE:TB</t>
  </si>
  <si>
    <t>109053-16606:DeAndre Hopkins</t>
  </si>
  <si>
    <t>109053-57439:Patrick Mahomes</t>
  </si>
  <si>
    <t>109053-45229:Kareem Hunt</t>
  </si>
  <si>
    <t>109053-86811:Cade Otton</t>
  </si>
  <si>
    <t>109053-52451:Samaje Perine</t>
  </si>
  <si>
    <t>WR5:BAL Q</t>
  </si>
  <si>
    <t>109087-85701:Ja'Marr Chase</t>
  </si>
  <si>
    <t>109087-63115:Lamar Jackson</t>
  </si>
  <si>
    <t>109087-63336:Joe Burrow</t>
  </si>
  <si>
    <t>109087-52436:Mark Andrews</t>
  </si>
  <si>
    <t>109087-87515:Tylan Wallace</t>
  </si>
  <si>
    <t>WR3:HOU</t>
  </si>
  <si>
    <t>109259-52442:Joe Mixon</t>
  </si>
  <si>
    <t>109259-86997:Amon-Ra St. Brown</t>
  </si>
  <si>
    <t>109259-105646:Sam LaPorta</t>
  </si>
  <si>
    <t>109259-29932:Ka'imi Fairbairn</t>
  </si>
  <si>
    <t>109259-102696:John Metchie III</t>
  </si>
  <si>
    <t>K:LAR</t>
  </si>
  <si>
    <t>WR2:LAR</t>
  </si>
  <si>
    <t>K:MIA</t>
  </si>
  <si>
    <t>109359-133172:Joshua Karty</t>
  </si>
  <si>
    <t>109359-79970:Cooper Kupp</t>
  </si>
  <si>
    <t>109359-103020:Puka Nacua</t>
  </si>
  <si>
    <t>109359-6654:Matthew Stafford</t>
  </si>
  <si>
    <t>109359-52767:Jason Sanders</t>
  </si>
  <si>
    <t>RB1:WAS</t>
  </si>
  <si>
    <t>RB2:WAS</t>
  </si>
  <si>
    <t>TE1:WAS</t>
  </si>
  <si>
    <t>109392-64401:Saquon Barkley</t>
  </si>
  <si>
    <t>109392-69531:Jalen Hurts</t>
  </si>
  <si>
    <t>109392-90562:Brian Robinson Jr.</t>
  </si>
  <si>
    <t>109392-80001:Austin Ekeler</t>
  </si>
  <si>
    <t>109392-29780:Zach Ertz</t>
  </si>
  <si>
    <t>WR2:CIN</t>
  </si>
  <si>
    <t>TE1:LAC</t>
  </si>
  <si>
    <t>109589-63336:Joe Burrow</t>
  </si>
  <si>
    <t>109589-69189:Justin Herbert</t>
  </si>
  <si>
    <t>109589-89981:Tee Higgins</t>
  </si>
  <si>
    <t>109589-133472:Ladd McConkey</t>
  </si>
  <si>
    <t>109589-56708:Will Dissly</t>
  </si>
  <si>
    <t>WR1:DAL Q</t>
  </si>
  <si>
    <t>WR3:DAL</t>
  </si>
  <si>
    <t>109667-52442:Joe Mixon</t>
  </si>
  <si>
    <t>109667-86631:CeeDee Lamb</t>
  </si>
  <si>
    <t>109667-44715:Cooper Rush</t>
  </si>
  <si>
    <t>109667-12556:Houston Texans</t>
  </si>
  <si>
    <t>109667-60957:KaVontae Turpin</t>
  </si>
  <si>
    <t>RB1:CLE</t>
  </si>
  <si>
    <t>QB1:PIT</t>
  </si>
  <si>
    <t>QB:CLE</t>
  </si>
  <si>
    <t>RB2:PIT</t>
  </si>
  <si>
    <t>109710-53562:Nick Chubb</t>
  </si>
  <si>
    <t>109710-22015:Russell Wilson</t>
  </si>
  <si>
    <t>109710-24849:Jameis Winston</t>
  </si>
  <si>
    <t>109710-112057:Jaylen Warren</t>
  </si>
  <si>
    <t>109710-90870:Calvin Austin III</t>
  </si>
  <si>
    <t>K:PHI</t>
  </si>
  <si>
    <t>109885-64401:Saquon Barkley</t>
  </si>
  <si>
    <t>109885-72846:A.J. Brown</t>
  </si>
  <si>
    <t>109885-6654:Matthew Stafford</t>
  </si>
  <si>
    <t>109885-38264:Demarcus Robinson</t>
  </si>
  <si>
    <t>109885-41235:Jake Elliott</t>
  </si>
  <si>
    <t>RB2:BAL</t>
  </si>
  <si>
    <t>109995-63115:Lamar Jackson</t>
  </si>
  <si>
    <t>109995-69189:Justin Herbert</t>
  </si>
  <si>
    <t>109995-52436:Mark Andrews</t>
  </si>
  <si>
    <t>109995-92496:Cameron Dicker</t>
  </si>
  <si>
    <t>109995-71521:Justice Hill</t>
  </si>
  <si>
    <t>TE1:MIA</t>
  </si>
  <si>
    <t>110092-90572:Tua Tagovailoa</t>
  </si>
  <si>
    <t>110092-72731:Josh Jacobs</t>
  </si>
  <si>
    <t>110092-69017:Jordan Love</t>
  </si>
  <si>
    <t>110092-48116:Jonnu Smith</t>
  </si>
  <si>
    <t>110092-26247:Brandon McManus</t>
  </si>
  <si>
    <t>WR1:CLE</t>
  </si>
  <si>
    <t>TE:CLE</t>
  </si>
  <si>
    <t>WR3:DEN</t>
  </si>
  <si>
    <t>110324-90561:Jerry Jeudy</t>
  </si>
  <si>
    <t>110324-24849:Jameis Winston</t>
  </si>
  <si>
    <t>110324-55335:David Njoku</t>
  </si>
  <si>
    <t>110324-12531:Denver Broncos</t>
  </si>
  <si>
    <t>110324-120093:Marvin Mims Jr.</t>
  </si>
  <si>
    <t>RB1:GB Q</t>
  </si>
  <si>
    <t>WR3:DET</t>
  </si>
  <si>
    <t>110352-72731:Josh Jacobs</t>
  </si>
  <si>
    <t>110352-69017:Jordan Love</t>
  </si>
  <si>
    <t>110352-38435:Jared Goff</t>
  </si>
  <si>
    <t>110352-73273:David Montgomery</t>
  </si>
  <si>
    <t>110352-57091:Tim Patrick</t>
  </si>
  <si>
    <t>QB1:LAC</t>
  </si>
  <si>
    <t>110543-57330:Matthew Wright</t>
  </si>
  <si>
    <t>110543-57439:Patrick Mahomes</t>
  </si>
  <si>
    <t>110543-69189:Justin Herbert</t>
  </si>
  <si>
    <t>110543-16606:DeAndre Hopkins</t>
  </si>
  <si>
    <t>110543-120639:Quentin Johnston</t>
  </si>
  <si>
    <t>RB1:CIN</t>
  </si>
  <si>
    <t>RB1:DAL</t>
  </si>
  <si>
    <t>TE2:CIN</t>
  </si>
  <si>
    <t>110656-85701:Ja'Marr Chase</t>
  </si>
  <si>
    <t>110656-63336:Joe Burrow</t>
  </si>
  <si>
    <t>110656-89493:Chase Brown</t>
  </si>
  <si>
    <t>110656-72297:Rico Dowdle</t>
  </si>
  <si>
    <t>110656-83117:Tanner Hudson</t>
  </si>
  <si>
    <t>RB:SF Q</t>
  </si>
  <si>
    <t>110677-104433:Kyren Williams</t>
  </si>
  <si>
    <t>110677-103020:Puka Nacua</t>
  </si>
  <si>
    <t>110677-89644:Isaac Guerendo</t>
  </si>
  <si>
    <t>110677-133172:Joshua Karty</t>
  </si>
  <si>
    <t>110677-12538:Los Angeles Rams</t>
  </si>
  <si>
    <t>QB:LV</t>
  </si>
  <si>
    <t>RB3:LV</t>
  </si>
  <si>
    <t>110830-12525:Atlanta Falcons</t>
  </si>
  <si>
    <t>110830-136855:Bijan Robinson</t>
  </si>
  <si>
    <t>110830-112745:Drake London</t>
  </si>
  <si>
    <t>110830-86278:Desmond Ridder</t>
  </si>
  <si>
    <t>110830-27229:Ameer Abdullah</t>
  </si>
  <si>
    <t>RB1:CHI Q</t>
  </si>
  <si>
    <t>110829-40442:Aaron Jones Sr.</t>
  </si>
  <si>
    <t>110829-85671:Justin Jefferson</t>
  </si>
  <si>
    <t>110829-29253:Keenan Allen</t>
  </si>
  <si>
    <t>110829-91598:D'Andre Swift</t>
  </si>
  <si>
    <t>110829-102703:Will Reichard</t>
  </si>
  <si>
    <t>QB:LAC Q</t>
  </si>
  <si>
    <t>RB3:LAC</t>
  </si>
  <si>
    <t>110933-69189:Justin Herbert</t>
  </si>
  <si>
    <t>110933-102965:Bo Nix</t>
  </si>
  <si>
    <t>110933-40167:Gus Edwards</t>
  </si>
  <si>
    <t>110933-48380:Wil Lutz</t>
  </si>
  <si>
    <t>110933-91361:Hassan Haskins</t>
  </si>
  <si>
    <t>111066-39280:Derrick Henry</t>
  </si>
  <si>
    <t>111066-63115:Lamar Jackson</t>
  </si>
  <si>
    <t>111066-112295:Zay Flowers</t>
  </si>
  <si>
    <t>111066-12555:Baltimore Ravens</t>
  </si>
  <si>
    <t>111066-112057:Jaylen Warren</t>
  </si>
  <si>
    <t>WR2:TB</t>
  </si>
  <si>
    <t>111129-41535:Baker Mayfield</t>
  </si>
  <si>
    <t>111129-152664:Bucky Irving</t>
  </si>
  <si>
    <t>111129-44715:Cooper Rush</t>
  </si>
  <si>
    <t>111129-120042:Jalen McMillan</t>
  </si>
  <si>
    <t>111129-189471:Brandon Aubrey</t>
  </si>
  <si>
    <t>QB:NO</t>
  </si>
  <si>
    <t>D:GB</t>
  </si>
  <si>
    <t>111201-72731:Josh Jacobs</t>
  </si>
  <si>
    <t>111201-111557:Spencer Rattler</t>
  </si>
  <si>
    <t>111201-12533:Green Bay Packers</t>
  </si>
  <si>
    <t>111201-26247:Brandon McManus</t>
  </si>
  <si>
    <t>111201-185861:Emanuel Wilson</t>
  </si>
  <si>
    <t>111283-63115:Lamar Jackson</t>
  </si>
  <si>
    <t>111283-39280:Derrick Henry</t>
  </si>
  <si>
    <t>111283-52436:Mark Andrews</t>
  </si>
  <si>
    <t>111283-12555:Baltimore Ravens</t>
  </si>
  <si>
    <t>111283-102696:John Metchie III</t>
  </si>
  <si>
    <t>D:SEA</t>
  </si>
  <si>
    <t>111288-12550:Seattle Seahawks</t>
  </si>
  <si>
    <t>111288-26483:Geno Smith</t>
  </si>
  <si>
    <t>111288-63043:DJ Moore</t>
  </si>
  <si>
    <t>111288-91598:D'Andre Swift</t>
  </si>
  <si>
    <t>111288-12527:Chicago Bears</t>
  </si>
  <si>
    <t>111435-102785:Jayden Daniels</t>
  </si>
  <si>
    <t>111435-136855:Bijan Robinson</t>
  </si>
  <si>
    <t>111435-112745:Drake London</t>
  </si>
  <si>
    <t>111435-29780:Zach Ertz</t>
  </si>
  <si>
    <t>111435-64496:Olamide Zaccheaus</t>
  </si>
  <si>
    <t>QB1:SF</t>
  </si>
  <si>
    <t>WR3:SF</t>
  </si>
  <si>
    <t>111516-85607:Brock Purdy</t>
  </si>
  <si>
    <t>111516-38435:Jared Goff</t>
  </si>
  <si>
    <t>111516-111631:Jameson Williams</t>
  </si>
  <si>
    <t>111516-105646:Sam LaPorta</t>
  </si>
  <si>
    <t>111516-102796:Ricky Pearsall</t>
  </si>
  <si>
    <t>TE:PIT</t>
  </si>
  <si>
    <t>111590-85701:Ja'Marr Chase</t>
  </si>
  <si>
    <t>111590-63336:Joe Burrow</t>
  </si>
  <si>
    <t>111590-90575:Najee Harris</t>
  </si>
  <si>
    <t>111590-102901:Cade York</t>
  </si>
  <si>
    <t>111590-86244:Pat Freiermuth</t>
  </si>
  <si>
    <t>111711-129368:Jahmyr Gibbs</t>
  </si>
  <si>
    <t>111711-38435:Jared Goff</t>
  </si>
  <si>
    <t>111711-86997:Amon-Ra St. Brown</t>
  </si>
  <si>
    <t>111711-105646:Sam LaPorta</t>
  </si>
  <si>
    <t>111711-102703:Will Reichard</t>
  </si>
  <si>
    <t>111869-133472:Ladd McConkey</t>
  </si>
  <si>
    <t>111869-91419:Nico Collins</t>
  </si>
  <si>
    <t>111869-52442:Joe Mixon</t>
  </si>
  <si>
    <t>111869-29932:Ka'imi Fairbairn</t>
  </si>
  <si>
    <t>111869-12556:Houston Texans</t>
  </si>
  <si>
    <t>RB2:BAL Q</t>
  </si>
  <si>
    <t>WR2:PIT</t>
  </si>
  <si>
    <t>111870-39280:Derrick Henry</t>
  </si>
  <si>
    <t>111870-22015:Russell Wilson</t>
  </si>
  <si>
    <t>111870-110246:George Pickens</t>
  </si>
  <si>
    <t>111870-71521:Justice Hill</t>
  </si>
  <si>
    <t>111870-64581:Van Jefferson</t>
  </si>
  <si>
    <t>QB1:WAS Q</t>
  </si>
  <si>
    <t>WR1:TB</t>
  </si>
  <si>
    <t>111899-102785:Jayden Daniels</t>
  </si>
  <si>
    <t>111899-32384:Mike Evans</t>
  </si>
  <si>
    <t>111899-56250:Terry McLaurin</t>
  </si>
  <si>
    <t>111899-80001:Austin Ekeler</t>
  </si>
  <si>
    <t>111899-93538:Dyami Brown</t>
  </si>
  <si>
    <t>TE1:MIN</t>
  </si>
  <si>
    <t>111900-12538:Los Angeles Rams</t>
  </si>
  <si>
    <t>111900-104433:Kyren Williams</t>
  </si>
  <si>
    <t>111900-63589:Sam Darnold</t>
  </si>
  <si>
    <t>111900-6654:Matthew Stafford</t>
  </si>
  <si>
    <t>111900-71706:T.J. Hockenson</t>
  </si>
  <si>
    <t>112103-33076:Travis Kelce</t>
  </si>
  <si>
    <t>112103-52442:Joe Mixon</t>
  </si>
  <si>
    <t>112103-129471:C.J. Stroud</t>
  </si>
  <si>
    <t>112103-45229:Kareem Hunt</t>
  </si>
  <si>
    <t>112103-12536:Kansas City Chiefs</t>
  </si>
  <si>
    <t>D:WAS</t>
  </si>
  <si>
    <t>WR3:WAS</t>
  </si>
  <si>
    <t>112094-129368:Jahmyr Gibbs</t>
  </si>
  <si>
    <t>112094-102785:Jayden Daniels</t>
  </si>
  <si>
    <t>112094-90562:Brian Robinson Jr.</t>
  </si>
  <si>
    <t>112094-12552:Washington Commanders</t>
  </si>
  <si>
    <t>112094-93538:Dyami Brown</t>
  </si>
  <si>
    <t>K:BUF</t>
  </si>
  <si>
    <t>TE2:BAL</t>
  </si>
  <si>
    <t>112146-62239:Josh Allen</t>
  </si>
  <si>
    <t>112146-63115:Lamar Jackson</t>
  </si>
  <si>
    <t>112146-85845:Rashod Bateman</t>
  </si>
  <si>
    <t>112146-65128:Tyler Bass</t>
  </si>
  <si>
    <t>112146-87260:Isaiah Likely</t>
  </si>
  <si>
    <t>TE1:LAR Q</t>
  </si>
  <si>
    <t>112145-64401:Saquon Barkley</t>
  </si>
  <si>
    <t>112145-69531:Jalen Hurts</t>
  </si>
  <si>
    <t>112145-6654:Matthew Stafford</t>
  </si>
  <si>
    <t>112145-47870:Tyler Higbee</t>
  </si>
  <si>
    <t>112145-41235:Jake Elliott</t>
  </si>
  <si>
    <t>112411-57439:Patrick Mahomes</t>
  </si>
  <si>
    <t>112411-91626:James Cook</t>
  </si>
  <si>
    <t>112411-45229:Kareem Hunt</t>
  </si>
  <si>
    <t>112411-158974:Xavier Worthy</t>
  </si>
  <si>
    <t>112411-25267:Mack Hollins</t>
  </si>
  <si>
    <t>RB3:PHI</t>
  </si>
  <si>
    <t>112419-64401:Saquon Barkley</t>
  </si>
  <si>
    <t>112419-102785:Jayden Daniels</t>
  </si>
  <si>
    <t>112419-69531:Jalen Hurts</t>
  </si>
  <si>
    <t>112419-29780:Zach Ertz</t>
  </si>
  <si>
    <t>112419-152520:Will Shipley</t>
  </si>
  <si>
    <t>112626-158974:Xavier Worthy</t>
  </si>
  <si>
    <t>112626-57439:Patrick Mahomes</t>
  </si>
  <si>
    <t>112626-69531:Jalen Hurts</t>
  </si>
  <si>
    <t>112626-41235:Jake Elliott</t>
  </si>
  <si>
    <t>112626-12545:Philadelphia Eagles</t>
  </si>
  <si>
    <t>(blank)</t>
  </si>
  <si>
    <t>Count of Key</t>
  </si>
  <si>
    <t>RB:WAS</t>
  </si>
  <si>
    <t>RB:CIN</t>
  </si>
  <si>
    <t>RB:TB</t>
  </si>
  <si>
    <t>WR4:NO</t>
  </si>
  <si>
    <t>RB:PIT</t>
  </si>
  <si>
    <t>TE1:SF</t>
  </si>
  <si>
    <t>WR:LAR</t>
  </si>
  <si>
    <t>TE:MIN</t>
  </si>
  <si>
    <t>WR:BAL</t>
  </si>
  <si>
    <t>RB:HOU</t>
  </si>
  <si>
    <t>WR:HOU</t>
  </si>
  <si>
    <t>WR:DAL</t>
  </si>
  <si>
    <t>RB:CLE</t>
  </si>
  <si>
    <t>WR:DEN</t>
  </si>
  <si>
    <t>RB1Q:GB</t>
  </si>
  <si>
    <t>TE:CIN</t>
  </si>
  <si>
    <t>RB1Q:SF</t>
  </si>
  <si>
    <t>RB:LV</t>
  </si>
  <si>
    <t>RB:CHI</t>
  </si>
  <si>
    <t>RB:LAC</t>
  </si>
  <si>
    <t>WR1:CHI</t>
  </si>
  <si>
    <t>WR:WAS</t>
  </si>
  <si>
    <t>TE:LAR</t>
  </si>
  <si>
    <t>Count of LS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</si>
</sst>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ptos Display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2" fillId="0" borderId="0"/>
  </cellStyleXfs>
  <cellXfs count="39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ill="1"/>
    <xf numFmtId="9" fontId="0" fillId="0" borderId="0" xfId="0" applyNumberFormat="1" applyFill="1"/>
    <xf numFmtId="1" fontId="0" fillId="0" borderId="0" xfId="0" applyNumberFormat="1" applyFill="1"/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/>
    <xf numFmtId="0" fontId="0" fillId="0" borderId="0" xfId="0"/>
    <xf numFmtId="9" fontId="0" fillId="0" borderId="0" xfId="0" applyNumberFormat="1"/>
    <xf numFmtId="1" fontId="0" fillId="0" borderId="0" xfId="0" applyNumberFormat="1"/>
    <xf numFmtId="0" fontId="0" fillId="0" borderId="0" xfId="0"/>
    <xf numFmtId="0" fontId="0" fillId="0" borderId="0" xfId="0"/>
    <xf numFmtId="0" fontId="0" fillId="0" borderId="0" xfId="0" applyFill="1" applyBorder="1"/>
    <xf numFmtId="0" fontId="0" fillId="0" borderId="0" xfId="0"/>
    <xf numFmtId="0" fontId="0" fillId="0" borderId="0" xfId="0"/>
    <xf numFmtId="0" fontId="1" fillId="0" borderId="0" xfId="0" applyFont="1" applyFill="1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applyFill="1" applyAlignment="1">
      <alignment horizontal="center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33" borderId="11" xfId="0" applyFont="1" applyFill="1" applyBorder="1"/>
    <xf numFmtId="0" fontId="1" fillId="0" borderId="0" xfId="0" applyFont="1" applyFill="1" applyBorder="1"/>
    <xf numFmtId="0" fontId="0" fillId="0" borderId="0" xfId="0" applyFont="1" applyBorder="1"/>
    <xf numFmtId="0" fontId="19" fillId="0" borderId="0" xfId="0" applyFont="1"/>
    <xf numFmtId="0" fontId="20" fillId="0" borderId="0" xfId="0" applyFont="1"/>
    <xf numFmtId="0" fontId="20" fillId="0" borderId="0" xfId="0" applyFont="1" applyFill="1"/>
    <xf numFmtId="4" fontId="0" fillId="0" borderId="0" xfId="0" applyNumberFormat="1"/>
    <xf numFmtId="0" fontId="15" fillId="0" borderId="0" xfId="0" applyFont="1"/>
    <xf numFmtId="0" fontId="18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[retro_2024.xlsx]Wins by Key!PivotTable6</c:name>
    <c:fmtId val="0"/>
  </c:pivotSource>
  <c:chart>
    <c:title>
      <c:tx>
        <c:rich>
          <a:bodyPr/>
          <a:lstStyle/>
          <a:p>
            <a:pPr>
              <a:defRPr sz="1400" baseline="0"/>
            </a:pPr>
            <a:r>
              <a:rPr lang="en-US" sz="1400" baseline="0"/>
              <a:t>Wins by Key(1)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'Wins by Key'!$H$2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'Wins by Key'!$G$3:$G$7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'Wins by Key'!$H$3:$H$7</c:f>
              <c:numCache>
                <c:formatCode>General</c:formatCode>
                <c:ptCount val="4"/>
                <c:pt idx="0">
                  <c:v>38</c:v>
                </c:pt>
                <c:pt idx="1">
                  <c:v>22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A-45A5-8E2A-0F98AA289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axId val="153456640"/>
        <c:axId val="153458176"/>
      </c:barChart>
      <c:catAx>
        <c:axId val="15345664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0"/>
            </a:pPr>
            <a:endParaRPr lang="en-US"/>
          </a:p>
        </c:txPr>
        <c:crossAx val="153458176"/>
        <c:crosses val="autoZero"/>
        <c:auto val="1"/>
        <c:lblAlgn val="ctr"/>
        <c:lblOffset val="100"/>
        <c:noMultiLvlLbl val="0"/>
      </c:catAx>
      <c:valAx>
        <c:axId val="153458176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0" baseline="0"/>
            </a:pPr>
            <a:endParaRPr lang="en-US"/>
          </a:p>
        </c:txPr>
        <c:crossAx val="1534566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[retro_2024.xlsx]Wins by Key!PivotTable1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Wins by Key(2)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'Wins by Key'!$S$2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'Wins by Key'!$Q$3:$R$17</c:f>
              <c:multiLvlStrCache>
                <c:ptCount val="14"/>
                <c:lvl>
                  <c:pt idx="0">
                    <c:v>12</c:v>
                  </c:pt>
                  <c:pt idx="1">
                    <c:v>13</c:v>
                  </c:pt>
                  <c:pt idx="2">
                    <c:v>14</c:v>
                  </c:pt>
                  <c:pt idx="3">
                    <c:v>1</c:v>
                  </c:pt>
                  <c:pt idx="4">
                    <c:v>15</c:v>
                  </c:pt>
                  <c:pt idx="5">
                    <c:v>23</c:v>
                  </c:pt>
                  <c:pt idx="6">
                    <c:v>24</c:v>
                  </c:pt>
                  <c:pt idx="7">
                    <c:v>27</c:v>
                  </c:pt>
                  <c:pt idx="8">
                    <c:v>2</c:v>
                  </c:pt>
                  <c:pt idx="9">
                    <c:v>25</c:v>
                  </c:pt>
                  <c:pt idx="10">
                    <c:v>34</c:v>
                  </c:pt>
                  <c:pt idx="11">
                    <c:v>3</c:v>
                  </c:pt>
                  <c:pt idx="12">
                    <c:v>35</c:v>
                  </c:pt>
                  <c:pt idx="13">
                    <c:v>4</c:v>
                  </c:pt>
                </c:lvl>
                <c:lvl>
                  <c:pt idx="0">
                    <c:v>1</c:v>
                  </c:pt>
                  <c:pt idx="5">
                    <c:v>2</c:v>
                  </c:pt>
                  <c:pt idx="10">
                    <c:v>3</c:v>
                  </c:pt>
                  <c:pt idx="13">
                    <c:v>4</c:v>
                  </c:pt>
                </c:lvl>
              </c:multiLvlStrCache>
            </c:multiLvlStrRef>
          </c:cat>
          <c:val>
            <c:numRef>
              <c:f>'Wins by Key'!$S$3:$S$17</c:f>
              <c:numCache>
                <c:formatCode>General</c:formatCode>
                <c:ptCount val="14"/>
                <c:pt idx="0">
                  <c:v>10</c:v>
                </c:pt>
                <c:pt idx="1">
                  <c:v>4</c:v>
                </c:pt>
                <c:pt idx="2">
                  <c:v>3</c:v>
                </c:pt>
                <c:pt idx="3">
                  <c:v>20</c:v>
                </c:pt>
                <c:pt idx="4">
                  <c:v>1</c:v>
                </c:pt>
                <c:pt idx="5">
                  <c:v>6</c:v>
                </c:pt>
                <c:pt idx="6">
                  <c:v>1</c:v>
                </c:pt>
                <c:pt idx="7">
                  <c:v>1</c:v>
                </c:pt>
                <c:pt idx="8">
                  <c:v>13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1C-4C10-AEBB-B6D4045CA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axId val="1713713664"/>
        <c:axId val="1713724224"/>
      </c:barChart>
      <c:catAx>
        <c:axId val="171371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724224"/>
        <c:crosses val="autoZero"/>
        <c:auto val="1"/>
        <c:lblAlgn val="ctr"/>
        <c:lblOffset val="100"/>
        <c:noMultiLvlLbl val="0"/>
      </c:catAx>
      <c:valAx>
        <c:axId val="171372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71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[retro_2024.xlsx]Wins by Key!PivotTable3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Low Salary Key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'Wins by Key'!$K$16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'Wins by Key'!$J$17:$J$35</c:f>
              <c:strCach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30</c:v>
                </c:pt>
                <c:pt idx="17">
                  <c:v>41</c:v>
                </c:pt>
              </c:strCache>
            </c:strRef>
          </c:cat>
          <c:val>
            <c:numRef>
              <c:f>'Wins by Key'!$K$17:$K$35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8</c:v>
                </c:pt>
                <c:pt idx="8">
                  <c:v>6</c:v>
                </c:pt>
                <c:pt idx="9">
                  <c:v>7</c:v>
                </c:pt>
                <c:pt idx="10">
                  <c:v>3</c:v>
                </c:pt>
                <c:pt idx="11">
                  <c:v>5</c:v>
                </c:pt>
                <c:pt idx="12">
                  <c:v>3</c:v>
                </c:pt>
                <c:pt idx="13">
                  <c:v>6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0-41D4-8A08-10CB747B2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782319"/>
        <c:axId val="1011785199"/>
      </c:barChart>
      <c:catAx>
        <c:axId val="101178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785199"/>
        <c:crosses val="autoZero"/>
        <c:auto val="1"/>
        <c:lblAlgn val="ctr"/>
        <c:lblOffset val="100"/>
        <c:noMultiLvlLbl val="0"/>
      </c:catAx>
      <c:valAx>
        <c:axId val="101178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78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Wins by Position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'Wins by Postion'!$M$3:$M$12</c:f>
              <c:strCache>
                <c:ptCount val="10"/>
                <c:pt idx="0">
                  <c:v>Games</c:v>
                </c:pt>
                <c:pt idx="1">
                  <c:v>D</c:v>
                </c:pt>
                <c:pt idx="2">
                  <c:v>K</c:v>
                </c:pt>
                <c:pt idx="3">
                  <c:v>QB</c:v>
                </c:pt>
                <c:pt idx="4">
                  <c:v>RB</c:v>
                </c:pt>
                <c:pt idx="5">
                  <c:v>TE</c:v>
                </c:pt>
                <c:pt idx="6">
                  <c:v>WR1</c:v>
                </c:pt>
                <c:pt idx="7">
                  <c:v>WR2</c:v>
                </c:pt>
                <c:pt idx="8">
                  <c:v>WR3</c:v>
                </c:pt>
                <c:pt idx="9">
                  <c:v>WR4</c:v>
                </c:pt>
              </c:strCache>
            </c:strRef>
          </c:cat>
          <c:val>
            <c:numRef>
              <c:f>'Wins by Postion'!$N$3:$N$12</c:f>
              <c:numCache>
                <c:formatCode>0</c:formatCode>
                <c:ptCount val="10"/>
                <c:pt idx="1">
                  <c:v>22</c:v>
                </c:pt>
                <c:pt idx="2">
                  <c:v>29</c:v>
                </c:pt>
                <c:pt idx="3">
                  <c:v>61</c:v>
                </c:pt>
                <c:pt idx="4">
                  <c:v>55</c:v>
                </c:pt>
                <c:pt idx="5">
                  <c:v>27</c:v>
                </c:pt>
                <c:pt idx="6">
                  <c:v>41</c:v>
                </c:pt>
                <c:pt idx="7">
                  <c:v>27</c:v>
                </c:pt>
                <c:pt idx="8">
                  <c:v>14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E-444E-88D7-13D15C6FB8D0}"/>
            </c:ext>
          </c:extLst>
        </c:ser>
        <c:ser>
          <c:idx val="1"/>
          <c:order val="1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'Wins by Postion'!$M$3:$M$12</c:f>
              <c:strCache>
                <c:ptCount val="10"/>
                <c:pt idx="0">
                  <c:v>Games</c:v>
                </c:pt>
                <c:pt idx="1">
                  <c:v>D</c:v>
                </c:pt>
                <c:pt idx="2">
                  <c:v>K</c:v>
                </c:pt>
                <c:pt idx="3">
                  <c:v>QB</c:v>
                </c:pt>
                <c:pt idx="4">
                  <c:v>RB</c:v>
                </c:pt>
                <c:pt idx="5">
                  <c:v>TE</c:v>
                </c:pt>
                <c:pt idx="6">
                  <c:v>WR1</c:v>
                </c:pt>
                <c:pt idx="7">
                  <c:v>WR2</c:v>
                </c:pt>
                <c:pt idx="8">
                  <c:v>WR3</c:v>
                </c:pt>
                <c:pt idx="9">
                  <c:v>WR4</c:v>
                </c:pt>
              </c:strCache>
            </c:strRef>
          </c:cat>
          <c:val>
            <c:numRef>
              <c:f>'Wins by Postion'!$O$3:$O$12</c:f>
              <c:numCache>
                <c:formatCode>General</c:formatCode>
                <c:ptCount val="10"/>
                <c:pt idx="1">
                  <c:v>1</c:v>
                </c:pt>
                <c:pt idx="2">
                  <c:v>2</c:v>
                </c:pt>
                <c:pt idx="3">
                  <c:v>25</c:v>
                </c:pt>
                <c:pt idx="4">
                  <c:v>27</c:v>
                </c:pt>
                <c:pt idx="5">
                  <c:v>0</c:v>
                </c:pt>
                <c:pt idx="6">
                  <c:v>7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BE-444E-88D7-13D15C6FB8D0}"/>
            </c:ext>
          </c:extLst>
        </c:ser>
        <c:ser>
          <c:idx val="2"/>
          <c:order val="2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'Wins by Postion'!$M$3:$M$12</c:f>
              <c:strCache>
                <c:ptCount val="10"/>
                <c:pt idx="0">
                  <c:v>Games</c:v>
                </c:pt>
                <c:pt idx="1">
                  <c:v>D</c:v>
                </c:pt>
                <c:pt idx="2">
                  <c:v>K</c:v>
                </c:pt>
                <c:pt idx="3">
                  <c:v>QB</c:v>
                </c:pt>
                <c:pt idx="4">
                  <c:v>RB</c:v>
                </c:pt>
                <c:pt idx="5">
                  <c:v>TE</c:v>
                </c:pt>
                <c:pt idx="6">
                  <c:v>WR1</c:v>
                </c:pt>
                <c:pt idx="7">
                  <c:v>WR2</c:v>
                </c:pt>
                <c:pt idx="8">
                  <c:v>WR3</c:v>
                </c:pt>
                <c:pt idx="9">
                  <c:v>WR4</c:v>
                </c:pt>
              </c:strCache>
            </c:strRef>
          </c:cat>
          <c:val>
            <c:numRef>
              <c:f>'Wins by Postion'!$P$3:$P$12</c:f>
              <c:numCache>
                <c:formatCode>General</c:formatCode>
                <c:ptCount val="10"/>
                <c:pt idx="0">
                  <c:v>70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BE-444E-88D7-13D15C6FB8D0}"/>
            </c:ext>
          </c:extLst>
        </c:ser>
        <c:ser>
          <c:idx val="3"/>
          <c:order val="3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'Wins by Postion'!$M$3:$M$12</c:f>
              <c:strCache>
                <c:ptCount val="10"/>
                <c:pt idx="0">
                  <c:v>Games</c:v>
                </c:pt>
                <c:pt idx="1">
                  <c:v>D</c:v>
                </c:pt>
                <c:pt idx="2">
                  <c:v>K</c:v>
                </c:pt>
                <c:pt idx="3">
                  <c:v>QB</c:v>
                </c:pt>
                <c:pt idx="4">
                  <c:v>RB</c:v>
                </c:pt>
                <c:pt idx="5">
                  <c:v>TE</c:v>
                </c:pt>
                <c:pt idx="6">
                  <c:v>WR1</c:v>
                </c:pt>
                <c:pt idx="7">
                  <c:v>WR2</c:v>
                </c:pt>
                <c:pt idx="8">
                  <c:v>WR3</c:v>
                </c:pt>
                <c:pt idx="9">
                  <c:v>WR4</c:v>
                </c:pt>
              </c:strCache>
            </c:strRef>
          </c:cat>
          <c:val>
            <c:numRef>
              <c:f>'Wins by Postion'!$Q$3:$Q$12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3-C7BE-444E-88D7-13D15C6FB8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3653632"/>
        <c:axId val="153655168"/>
      </c:barChart>
      <c:catAx>
        <c:axId val="153653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3655168"/>
        <c:crosses val="autoZero"/>
        <c:auto val="1"/>
        <c:lblAlgn val="ctr"/>
        <c:lblOffset val="100"/>
        <c:noMultiLvlLbl val="0"/>
      </c:catAx>
      <c:valAx>
        <c:axId val="153655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6536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[retro_2024.xlsx]MVP by Key!PivotTable3</c:name>
    <c:fmtId val="0"/>
  </c:pivotSource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MVP by Key(2)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'MVP by Key'!$T$2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'MVP by Key'!$R$3:$S$42</c:f>
              <c:multiLvlStrCache>
                <c:ptCount val="39"/>
                <c:lvl>
                  <c:pt idx="0">
                    <c:v>12</c:v>
                  </c:pt>
                  <c:pt idx="1">
                    <c:v>13</c:v>
                  </c:pt>
                  <c:pt idx="2">
                    <c:v>14</c:v>
                  </c:pt>
                  <c:pt idx="3">
                    <c:v>1</c:v>
                  </c:pt>
                  <c:pt idx="4">
                    <c:v>15</c:v>
                  </c:pt>
                  <c:pt idx="5">
                    <c:v>12</c:v>
                  </c:pt>
                  <c:pt idx="6">
                    <c:v>23</c:v>
                  </c:pt>
                  <c:pt idx="7">
                    <c:v>2</c:v>
                  </c:pt>
                  <c:pt idx="8">
                    <c:v>1</c:v>
                  </c:pt>
                  <c:pt idx="9">
                    <c:v>13</c:v>
                  </c:pt>
                  <c:pt idx="10">
                    <c:v>2</c:v>
                  </c:pt>
                  <c:pt idx="11">
                    <c:v>1</c:v>
                  </c:pt>
                  <c:pt idx="12">
                    <c:v>35</c:v>
                  </c:pt>
                  <c:pt idx="13">
                    <c:v>14</c:v>
                  </c:pt>
                  <c:pt idx="14">
                    <c:v>24</c:v>
                  </c:pt>
                  <c:pt idx="15">
                    <c:v>34</c:v>
                  </c:pt>
                  <c:pt idx="16">
                    <c:v>2</c:v>
                  </c:pt>
                  <c:pt idx="17">
                    <c:v>3</c:v>
                  </c:pt>
                  <c:pt idx="18">
                    <c:v>4</c:v>
                  </c:pt>
                  <c:pt idx="19">
                    <c:v>1</c:v>
                  </c:pt>
                  <c:pt idx="20">
                    <c:v>13</c:v>
                  </c:pt>
                  <c:pt idx="21">
                    <c:v>34</c:v>
                  </c:pt>
                  <c:pt idx="22">
                    <c:v>2</c:v>
                  </c:pt>
                  <c:pt idx="23">
                    <c:v>1</c:v>
                  </c:pt>
                  <c:pt idx="24">
                    <c:v>23</c:v>
                  </c:pt>
                  <c:pt idx="25">
                    <c:v>4</c:v>
                  </c:pt>
                  <c:pt idx="26">
                    <c:v>1</c:v>
                  </c:pt>
                  <c:pt idx="27">
                    <c:v>4</c:v>
                  </c:pt>
                  <c:pt idx="28">
                    <c:v>1</c:v>
                  </c:pt>
                  <c:pt idx="29">
                    <c:v>14</c:v>
                  </c:pt>
                  <c:pt idx="30">
                    <c:v>3</c:v>
                  </c:pt>
                  <c:pt idx="31">
                    <c:v>1</c:v>
                  </c:pt>
                  <c:pt idx="32">
                    <c:v>2</c:v>
                  </c:pt>
                  <c:pt idx="33">
                    <c:v>4</c:v>
                  </c:pt>
                  <c:pt idx="34">
                    <c:v>25</c:v>
                  </c:pt>
                  <c:pt idx="35">
                    <c:v>12</c:v>
                  </c:pt>
                  <c:pt idx="36">
                    <c:v>27</c:v>
                  </c:pt>
                  <c:pt idx="37">
                    <c:v>2</c:v>
                  </c:pt>
                  <c:pt idx="38">
                    <c:v>34</c:v>
                  </c:pt>
                </c:lvl>
                <c:lvl>
                  <c:pt idx="0">
                    <c:v>1</c:v>
                  </c:pt>
                  <c:pt idx="5">
                    <c:v>2</c:v>
                  </c:pt>
                  <c:pt idx="9">
                    <c:v>3</c:v>
                  </c:pt>
                  <c:pt idx="13">
                    <c:v>4</c:v>
                  </c:pt>
                  <c:pt idx="20">
                    <c:v>5</c:v>
                  </c:pt>
                  <c:pt idx="24">
                    <c:v>6</c:v>
                  </c:pt>
                  <c:pt idx="27">
                    <c:v>8</c:v>
                  </c:pt>
                  <c:pt idx="28">
                    <c:v>9</c:v>
                  </c:pt>
                  <c:pt idx="29">
                    <c:v>12</c:v>
                  </c:pt>
                  <c:pt idx="32">
                    <c:v>7</c:v>
                  </c:pt>
                  <c:pt idx="35">
                    <c:v>11</c:v>
                  </c:pt>
                  <c:pt idx="38">
                    <c:v>14</c:v>
                  </c:pt>
                </c:lvl>
              </c:multiLvlStrCache>
            </c:multiLvlStrRef>
          </c:cat>
          <c:val>
            <c:numRef>
              <c:f>'MVP by Key'!$T$3:$T$42</c:f>
              <c:numCache>
                <c:formatCode>General</c:formatCode>
                <c:ptCount val="39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9</c:v>
                </c:pt>
                <c:pt idx="4">
                  <c:v>1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B-4D88-938C-B4E06D6FC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716992"/>
        <c:axId val="153726976"/>
      </c:barChart>
      <c:catAx>
        <c:axId val="153716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726976"/>
        <c:crosses val="autoZero"/>
        <c:auto val="0"/>
        <c:lblAlgn val="ctr"/>
        <c:lblOffset val="100"/>
        <c:noMultiLvlLbl val="0"/>
      </c:catAx>
      <c:valAx>
        <c:axId val="153726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7169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[retro_2024.xlsx]MVP by Key!PivotTable1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MVP by Key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'MVP by Key'!$H$2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'MVP by Key'!$G$3:$G$15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  <c:pt idx="9">
                  <c:v>7</c:v>
                </c:pt>
                <c:pt idx="10">
                  <c:v>11</c:v>
                </c:pt>
                <c:pt idx="11">
                  <c:v>14</c:v>
                </c:pt>
              </c:strCache>
            </c:strRef>
          </c:cat>
          <c:val>
            <c:numRef>
              <c:f>'MVP by Key'!$H$3:$H$15</c:f>
              <c:numCache>
                <c:formatCode>General</c:formatCode>
                <c:ptCount val="12"/>
                <c:pt idx="0">
                  <c:v>18</c:v>
                </c:pt>
                <c:pt idx="1">
                  <c:v>16</c:v>
                </c:pt>
                <c:pt idx="2">
                  <c:v>6</c:v>
                </c:pt>
                <c:pt idx="3">
                  <c:v>11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9-483F-91ED-7C69F7666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52558639"/>
        <c:axId val="1952560559"/>
      </c:barChart>
      <c:catAx>
        <c:axId val="195255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560559"/>
        <c:crosses val="autoZero"/>
        <c:auto val="1"/>
        <c:lblAlgn val="ctr"/>
        <c:lblOffset val="100"/>
        <c:noMultiLvlLbl val="0"/>
      </c:catAx>
      <c:valAx>
        <c:axId val="195256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55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[retro_2024.xlsx]MVP by Key!PivotTable2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MVP Points Rank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'MVP by Key'!$H$19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'MVP by Key'!$G$20:$G$21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'MVP by Key'!$H$20:$H$21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2E1E-43DB-8345-2CDEA3D63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4184479"/>
        <c:axId val="304184959"/>
      </c:barChart>
      <c:catAx>
        <c:axId val="30418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84959"/>
        <c:crosses val="autoZero"/>
        <c:auto val="1"/>
        <c:lblAlgn val="ctr"/>
        <c:lblOffset val="100"/>
        <c:noMultiLvlLbl val="0"/>
      </c:catAx>
      <c:valAx>
        <c:axId val="30418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8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[retro_2024.xlsx]MVP by Position!PivotTable1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MVP by Position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83220847394076E-2"/>
          <c:y val="7.9343967651387209E-2"/>
          <c:w val="0.90642375976767164"/>
          <c:h val="0.67375584926943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'MVP by Position'!$Q$2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'MVP by Position'!$O$3:$P$10</c:f>
              <c:strCache>
                <c:ptCount val="7"/>
                <c:pt idx="0">
                  <c:v>D</c:v>
                </c:pt>
                <c:pt idx="1">
                  <c:v>K</c:v>
                </c:pt>
                <c:pt idx="2">
                  <c:v>QB</c:v>
                </c:pt>
                <c:pt idx="3">
                  <c:v>RB</c:v>
                </c:pt>
                <c:pt idx="4">
                  <c:v>TE</c:v>
                </c:pt>
                <c:pt idx="5">
                  <c:v>WR1</c:v>
                </c:pt>
                <c:pt idx="6">
                  <c:v>WR2</c:v>
                </c:pt>
              </c:strCache>
            </c:strRef>
          </c:cat>
          <c:val>
            <c:numRef>
              <c:f>'MVP by Position'!$Q$3:$Q$10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21</c:v>
                </c:pt>
                <c:pt idx="3">
                  <c:v>24</c:v>
                </c:pt>
                <c:pt idx="4">
                  <c:v>1</c:v>
                </c:pt>
                <c:pt idx="5">
                  <c:v>15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E-48C2-A343-9DA45E6E7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0"/>
        <c:axId val="154408448"/>
        <c:axId val="154409984"/>
      </c:barChart>
      <c:catAx>
        <c:axId val="154408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/>
        </c:spPr>
        <c:txPr>
          <a:bodyPr rot="0" vert="horz" anchor="b" anchorCtr="0"/>
          <a:lstStyle/>
          <a:p>
            <a:pPr>
              <a:defRPr b="0" i="0" baseline="0"/>
            </a:pPr>
            <a:endParaRPr lang="en-US"/>
          </a:p>
        </c:txPr>
        <c:crossAx val="154409984"/>
        <c:crosses val="autoZero"/>
        <c:auto val="0"/>
        <c:lblAlgn val="ctr"/>
        <c:lblOffset val="100"/>
        <c:noMultiLvlLbl val="0"/>
      </c:catAx>
      <c:valAx>
        <c:axId val="154409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0" i="0" baseline="0"/>
            </a:pPr>
            <a:endParaRPr lang="en-US"/>
          </a:p>
        </c:txPr>
        <c:crossAx val="1544084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[retro_2024.xlsx]MVP by Player!PivotTable5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MVP by Player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9579676707651666E-2"/>
          <c:y val="0.14725317179118783"/>
          <c:w val="0.93384542653153479"/>
          <c:h val="0.68114908093695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'MVP by Player'!$S$2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'MVP by Player'!$R$3:$R$55</c:f>
              <c:strCache>
                <c:ptCount val="52"/>
                <c:pt idx="0">
                  <c:v>D:ATL</c:v>
                </c:pt>
                <c:pt idx="1">
                  <c:v>D:LAR</c:v>
                </c:pt>
                <c:pt idx="2">
                  <c:v>D:SEA</c:v>
                </c:pt>
                <c:pt idx="3">
                  <c:v>K:KC</c:v>
                </c:pt>
                <c:pt idx="4">
                  <c:v>K:LAR</c:v>
                </c:pt>
                <c:pt idx="5">
                  <c:v>K:SF</c:v>
                </c:pt>
                <c:pt idx="6">
                  <c:v>K:TEN</c:v>
                </c:pt>
                <c:pt idx="7">
                  <c:v>QB:ATL</c:v>
                </c:pt>
                <c:pt idx="8">
                  <c:v>QB:BAL</c:v>
                </c:pt>
                <c:pt idx="9">
                  <c:v>QB:BUF</c:v>
                </c:pt>
                <c:pt idx="10">
                  <c:v>QB:CIN</c:v>
                </c:pt>
                <c:pt idx="11">
                  <c:v>QB:DAL</c:v>
                </c:pt>
                <c:pt idx="12">
                  <c:v>QB:KC</c:v>
                </c:pt>
                <c:pt idx="13">
                  <c:v>QB:LAC Q</c:v>
                </c:pt>
                <c:pt idx="14">
                  <c:v>QB:LAR</c:v>
                </c:pt>
                <c:pt idx="15">
                  <c:v>QB:MIA</c:v>
                </c:pt>
                <c:pt idx="16">
                  <c:v>QB:NYJ</c:v>
                </c:pt>
                <c:pt idx="17">
                  <c:v>QB:PHI</c:v>
                </c:pt>
                <c:pt idx="18">
                  <c:v>QB:SF</c:v>
                </c:pt>
                <c:pt idx="19">
                  <c:v>QB:TB</c:v>
                </c:pt>
                <c:pt idx="20">
                  <c:v>QB:WAS</c:v>
                </c:pt>
                <c:pt idx="21">
                  <c:v>QB1:SF</c:v>
                </c:pt>
                <c:pt idx="22">
                  <c:v>QB1:WAS Q</c:v>
                </c:pt>
                <c:pt idx="23">
                  <c:v>RB:BAL</c:v>
                </c:pt>
                <c:pt idx="24">
                  <c:v>RB:BUF</c:v>
                </c:pt>
                <c:pt idx="25">
                  <c:v>RB:KC</c:v>
                </c:pt>
                <c:pt idx="26">
                  <c:v>RB:PHI</c:v>
                </c:pt>
                <c:pt idx="27">
                  <c:v>RB:SEA</c:v>
                </c:pt>
                <c:pt idx="28">
                  <c:v>RB1:BAL</c:v>
                </c:pt>
                <c:pt idx="29">
                  <c:v>RB1:CLE</c:v>
                </c:pt>
                <c:pt idx="30">
                  <c:v>RB1:DEN</c:v>
                </c:pt>
                <c:pt idx="31">
                  <c:v>RB1:DET</c:v>
                </c:pt>
                <c:pt idx="32">
                  <c:v>RB1:GB</c:v>
                </c:pt>
                <c:pt idx="33">
                  <c:v>RB1:GB Q</c:v>
                </c:pt>
                <c:pt idx="34">
                  <c:v>RB1:HOU</c:v>
                </c:pt>
                <c:pt idx="35">
                  <c:v>RB1:LAR</c:v>
                </c:pt>
                <c:pt idx="36">
                  <c:v>RB1:MIN</c:v>
                </c:pt>
                <c:pt idx="37">
                  <c:v>RB1:NYJ</c:v>
                </c:pt>
                <c:pt idx="38">
                  <c:v>RB1:PHI</c:v>
                </c:pt>
                <c:pt idx="39">
                  <c:v>RB2:NYG</c:v>
                </c:pt>
                <c:pt idx="40">
                  <c:v>TE1:KC</c:v>
                </c:pt>
                <c:pt idx="41">
                  <c:v>WR1:CIN</c:v>
                </c:pt>
                <c:pt idx="42">
                  <c:v>WR1:CLE</c:v>
                </c:pt>
                <c:pt idx="43">
                  <c:v>WR1:DAL</c:v>
                </c:pt>
                <c:pt idx="44">
                  <c:v>WR1:KC</c:v>
                </c:pt>
                <c:pt idx="45">
                  <c:v>WR1:LAC</c:v>
                </c:pt>
                <c:pt idx="46">
                  <c:v>WR1:LAR</c:v>
                </c:pt>
                <c:pt idx="47">
                  <c:v>WR1:MIN</c:v>
                </c:pt>
                <c:pt idx="48">
                  <c:v>WR1:NYG</c:v>
                </c:pt>
                <c:pt idx="49">
                  <c:v>WR1:NYJ</c:v>
                </c:pt>
                <c:pt idx="50">
                  <c:v>WR2:HOU</c:v>
                </c:pt>
                <c:pt idx="51">
                  <c:v>WR2:KC</c:v>
                </c:pt>
              </c:strCache>
            </c:strRef>
          </c:cat>
          <c:val>
            <c:numRef>
              <c:f>'MVP by Player'!$S$3:$S$55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4</c:v>
                </c:pt>
                <c:pt idx="39">
                  <c:v>1</c:v>
                </c:pt>
                <c:pt idx="40">
                  <c:v>1</c:v>
                </c:pt>
                <c:pt idx="41">
                  <c:v>4</c:v>
                </c:pt>
                <c:pt idx="42">
                  <c:v>1</c:v>
                </c:pt>
                <c:pt idx="43">
                  <c:v>2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1-4EB4-B0A6-1955E3F4A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0"/>
        <c:axId val="154816512"/>
        <c:axId val="154818048"/>
      </c:barChart>
      <c:catAx>
        <c:axId val="15481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rot="-2760000"/>
          <a:lstStyle/>
          <a:p>
            <a:pPr>
              <a:defRPr/>
            </a:pPr>
            <a:endParaRPr lang="en-US"/>
          </a:p>
        </c:txPr>
        <c:crossAx val="154818048"/>
        <c:crosses val="autoZero"/>
        <c:auto val="1"/>
        <c:lblAlgn val="ctr"/>
        <c:lblOffset val="100"/>
        <c:tickLblSkip val="1"/>
        <c:noMultiLvlLbl val="0"/>
      </c:catAx>
      <c:valAx>
        <c:axId val="154818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816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[retro_2024.xlsx]Team Count!PivotTable2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/>
              <a:t>Team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'Team Count'!$C$15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'Team Count'!$B$16:$B$20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'Team Count'!$C$16:$C$20</c:f>
              <c:numCache>
                <c:formatCode>General</c:formatCode>
                <c:ptCount val="4"/>
                <c:pt idx="0">
                  <c:v>6</c:v>
                </c:pt>
                <c:pt idx="1">
                  <c:v>22</c:v>
                </c:pt>
                <c:pt idx="2">
                  <c:v>23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2-46BA-BEBD-0BF42EC6A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16256"/>
        <c:axId val="47916736"/>
      </c:barChart>
      <c:catAx>
        <c:axId val="4791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16736"/>
        <c:crosses val="autoZero"/>
        <c:auto val="1"/>
        <c:lblAlgn val="ctr"/>
        <c:lblOffset val="100"/>
        <c:noMultiLvlLbl val="0"/>
      </c:catAx>
      <c:valAx>
        <c:axId val="4791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1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14288</xdr:colOff>
      <xdr:row>1</xdr:row>
      <xdr:rowOff>9525</xdr:rowOff>
    </xdr:from>
    <xdr:to>
      <xdr:col>5</xdr:col>
      <xdr:colOff>4762</xdr:colOff>
      <xdr:row>13</xdr:row>
      <xdr:rowOff>171450</xdr:rowOff>
    </xdr:to>
    <xdr:graphicFrame macro="">
      <xdr:nvGraphicFramePr>
        <xdr:cNvPr id="2" name="Ke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1</xdr:row>
      <xdr:rowOff>9524</xdr:rowOff>
    </xdr:from>
    <xdr:to>
      <xdr:col>15</xdr:col>
      <xdr:colOff>19050</xdr:colOff>
      <xdr:row>14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7214D6-B7CB-882E-E465-DF7754FE3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</xdr:colOff>
      <xdr:row>14</xdr:row>
      <xdr:rowOff>180974</xdr:rowOff>
    </xdr:from>
    <xdr:to>
      <xdr:col>8</xdr:col>
      <xdr:colOff>1</xdr:colOff>
      <xdr:row>27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9EA822-D745-9921-8CE1-46D0C142E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647698</xdr:colOff>
      <xdr:row>1</xdr:row>
      <xdr:rowOff>14287</xdr:rowOff>
    </xdr:from>
    <xdr:to>
      <xdr:col>10</xdr:col>
      <xdr:colOff>342899</xdr:colOff>
      <xdr:row>25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952497</xdr:colOff>
      <xdr:row>1</xdr:row>
      <xdr:rowOff>0</xdr:rowOff>
    </xdr:from>
    <xdr:to>
      <xdr:col>16</xdr:col>
      <xdr:colOff>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180974</xdr:rowOff>
    </xdr:from>
    <xdr:to>
      <xdr:col>5</xdr:col>
      <xdr:colOff>0</xdr:colOff>
      <xdr:row>16</xdr:row>
      <xdr:rowOff>28574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42A512-A71F-151B-AE1B-B45F4C32A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11906</xdr:colOff>
      <xdr:row>17</xdr:row>
      <xdr:rowOff>173830</xdr:rowOff>
    </xdr:from>
    <xdr:to>
      <xdr:col>5</xdr:col>
      <xdr:colOff>9525</xdr:colOff>
      <xdr:row>35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DA9188-06A2-BD19-1756-1AEAA3245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1</xdr:row>
      <xdr:rowOff>9525</xdr:rowOff>
    </xdr:from>
    <xdr:to>
      <xdr:col>12</xdr:col>
      <xdr:colOff>771525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657224</xdr:colOff>
      <xdr:row>0</xdr:row>
      <xdr:rowOff>171451</xdr:rowOff>
    </xdr:from>
    <xdr:to>
      <xdr:col>15</xdr:col>
      <xdr:colOff>638174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9523</xdr:rowOff>
    </xdr:from>
    <xdr:to>
      <xdr:col>4</xdr:col>
      <xdr:colOff>0</xdr:colOff>
      <xdr:row>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944A78-FB41-90AB-22EE-465543C06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Meinhardt" refreshedDate="45972.953685532404" createdVersion="8" refreshedVersion="8" minRefreshableVersion="3" recordCount="70" xr:uid="{8D0FBD3B-1097-4375-9216-AFA26F1AA81E}">
  <cacheSource type="worksheet">
    <worksheetSource ref="A1:AF71" sheet="Retro"/>
  </cacheSource>
  <cacheFields count="33">
    <cacheField name="Winnings" numFmtId="0">
      <sharedItems containsNonDate="0" containsString="0" containsBlank="1"/>
    </cacheField>
    <cacheField name="Winners" numFmtId="0">
      <sharedItems containsNonDate="0" containsString="0" containsBlank="1"/>
    </cacheField>
    <cacheField name="Place" numFmtId="0">
      <sharedItems containsNonDate="0" containsString="0" containsBlank="1"/>
    </cacheField>
    <cacheField name="HS Position" numFmtId="0">
      <sharedItems containsNonDate="0" containsString="0" containsBlank="1"/>
    </cacheField>
    <cacheField name="HS MVP" numFmtId="0">
      <sharedItems containsSemiMixedTypes="0" containsString="0" containsNumber="1" containsInteger="1" minValue="0" maxValue="1"/>
    </cacheField>
    <cacheField name="HS Wins" numFmtId="0">
      <sharedItems containsSemiMixedTypes="0" containsString="0" containsNumber="1" containsInteger="1" minValue="0" maxValue="1"/>
    </cacheField>
    <cacheField name="MVP Pts Rank" numFmtId="0">
      <sharedItems containsNonDate="0" containsString="0" containsBlank="1" containsNumber="1" containsInteger="1" minValue="1" maxValue="13" count="6">
        <m/>
        <n v="2" u="1"/>
        <n v="1" u="1"/>
        <n v="5" u="1"/>
        <n v="3" u="1"/>
        <n v="13" u="1"/>
      </sharedItems>
    </cacheField>
    <cacheField name="MVP Position" numFmtId="0">
      <sharedItems count="13">
        <s v="QB"/>
        <s v="RB"/>
        <s v="WR1"/>
        <s v="K"/>
        <s v="WR2"/>
        <s v="RB1"/>
        <s v="RB2"/>
        <s v="D"/>
        <s v="QB1"/>
        <s v="TE1"/>
        <s v="WR3" u="1"/>
        <s v="TE" u="1"/>
        <s v="TE2" u="1"/>
      </sharedItems>
      <fieldGroup par="32"/>
    </cacheField>
    <cacheField name="Key" numFmtId="0">
      <sharedItems containsSemiMixedTypes="0" containsString="0" containsNumber="1" containsInteger="1" minValue="1" maxValue="34" count="13">
        <n v="2"/>
        <n v="3"/>
        <n v="4"/>
        <n v="1"/>
        <n v="12" u="1"/>
        <n v="13" u="1"/>
        <n v="23" u="1"/>
        <n v="16" u="1"/>
        <n v="29" u="1"/>
        <n v="24" u="1"/>
        <n v="14" u="1"/>
        <n v="34" u="1"/>
        <n v="27" u="1"/>
      </sharedItems>
    </cacheField>
    <cacheField name="ID" numFmtId="0">
      <sharedItems containsSemiMixedTypes="0" containsString="0" containsNumber="1" containsInteger="1" minValue="1" maxValue="104479"/>
    </cacheField>
    <cacheField name="Group ID" numFmtId="0">
      <sharedItems containsSemiMixedTypes="0" containsString="0" containsNumber="1" containsInteger="1" minValue="1" maxValue="20896"/>
    </cacheField>
    <cacheField name="Key 2" numFmtId="0">
      <sharedItems containsSemiMixedTypes="0" containsString="0" containsNumber="1" containsInteger="1" minValue="1" maxValue="35" count="16">
        <n v="2"/>
        <n v="3"/>
        <n v="4"/>
        <n v="1"/>
        <n v="15"/>
        <n v="23"/>
        <n v="25"/>
        <n v="34"/>
        <n v="12"/>
        <n v="14"/>
        <n v="35"/>
        <n v="27"/>
        <n v="13"/>
        <n v="24"/>
        <n v="16" u="1"/>
        <n v="29" u="1"/>
      </sharedItems>
    </cacheField>
    <cacheField name="MVP Key" numFmtId="0">
      <sharedItems containsSemiMixedTypes="0" containsString="0" containsNumber="1" containsInteger="1" minValue="1" maxValue="22" count="15">
        <n v="2"/>
        <n v="4"/>
        <n v="8"/>
        <n v="12"/>
        <n v="1"/>
        <n v="5"/>
        <n v="3"/>
        <n v="7"/>
        <n v="6"/>
        <n v="9"/>
        <n v="11"/>
        <n v="14"/>
        <n v="10" u="1"/>
        <n v="15" u="1"/>
        <n v="22" u="1"/>
      </sharedItems>
    </cacheField>
    <cacheField name="LS Key" numFmtId="0">
      <sharedItems containsSemiMixedTypes="0" containsString="0" containsNumber="1" containsInteger="1" minValue="8" maxValue="41" count="18">
        <n v="17"/>
        <n v="15"/>
        <n v="10"/>
        <n v="16"/>
        <n v="13"/>
        <n v="14"/>
        <n v="22"/>
        <n v="11"/>
        <n v="18"/>
        <n v="21"/>
        <n v="8"/>
        <n v="9"/>
        <n v="19"/>
        <n v="23"/>
        <n v="20"/>
        <n v="12"/>
        <n v="30"/>
        <n v="41"/>
      </sharedItems>
    </cacheField>
    <cacheField name="MVP_pos" numFmtId="0">
      <sharedItems count="74">
        <s v="QB:BAL"/>
        <s v="RB:PHI"/>
        <s v="WR1:LAR"/>
        <s v="K:SF"/>
        <s v="QB:PHI"/>
        <s v="RB:BUF"/>
        <s v="WR2:HOU"/>
        <s v="QB:BUF"/>
        <s v="WR1:KC"/>
        <s v="QB:NYJ"/>
        <s v="WR1:CIN"/>
        <s v="RB:BAL"/>
        <s v="WR1:NYG"/>
        <s v="WR1:DAL"/>
        <s v="RB:SEA"/>
        <s v="K:TEN"/>
        <s v="QB:DAL"/>
        <s v="RB:KC"/>
        <s v="QB:ATL"/>
        <s v="WR1:NYJ"/>
        <s v="QB:CIN"/>
        <s v="QB:SF"/>
        <s v="RB1:DEN"/>
        <s v="RB1:NYJ"/>
        <s v="QB:LAR"/>
        <s v="RB2:NYG"/>
        <s v="WR1:MIN"/>
        <s v="WR2:KC"/>
        <s v="RB1:HOU"/>
        <s v="K:LAR"/>
        <s v="RB1:PHI"/>
        <s v="RB1:CLE"/>
        <s v="QB:MIA"/>
        <s v="WR1:CLE"/>
        <s v="RB1:GB Q"/>
        <s v="K:KC"/>
        <s v="RB1:LAR"/>
        <s v="D:ATL"/>
        <s v="RB1:MIN"/>
        <s v="QB:LAC Q"/>
        <s v="RB1:BAL"/>
        <s v="QB:TB"/>
        <s v="RB1:GB"/>
        <s v="D:SEA"/>
        <s v="QB:WAS"/>
        <s v="QB1:SF"/>
        <s v="RB1:DET"/>
        <s v="WR1:LAC"/>
        <s v="QB1:WAS Q"/>
        <s v="D:LAR"/>
        <s v="TE1:KC"/>
        <s v="QB:KC"/>
        <s v="RB:DAL" u="1"/>
        <s v="QB:LAC" u="1"/>
        <s v="WR3:BUF" u="1"/>
        <s v="QB:CHI" u="1"/>
        <s v="TE:GB" u="1"/>
        <s v="RB1:ATL" u="1"/>
        <s v="RB1:BUF" u="1"/>
        <s v="RB2:DET" u="1"/>
        <s v="QB:ARI" u="1"/>
        <s v="QB:DEN" u="1"/>
        <s v="WR1:NE" u="1"/>
        <s v="RB:NYG" u="1"/>
        <s v="RB1:CHI" u="1"/>
        <s v="TE2:PIT" u="1"/>
        <s v="RB1:SF" u="1"/>
        <s v="WR1:SEA" u="1"/>
        <s v="TE1:GB" u="1"/>
        <s v="QB:SEA" u="1"/>
        <s v="WR1:ARI" u="1"/>
        <s v="D:DEN" u="1"/>
        <s v="WR2:PHI" u="1"/>
        <s v="WR3:LAC" u="1"/>
      </sharedItems>
    </cacheField>
    <cacheField name="p2_pos" numFmtId="0">
      <sharedItems/>
    </cacheField>
    <cacheField name="p3_pos" numFmtId="0">
      <sharedItems/>
    </cacheField>
    <cacheField name="p4_pos" numFmtId="0">
      <sharedItems/>
    </cacheField>
    <cacheField name="p5_pos" numFmtId="0">
      <sharedItems/>
    </cacheField>
    <cacheField name="p6_pos" numFmtId="0">
      <sharedItems containsNonDate="0" containsString="0" containsBlank="1"/>
    </cacheField>
    <cacheField name="select" numFmtId="0">
      <sharedItems containsNonDate="0" containsString="0" containsBlank="1"/>
    </cacheField>
    <cacheField name="team_cnt" numFmtId="0">
      <sharedItems containsSemiMixedTypes="0" containsString="0" containsNumber="1" containsInteger="1" minValue="0" maxValue="5" count="6">
        <n v="2"/>
        <n v="3"/>
        <n v="4"/>
        <n v="1"/>
        <n v="5" u="1"/>
        <n v="0" u="1"/>
      </sharedItems>
    </cacheField>
    <cacheField name="total_salary" numFmtId="0">
      <sharedItems containsSemiMixedTypes="0" containsString="0" containsNumber="1" containsInteger="1" minValue="49500" maxValue="60000"/>
    </cacheField>
    <cacheField name="total_fppg" numFmtId="0">
      <sharedItems containsSemiMixedTypes="0" containsString="0" containsNumber="1" minValue="29.79" maxValue="82.83"/>
    </cacheField>
    <cacheField name="total_ppts" numFmtId="0">
      <sharedItems containsSemiMixedTypes="0" containsString="0" containsNumber="1" minValue="15" maxValue="404.5"/>
    </cacheField>
    <cacheField name="total_pts" numFmtId="0">
      <sharedItems containsSemiMixedTypes="0" containsString="0" containsNumber="1" minValue="63.6" maxValue="186.77"/>
    </cacheField>
    <cacheField name="p2_name" numFmtId="0">
      <sharedItems/>
    </cacheField>
    <cacheField name="Column1" numFmtId="0">
      <sharedItems/>
    </cacheField>
    <cacheField name="p3_name" numFmtId="0">
      <sharedItems/>
    </cacheField>
    <cacheField name="p4_name" numFmtId="0">
      <sharedItems/>
    </cacheField>
    <cacheField name="p5_name" numFmtId="0">
      <sharedItems/>
    </cacheField>
    <cacheField name="p6_name" numFmtId="0">
      <sharedItems containsNonDate="0" containsString="0" containsBlank="1"/>
    </cacheField>
    <cacheField name="MVP Position2" numFmtId="0" databaseField="0">
      <fieldGroup base="7">
        <discretePr count="13">
          <x v="7"/>
          <x v="4"/>
          <x v="1"/>
          <x v="6"/>
          <x v="5"/>
          <x v="4"/>
          <x v="4"/>
          <x v="2"/>
          <x v="7"/>
          <x v="3"/>
          <x v="0"/>
          <x v="3"/>
          <x v="3"/>
        </discretePr>
        <groupItems count="8">
          <s v="WR3"/>
          <s v="WR1"/>
          <s v="D"/>
          <s v="Group2"/>
          <s v="Group1"/>
          <s v="WR2"/>
          <s v="K"/>
          <s v="Group3"/>
        </groupItems>
      </fieldGroup>
    </cacheField>
  </cacheFields>
  <extLst>
    <ext xmlns:x14="http://schemas.microsoft.com/office/spreadsheetml/2009/9/main" uri="{725AE2AE-9491-48be-B2B4-4EB974FC3084}">
      <x14:pivotCacheDefinition pivotCacheId="91892529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Meinhardt" refreshedDate="45972.953686111112" createdVersion="8" refreshedVersion="8" minRefreshableVersion="3" recordCount="70" xr:uid="{36375135-0F9B-43C1-844A-D73AE4E499AE}">
  <cacheSource type="worksheet">
    <worksheetSource ref="A1:AF71" sheet="Retro"/>
  </cacheSource>
  <cacheFields count="32">
    <cacheField name="Winnings" numFmtId="0">
      <sharedItems containsNonDate="0" containsString="0" containsBlank="1"/>
    </cacheField>
    <cacheField name="Winners" numFmtId="0">
      <sharedItems containsNonDate="0" containsString="0" containsBlank="1"/>
    </cacheField>
    <cacheField name="Place" numFmtId="0">
      <sharedItems containsNonDate="0" containsString="0" containsBlank="1"/>
    </cacheField>
    <cacheField name="HS Position" numFmtId="0">
      <sharedItems containsNonDate="0" containsString="0" containsBlank="1"/>
    </cacheField>
    <cacheField name="HS MVP" numFmtId="0">
      <sharedItems containsSemiMixedTypes="0" containsString="0" containsNumber="1" containsInteger="1" minValue="0" maxValue="1"/>
    </cacheField>
    <cacheField name="HS Wins" numFmtId="0">
      <sharedItems containsSemiMixedTypes="0" containsString="0" containsNumber="1" containsInteger="1" minValue="0" maxValue="1"/>
    </cacheField>
    <cacheField name="MVP Pts Rank" numFmtId="0">
      <sharedItems containsNonDate="0" containsString="0" containsBlank="1"/>
    </cacheField>
    <cacheField name="MVP Position" numFmtId="0">
      <sharedItems/>
    </cacheField>
    <cacheField name="Key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ID" numFmtId="0">
      <sharedItems containsSemiMixedTypes="0" containsString="0" containsNumber="1" containsInteger="1" minValue="1" maxValue="104479"/>
    </cacheField>
    <cacheField name="Group ID" numFmtId="0">
      <sharedItems containsSemiMixedTypes="0" containsString="0" containsNumber="1" containsInteger="1" minValue="1" maxValue="20896"/>
    </cacheField>
    <cacheField name="Key 2" numFmtId="0">
      <sharedItems containsSemiMixedTypes="0" containsString="0" containsNumber="1" containsInteger="1" minValue="1" maxValue="35" count="16">
        <n v="2"/>
        <n v="3"/>
        <n v="4"/>
        <n v="1"/>
        <n v="15"/>
        <n v="23"/>
        <n v="25"/>
        <n v="34"/>
        <n v="12"/>
        <n v="14"/>
        <n v="35"/>
        <n v="27"/>
        <n v="13"/>
        <n v="24"/>
        <n v="16" u="1"/>
        <n v="29" u="1"/>
      </sharedItems>
    </cacheField>
    <cacheField name="MVP Key" numFmtId="0">
      <sharedItems containsSemiMixedTypes="0" containsString="0" containsNumber="1" containsInteger="1" minValue="1" maxValue="14"/>
    </cacheField>
    <cacheField name="LS Key" numFmtId="0">
      <sharedItems containsSemiMixedTypes="0" containsString="0" containsNumber="1" containsInteger="1" minValue="8" maxValue="41"/>
    </cacheField>
    <cacheField name="MVP_pos" numFmtId="0">
      <sharedItems/>
    </cacheField>
    <cacheField name="p2_pos" numFmtId="0">
      <sharedItems/>
    </cacheField>
    <cacheField name="p3_pos" numFmtId="0">
      <sharedItems/>
    </cacheField>
    <cacheField name="p4_pos" numFmtId="0">
      <sharedItems/>
    </cacheField>
    <cacheField name="p5_pos" numFmtId="0">
      <sharedItems/>
    </cacheField>
    <cacheField name="p6_pos" numFmtId="0">
      <sharedItems containsNonDate="0" containsString="0" containsBlank="1"/>
    </cacheField>
    <cacheField name="select" numFmtId="0">
      <sharedItems containsNonDate="0" containsString="0" containsBlank="1"/>
    </cacheField>
    <cacheField name="team_cnt" numFmtId="0">
      <sharedItems containsSemiMixedTypes="0" containsString="0" containsNumber="1" containsInteger="1" minValue="1" maxValue="4"/>
    </cacheField>
    <cacheField name="total_salary" numFmtId="0">
      <sharedItems containsSemiMixedTypes="0" containsString="0" containsNumber="1" containsInteger="1" minValue="49500" maxValue="60000"/>
    </cacheField>
    <cacheField name="total_fppg" numFmtId="0">
      <sharedItems containsSemiMixedTypes="0" containsString="0" containsNumber="1" minValue="29.79" maxValue="82.83"/>
    </cacheField>
    <cacheField name="total_ppts" numFmtId="0">
      <sharedItems containsSemiMixedTypes="0" containsString="0" containsNumber="1" minValue="15" maxValue="404.5"/>
    </cacheField>
    <cacheField name="total_pts" numFmtId="0">
      <sharedItems containsSemiMixedTypes="0" containsString="0" containsNumber="1" minValue="63.6" maxValue="186.77"/>
    </cacheField>
    <cacheField name="p2_name" numFmtId="0">
      <sharedItems/>
    </cacheField>
    <cacheField name="Column1" numFmtId="0">
      <sharedItems/>
    </cacheField>
    <cacheField name="p3_name" numFmtId="0">
      <sharedItems/>
    </cacheField>
    <cacheField name="p4_name" numFmtId="0">
      <sharedItems/>
    </cacheField>
    <cacheField name="p5_name" numFmtId="0">
      <sharedItems/>
    </cacheField>
    <cacheField name="p6_nam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m/>
    <m/>
    <m/>
    <m/>
    <n v="0"/>
    <n v="0"/>
    <x v="0"/>
    <x v="0"/>
    <x v="0"/>
    <n v="21341"/>
    <n v="4269"/>
    <x v="0"/>
    <x v="0"/>
    <x v="0"/>
    <x v="0"/>
    <s v="RB:KC"/>
    <s v="WR1:KC"/>
    <s v="WR2:KC"/>
    <s v="TE:BAL"/>
    <m/>
    <m/>
    <x v="0"/>
    <n v="56000"/>
    <n v="52.94"/>
    <n v="15"/>
    <n v="118.18"/>
    <s v="105733-63115:Lamar Jackson"/>
    <s v="105733-92575:Isiah Pacheco"/>
    <s v="105733-111311:Rashee Rice"/>
    <s v="105733-158974:Xavier Worthy"/>
    <s v="105733-87260:Isaiah Likely"/>
    <m/>
  </r>
  <r>
    <m/>
    <m/>
    <m/>
    <m/>
    <n v="0"/>
    <n v="0"/>
    <x v="0"/>
    <x v="1"/>
    <x v="1"/>
    <n v="18307"/>
    <n v="3662"/>
    <x v="1"/>
    <x v="1"/>
    <x v="1"/>
    <x v="1"/>
    <s v="WR1:PHI"/>
    <s v="WR2:PHI"/>
    <s v="WR3:GB"/>
    <s v="K:GB"/>
    <m/>
    <m/>
    <x v="1"/>
    <n v="57500"/>
    <n v="51.15"/>
    <n v="59.95"/>
    <n v="133.19999999999999"/>
    <s v="106557-64401:Saquon Barkley"/>
    <s v="106557-72846:A.J. Brown"/>
    <s v="106557-90576:DeVonta Smith"/>
    <s v="106557-89455:Jayden Reed"/>
    <s v="106557-85622:Brayden Narveson"/>
    <m/>
  </r>
  <r>
    <m/>
    <m/>
    <m/>
    <m/>
    <n v="0"/>
    <n v="0"/>
    <x v="0"/>
    <x v="2"/>
    <x v="2"/>
    <n v="46488"/>
    <n v="9298"/>
    <x v="2"/>
    <x v="2"/>
    <x v="2"/>
    <x v="2"/>
    <s v="QB:LAR"/>
    <s v="RB2:DET"/>
    <s v="WR2:DET"/>
    <s v="RB1:DET"/>
    <m/>
    <m/>
    <x v="0"/>
    <n v="54000"/>
    <n v="61.11"/>
    <n v="61.11"/>
    <n v="116.78"/>
    <s v="106609-79970:Cooper Kupp"/>
    <s v="106609-6654:Matthew Stafford"/>
    <s v="106609-129368:Jahmyr Gibbs"/>
    <s v="106609-111631:Jameson Williams"/>
    <s v="106609-73273:David Montgomery"/>
    <m/>
  </r>
  <r>
    <m/>
    <m/>
    <m/>
    <m/>
    <n v="0"/>
    <n v="1"/>
    <x v="0"/>
    <x v="3"/>
    <x v="3"/>
    <n v="7478"/>
    <n v="1496"/>
    <x v="3"/>
    <x v="3"/>
    <x v="3"/>
    <x v="3"/>
    <s v="RB:NYJ"/>
    <s v="WR1:SF"/>
    <s v="RB2:SF"/>
    <s v="WR3:NYJ"/>
    <m/>
    <m/>
    <x v="0"/>
    <n v="49500"/>
    <n v="42.83"/>
    <n v="42.83"/>
    <n v="119.6"/>
    <s v="106699-91372:Jake Moody"/>
    <s v="106699-103064:Breece Hall"/>
    <s v="106699-56018:Deebo Samuel Sr."/>
    <s v="106699-86875:Jordan Mason"/>
    <s v="106699-56809:Allen Lazard"/>
    <m/>
  </r>
  <r>
    <m/>
    <m/>
    <m/>
    <m/>
    <n v="1"/>
    <n v="0"/>
    <x v="0"/>
    <x v="0"/>
    <x v="3"/>
    <n v="1876"/>
    <n v="376"/>
    <x v="3"/>
    <x v="4"/>
    <x v="4"/>
    <x v="4"/>
    <s v="QB:ATL"/>
    <s v="WR1:PHI"/>
    <s v="K:ATL"/>
    <s v="WR2:ATL"/>
    <m/>
    <m/>
    <x v="0"/>
    <n v="59500"/>
    <n v="44.52"/>
    <n v="44.52"/>
    <n v="98.17"/>
    <s v="106989-69531:Jalen Hurts"/>
    <s v="106989-22038:Kirk Cousins"/>
    <s v="106989-90576:DeVonta Smith"/>
    <s v="106989-53212:Younghoe Koo"/>
    <s v="106989-69777:Darnell Mooney"/>
    <m/>
  </r>
  <r>
    <m/>
    <m/>
    <m/>
    <m/>
    <n v="0"/>
    <n v="1"/>
    <x v="0"/>
    <x v="1"/>
    <x v="3"/>
    <n v="8763"/>
    <n v="1753"/>
    <x v="3"/>
    <x v="5"/>
    <x v="3"/>
    <x v="5"/>
    <s v="QB:BUF"/>
    <s v="RB1:MIA"/>
    <s v="D:BUF"/>
    <s v="TE:MIA"/>
    <m/>
    <m/>
    <x v="1"/>
    <n v="57500"/>
    <n v="69.680000000000007"/>
    <n v="38"/>
    <n v="104.06"/>
    <s v="106717-91626:James Cook"/>
    <s v="106717-62239:Josh Allen"/>
    <s v="106717-138820:De'Von Achane"/>
    <s v="106717-12526:Buffalo Bills"/>
    <s v="106717-48116:Jonnu Smith"/>
    <m/>
  </r>
  <r>
    <m/>
    <m/>
    <m/>
    <m/>
    <n v="0"/>
    <n v="1"/>
    <x v="0"/>
    <x v="4"/>
    <x v="3"/>
    <n v="7957"/>
    <n v="1592"/>
    <x v="3"/>
    <x v="6"/>
    <x v="5"/>
    <x v="6"/>
    <s v="QB:HOU"/>
    <s v="K:CHI"/>
    <s v="K:HOU"/>
    <s v="D:HOU"/>
    <m/>
    <m/>
    <x v="2"/>
    <n v="56000"/>
    <n v="70.36"/>
    <n v="104.3"/>
    <n v="100.05"/>
    <s v="106876-91419:Nico Collins"/>
    <s v="106876-129471:C.J. Stroud"/>
    <s v="106876-33714:Cairo Santos"/>
    <s v="106876-29932:Ka'imi Fairbairn"/>
    <s v="106876-12556:Houston Texans"/>
    <m/>
  </r>
  <r>
    <m/>
    <m/>
    <m/>
    <m/>
    <n v="1"/>
    <n v="0"/>
    <x v="0"/>
    <x v="0"/>
    <x v="3"/>
    <n v="2556"/>
    <n v="512"/>
    <x v="3"/>
    <x v="4"/>
    <x v="6"/>
    <x v="7"/>
    <s v="RB:BUF"/>
    <s v="WR2:BUF"/>
    <s v="WR3:JAC"/>
    <s v="RB3:BUF"/>
    <m/>
    <m/>
    <x v="2"/>
    <n v="59000"/>
    <n v="54.42"/>
    <n v="108.8"/>
    <n v="103.28"/>
    <s v="107260-62239:Josh Allen"/>
    <s v="107260-91626:James Cook"/>
    <s v="107260-86518:Khalil Shakir"/>
    <s v="107260-60858:Christian Kirk"/>
    <s v="107260-63050:Ty Johnson"/>
    <m/>
  </r>
  <r>
    <m/>
    <m/>
    <m/>
    <m/>
    <n v="0"/>
    <n v="1"/>
    <x v="0"/>
    <x v="2"/>
    <x v="3"/>
    <n v="3812"/>
    <n v="763"/>
    <x v="3"/>
    <x v="1"/>
    <x v="7"/>
    <x v="8"/>
    <s v="QB:KC"/>
    <s v="WR1:ATL"/>
    <s v="WR2:ATL"/>
    <s v="K:KC"/>
    <m/>
    <m/>
    <x v="1"/>
    <n v="60000"/>
    <n v="58.79"/>
    <n v="114.6"/>
    <n v="95.83"/>
    <s v="107208-111311:Rashee Rice"/>
    <s v="107208-57439:Patrick Mahomes"/>
    <s v="107208-112745:Drake London"/>
    <s v="107208-69777:Darnell Mooney"/>
    <s v="107208-41642:Harrison Butker"/>
    <m/>
  </r>
  <r>
    <m/>
    <m/>
    <m/>
    <m/>
    <n v="0"/>
    <n v="1"/>
    <x v="0"/>
    <x v="0"/>
    <x v="3"/>
    <n v="8492"/>
    <n v="1699"/>
    <x v="3"/>
    <x v="6"/>
    <x v="8"/>
    <x v="9"/>
    <s v="RB1:NYJ"/>
    <s v="WR2:NYJ"/>
    <s v="D:NYJ"/>
    <s v="WR3:NE"/>
    <m/>
    <m/>
    <x v="2"/>
    <n v="56500"/>
    <n v="52.41"/>
    <n v="83.1"/>
    <n v="87.46"/>
    <s v="107022-6894:Aaron Rodgers"/>
    <s v="107022-103064:Breece Hall"/>
    <s v="107022-56809:Allen Lazard"/>
    <s v="107022-12544:New York Jets"/>
    <s v="107022-111876:DeMario Douglas"/>
    <m/>
  </r>
  <r>
    <m/>
    <m/>
    <m/>
    <m/>
    <n v="1"/>
    <n v="0"/>
    <x v="0"/>
    <x v="2"/>
    <x v="3"/>
    <n v="1"/>
    <n v="1"/>
    <x v="3"/>
    <x v="4"/>
    <x v="9"/>
    <x v="10"/>
    <s v="QB:WAS"/>
    <s v="QB:CIN"/>
    <s v="WR1:WAS"/>
    <s v="RB3:WAS"/>
    <m/>
    <m/>
    <x v="0"/>
    <n v="60000"/>
    <n v="44.74"/>
    <n v="82.8"/>
    <n v="122.22"/>
    <s v="107261-85701:Ja'Marr Chase"/>
    <s v="107261-102785:Jayden Daniels"/>
    <s v="107261-63336:Joe Burrow"/>
    <s v="107261-56250:Terry McLaurin"/>
    <s v="107261-56648:Jeremy McNichols"/>
    <m/>
  </r>
  <r>
    <m/>
    <m/>
    <m/>
    <m/>
    <n v="0"/>
    <n v="0"/>
    <x v="0"/>
    <x v="1"/>
    <x v="0"/>
    <n v="32747"/>
    <n v="6550"/>
    <x v="0"/>
    <x v="6"/>
    <x v="7"/>
    <x v="11"/>
    <s v="QB:BAL"/>
    <s v="WR1:BUF"/>
    <s v="D:BAL"/>
    <s v="RB:BAL"/>
    <m/>
    <m/>
    <x v="2"/>
    <n v="58500"/>
    <n v="67.39"/>
    <n v="67.39"/>
    <n v="115.54"/>
    <s v="107485-39280:Derrick Henry"/>
    <s v="107485-63115:Lamar Jackson"/>
    <s v="107485-86518:Khalil Shakir"/>
    <s v="107485-12555:Baltimore Ravens"/>
    <s v="107485-71521:Justice Hill"/>
    <m/>
  </r>
  <r>
    <m/>
    <m/>
    <m/>
    <m/>
    <n v="0"/>
    <n v="0"/>
    <x v="0"/>
    <x v="2"/>
    <x v="0"/>
    <n v="14371"/>
    <n v="2875"/>
    <x v="0"/>
    <x v="0"/>
    <x v="1"/>
    <x v="12"/>
    <s v="WR1:DAL"/>
    <s v="WR2:NYG"/>
    <s v="K:NYG"/>
    <s v="RB:DAL"/>
    <m/>
    <m/>
    <x v="1"/>
    <n v="56000"/>
    <n v="49.9"/>
    <n v="140.69999999999999"/>
    <n v="94.45"/>
    <s v="107283-151761:Malik Nabers"/>
    <s v="107283-86631:CeeDee Lamb"/>
    <s v="107283-103539:Wan'Dale Robinson"/>
    <s v="107283-55515:Greg Joseph"/>
    <s v="107283-72297:Rico Dowdle"/>
    <m/>
  </r>
  <r>
    <m/>
    <m/>
    <m/>
    <m/>
    <n v="0"/>
    <n v="0"/>
    <x v="0"/>
    <x v="2"/>
    <x v="0"/>
    <n v="14372"/>
    <n v="2875"/>
    <x v="0"/>
    <x v="6"/>
    <x v="1"/>
    <x v="13"/>
    <s v="WR1:NYG"/>
    <s v="WR2:NYG"/>
    <s v="K:NYG"/>
    <s v="RB:DAL"/>
    <m/>
    <m/>
    <x v="1"/>
    <n v="56000"/>
    <n v="49.9"/>
    <n v="140.69999999999999"/>
    <n v="94.45"/>
    <s v="107283-86631:CeeDee Lamb"/>
    <s v="107283-151761:Malik Nabers"/>
    <s v="107283-103539:Wan'Dale Robinson"/>
    <s v="107283-55515:Greg Joseph"/>
    <s v="107283-72297:Rico Dowdle"/>
    <m/>
  </r>
  <r>
    <m/>
    <m/>
    <m/>
    <m/>
    <n v="0"/>
    <n v="0"/>
    <x v="0"/>
    <x v="1"/>
    <x v="0"/>
    <n v="47949"/>
    <n v="9590"/>
    <x v="0"/>
    <x v="7"/>
    <x v="3"/>
    <x v="14"/>
    <s v="RB:DET"/>
    <s v="QB:SEA"/>
    <s v="QB:DET"/>
    <s v="TE:SEA"/>
    <m/>
    <m/>
    <x v="0"/>
    <n v="57500"/>
    <n v="70.569999999999993"/>
    <n v="155.30000000000001"/>
    <n v="129.18"/>
    <s v="107540-103342:Kenneth Walker III"/>
    <s v="107540-129368:Jahmyr Gibbs"/>
    <s v="107540-26483:Geno Smith"/>
    <s v="107540-38435:Jared Goff"/>
    <s v="107540-137953:AJ Barner"/>
    <m/>
  </r>
  <r>
    <m/>
    <m/>
    <m/>
    <m/>
    <n v="0"/>
    <n v="0"/>
    <x v="0"/>
    <x v="1"/>
    <x v="2"/>
    <n v="104479"/>
    <n v="20896"/>
    <x v="2"/>
    <x v="7"/>
    <x v="10"/>
    <x v="14"/>
    <s v="QB:SEA"/>
    <s v="QB:DET"/>
    <s v="RB:DET"/>
    <s v="WR2:DET"/>
    <m/>
    <m/>
    <x v="0"/>
    <n v="59500"/>
    <n v="82.83"/>
    <n v="191.7"/>
    <n v="129.18"/>
    <s v="107540-103342:Kenneth Walker III"/>
    <s v="107540-26483:Geno Smith"/>
    <s v="107540-38435:Jared Goff"/>
    <s v="107540-73273:David Montgomery"/>
    <s v="107540-111631:Jameson Williams"/>
    <m/>
  </r>
  <r>
    <m/>
    <m/>
    <m/>
    <m/>
    <n v="0"/>
    <n v="0"/>
    <x v="0"/>
    <x v="3"/>
    <x v="1"/>
    <n v="46009"/>
    <n v="9202"/>
    <x v="1"/>
    <x v="3"/>
    <x v="0"/>
    <x v="15"/>
    <s v="QB:MIA"/>
    <s v="RB:TEN"/>
    <s v="D:TEN"/>
    <s v="RB:TEN"/>
    <m/>
    <m/>
    <x v="3"/>
    <n v="53000"/>
    <n v="29.79"/>
    <n v="86.3"/>
    <n v="86.54"/>
    <s v="107539-6642:Nick Folk"/>
    <s v="107539-70051:Tyler Huntley"/>
    <s v="107539-63759:Tony Pollard"/>
    <s v="107539-12534:Tennessee Titans"/>
    <s v="107539-107293:Tyjae Spears"/>
    <m/>
  </r>
  <r>
    <m/>
    <m/>
    <m/>
    <m/>
    <n v="0"/>
    <n v="0"/>
    <x v="0"/>
    <x v="0"/>
    <x v="0"/>
    <n v="70436"/>
    <n v="14088"/>
    <x v="0"/>
    <x v="0"/>
    <x v="6"/>
    <x v="16"/>
    <s v="QB:PIT"/>
    <s v="RB:DAL"/>
    <s v="WR2:DAL"/>
    <s v="TE3:PIT"/>
    <m/>
    <m/>
    <x v="1"/>
    <n v="57500"/>
    <n v="54.07"/>
    <n v="208.2"/>
    <n v="93.91"/>
    <s v="107769-31716:Dak Prescott"/>
    <s v="107769-91591:Justin Fields"/>
    <s v="107769-72297:Rico Dowdle"/>
    <s v="107769-88548:Jalen Tolbert"/>
    <s v="107769-92882:Connor Heyward"/>
    <m/>
  </r>
  <r>
    <m/>
    <m/>
    <m/>
    <m/>
    <n v="0"/>
    <n v="0"/>
    <x v="0"/>
    <x v="1"/>
    <x v="0"/>
    <n v="45697"/>
    <n v="9140"/>
    <x v="0"/>
    <x v="5"/>
    <x v="4"/>
    <x v="17"/>
    <s v="QB:KC"/>
    <s v="WR2:NO"/>
    <s v="K:KC"/>
    <s v="WR3:KC"/>
    <m/>
    <m/>
    <x v="2"/>
    <n v="54000"/>
    <n v="49.94"/>
    <n v="162.6"/>
    <n v="99.34"/>
    <s v="107841-45229:Kareem Hunt"/>
    <s v="107841-57439:Patrick Mahomes"/>
    <s v="107841-170287:Rashid Shaheed"/>
    <s v="107841-41642:Harrison Butker"/>
    <s v="107841-55987:JuJu Smith-Schuster"/>
    <m/>
  </r>
  <r>
    <m/>
    <m/>
    <m/>
    <m/>
    <n v="0"/>
    <n v="1"/>
    <x v="0"/>
    <x v="0"/>
    <x v="3"/>
    <n v="4612"/>
    <n v="923"/>
    <x v="3"/>
    <x v="1"/>
    <x v="1"/>
    <x v="18"/>
    <s v="QB:TB"/>
    <s v="WR1:ATL"/>
    <s v="K:ATL"/>
    <s v="WR2:ATL"/>
    <m/>
    <m/>
    <x v="3"/>
    <n v="58500"/>
    <n v="64.06"/>
    <n v="253.3"/>
    <n v="158.34"/>
    <s v="107555-22038:Kirk Cousins"/>
    <s v="107555-41535:Baker Mayfield"/>
    <s v="107555-112745:Drake London"/>
    <s v="107555-53212:Younghoe Koo"/>
    <s v="107555-69777:Darnell Mooney"/>
    <m/>
  </r>
  <r>
    <m/>
    <m/>
    <m/>
    <m/>
    <n v="0"/>
    <n v="0"/>
    <x v="0"/>
    <x v="2"/>
    <x v="0"/>
    <n v="16841"/>
    <n v="3369"/>
    <x v="0"/>
    <x v="0"/>
    <x v="9"/>
    <x v="19"/>
    <s v="RB1:NYJ"/>
    <s v="QB:NYJ"/>
    <s v="WR2:NYJ"/>
    <s v="RB3:BUF"/>
    <m/>
    <m/>
    <x v="2"/>
    <n v="58500"/>
    <n v="53.52"/>
    <n v="264.60000000000002"/>
    <n v="116.81"/>
    <s v="107899-103564:Garrett Wilson"/>
    <s v="107899-103064:Breece Hall"/>
    <s v="107899-6894:Aaron Rodgers"/>
    <s v="107899-56809:Allen Lazard"/>
    <s v="107899-103694:Ray Davis"/>
    <m/>
  </r>
  <r>
    <m/>
    <m/>
    <m/>
    <m/>
    <n v="0"/>
    <n v="0"/>
    <x v="0"/>
    <x v="0"/>
    <x v="0"/>
    <n v="11066"/>
    <n v="2214"/>
    <x v="0"/>
    <x v="0"/>
    <x v="11"/>
    <x v="20"/>
    <s v="QB:NYG"/>
    <s v="RB:CIN Q"/>
    <s v="RB1:NYG"/>
    <s v="WR2:NYG"/>
    <m/>
    <m/>
    <x v="0"/>
    <n v="58500"/>
    <n v="61.16"/>
    <n v="293.8"/>
    <n v="84.33"/>
    <s v="108048-63336:Joe Burrow"/>
    <s v="108048-63519:Daniel Jones"/>
    <s v="108048-89493:Chase Brown"/>
    <s v="108048-86153:Tyrone Tracy Jr."/>
    <s v="108048-63819:Darius Slayton"/>
    <m/>
  </r>
  <r>
    <m/>
    <m/>
    <m/>
    <m/>
    <n v="0"/>
    <n v="0"/>
    <x v="0"/>
    <x v="0"/>
    <x v="0"/>
    <n v="38122"/>
    <n v="7625"/>
    <x v="0"/>
    <x v="1"/>
    <x v="2"/>
    <x v="21"/>
    <s v="QB:SEA"/>
    <s v="WR1:SF"/>
    <s v="TE:SF"/>
    <s v="WR3:SEA"/>
    <m/>
    <m/>
    <x v="0"/>
    <n v="60000"/>
    <n v="68.98"/>
    <n v="308.8"/>
    <n v="110.63"/>
    <s v="107861-85607:Brock Purdy"/>
    <s v="107861-26483:Geno Smith"/>
    <s v="107861-56018:Deebo Samuel Sr."/>
    <s v="107861-39793:George Kittle"/>
    <s v="107861-27050:Tyler Lockett"/>
    <m/>
  </r>
  <r>
    <m/>
    <m/>
    <m/>
    <m/>
    <n v="1"/>
    <n v="0"/>
    <x v="0"/>
    <x v="0"/>
    <x v="3"/>
    <n v="3466"/>
    <n v="694"/>
    <x v="3"/>
    <x v="4"/>
    <x v="0"/>
    <x v="0"/>
    <s v="QB:TB"/>
    <s v="RB2:TB Q"/>
    <s v="TE1:BAL"/>
    <s v="WR2:BAL"/>
    <m/>
    <m/>
    <x v="1"/>
    <n v="58500"/>
    <n v="71.23"/>
    <n v="404.5"/>
    <n v="150.9"/>
    <s v="108397-63115:Lamar Jackson"/>
    <s v="108397-41535:Baker Mayfield"/>
    <s v="108397-137902:Rachaad White"/>
    <s v="108397-52436:Mark Andrews"/>
    <s v="108397-85845:Rashod Bateman"/>
    <m/>
  </r>
  <r>
    <m/>
    <m/>
    <m/>
    <m/>
    <n v="0"/>
    <n v="0"/>
    <x v="0"/>
    <x v="5"/>
    <x v="0"/>
    <n v="40347"/>
    <n v="8070"/>
    <x v="0"/>
    <x v="1"/>
    <x v="8"/>
    <x v="22"/>
    <s v="QB:DEN"/>
    <s v="K:DEN"/>
    <s v="D:DEN"/>
    <s v="WR3:NO Q"/>
    <m/>
    <m/>
    <x v="2"/>
    <n v="50500"/>
    <n v="43.01"/>
    <n v="255.5"/>
    <n v="103.66"/>
    <s v="108145-93541:Javonte Williams"/>
    <s v="108145-102965:Bo Nix"/>
    <s v="108145-48380:Wil Lutz"/>
    <s v="108145-12531:Denver Broncos"/>
    <s v="108145-69581:Cedrick Wilson Jr."/>
    <m/>
  </r>
  <r>
    <m/>
    <m/>
    <m/>
    <m/>
    <n v="1"/>
    <n v="0"/>
    <x v="0"/>
    <x v="5"/>
    <x v="3"/>
    <n v="3301"/>
    <n v="661"/>
    <x v="3"/>
    <x v="4"/>
    <x v="0"/>
    <x v="23"/>
    <s v="QB2:PIT"/>
    <s v="RB1:PIT"/>
    <s v="WR1:PIT"/>
    <s v="WR3:PIT"/>
    <m/>
    <m/>
    <x v="3"/>
    <n v="59500"/>
    <n v="53.51"/>
    <n v="315.89999999999998"/>
    <n v="114.31"/>
    <s v="108347-103064:Breece Hall"/>
    <s v="108347-22015:Russell Wilson"/>
    <s v="108347-90575:Najee Harris"/>
    <s v="108347-110246:George Pickens"/>
    <s v="108347-64581:Van Jefferson"/>
    <m/>
  </r>
  <r>
    <m/>
    <m/>
    <m/>
    <m/>
    <n v="1"/>
    <n v="0"/>
    <x v="0"/>
    <x v="2"/>
    <x v="3"/>
    <n v="3431"/>
    <n v="687"/>
    <x v="3"/>
    <x v="4"/>
    <x v="12"/>
    <x v="13"/>
    <s v="QB:SF"/>
    <s v="TE:SF Q"/>
    <s v="K:SF"/>
    <s v="RB2:SF"/>
    <m/>
    <m/>
    <x v="3"/>
    <n v="57000"/>
    <n v="55.02"/>
    <n v="55"/>
    <n v="138.65"/>
    <s v="108584-86631:CeeDee Lamb"/>
    <s v="108584-85607:Brock Purdy"/>
    <s v="108584-39793:George Kittle"/>
    <s v="108584-87705:Anders Carlson"/>
    <s v="108584-89644:Isaac Guerendo"/>
    <m/>
  </r>
  <r>
    <m/>
    <m/>
    <m/>
    <m/>
    <n v="0"/>
    <n v="1"/>
    <x v="0"/>
    <x v="0"/>
    <x v="3"/>
    <n v="288"/>
    <n v="58"/>
    <x v="3"/>
    <x v="1"/>
    <x v="13"/>
    <x v="24"/>
    <s v="WR1:MIN"/>
    <s v="RB1:LAR"/>
    <s v="WR3:LAR"/>
    <s v="WR5:LAR IR"/>
    <m/>
    <m/>
    <x v="3"/>
    <n v="59000"/>
    <n v="57.91"/>
    <n v="307.5"/>
    <n v="111.34"/>
    <s v="108416-6654:Matthew Stafford"/>
    <s v="108416-85671:Justin Jefferson"/>
    <s v="108416-104433:Kyren Williams"/>
    <s v="108416-38264:Demarcus Robinson"/>
    <s v="108416-103020:Puka Nacua"/>
    <m/>
  </r>
  <r>
    <m/>
    <m/>
    <m/>
    <m/>
    <n v="0"/>
    <n v="0"/>
    <x v="0"/>
    <x v="6"/>
    <x v="2"/>
    <n v="57542"/>
    <n v="11509"/>
    <x v="2"/>
    <x v="8"/>
    <x v="3"/>
    <x v="25"/>
    <s v="RB1:PIT"/>
    <s v="D:PIT"/>
    <s v="WR3:NYG"/>
    <s v="WR3:PIT"/>
    <m/>
    <m/>
    <x v="1"/>
    <n v="49500"/>
    <n v="41.24"/>
    <n v="41.24"/>
    <n v="104.8"/>
    <s v="108707-86153:Tyrone Tracy Jr."/>
    <s v="108707-90575:Najee Harris"/>
    <s v="108707-12547:Pittsburgh Steelers"/>
    <s v="108707-63819:Darius Slayton"/>
    <s v="108707-90870:Calvin Austin III"/>
    <m/>
  </r>
  <r>
    <m/>
    <m/>
    <m/>
    <m/>
    <n v="0"/>
    <n v="0"/>
    <x v="0"/>
    <x v="2"/>
    <x v="2"/>
    <n v="24881"/>
    <n v="4977"/>
    <x v="2"/>
    <x v="1"/>
    <x v="7"/>
    <x v="19"/>
    <s v="QB:NYJ"/>
    <s v="WR1:HOU"/>
    <s v="WR2:NYJ"/>
    <s v="D:NYJ"/>
    <m/>
    <m/>
    <x v="2"/>
    <n v="57500"/>
    <n v="52.11"/>
    <n v="52.11"/>
    <n v="109.79"/>
    <s v="108750-103564:Garrett Wilson"/>
    <s v="108750-6894:Aaron Rodgers"/>
    <s v="108750-129291:Tank Dell"/>
    <s v="108750-45889:Davante Adams"/>
    <s v="108750-12544:New York Jets"/>
    <m/>
  </r>
  <r>
    <m/>
    <m/>
    <m/>
    <m/>
    <n v="1"/>
    <n v="0"/>
    <x v="0"/>
    <x v="2"/>
    <x v="3"/>
    <n v="6371"/>
    <n v="1275"/>
    <x v="3"/>
    <x v="4"/>
    <x v="1"/>
    <x v="26"/>
    <s v="QB:MIN"/>
    <s v="WR2:MIN"/>
    <s v="D:IND"/>
    <s v="TE2:MIN"/>
    <m/>
    <m/>
    <x v="2"/>
    <n v="56000"/>
    <n v="53.37"/>
    <n v="53.37"/>
    <n v="96.52"/>
    <s v="108941-85671:Justin Jefferson"/>
    <s v="108941-63589:Sam Darnold"/>
    <s v="108941-129210:Jordan Addison"/>
    <s v="108941-12535:Indianapolis Colts"/>
    <s v="108941-63907:Josh Oliver"/>
    <m/>
  </r>
  <r>
    <m/>
    <m/>
    <m/>
    <m/>
    <n v="0"/>
    <n v="1"/>
    <x v="0"/>
    <x v="4"/>
    <x v="3"/>
    <n v="5964"/>
    <n v="1193"/>
    <x v="3"/>
    <x v="9"/>
    <x v="12"/>
    <x v="27"/>
    <s v="QB:KC"/>
    <s v="RB1:KC"/>
    <s v="TE:TB"/>
    <s v="RB2:KC"/>
    <m/>
    <m/>
    <x v="2"/>
    <n v="56500"/>
    <n v="49.75"/>
    <n v="39"/>
    <n v="111.84"/>
    <s v="109053-16606:DeAndre Hopkins"/>
    <s v="109053-57439:Patrick Mahomes"/>
    <s v="109053-45229:Kareem Hunt"/>
    <s v="109053-86811:Cade Otton"/>
    <s v="109053-52451:Samaje Perine"/>
    <m/>
  </r>
  <r>
    <m/>
    <m/>
    <m/>
    <m/>
    <n v="0"/>
    <n v="1"/>
    <x v="0"/>
    <x v="2"/>
    <x v="3"/>
    <n v="3418"/>
    <n v="684"/>
    <x v="3"/>
    <x v="1"/>
    <x v="14"/>
    <x v="10"/>
    <s v="QB:BAL"/>
    <s v="QB:CIN"/>
    <s v="TE1:BAL"/>
    <s v="WR5:BAL Q"/>
    <m/>
    <m/>
    <x v="1"/>
    <n v="58500"/>
    <n v="72.180000000000007"/>
    <n v="72.180000000000007"/>
    <n v="186.77"/>
    <s v="109087-85701:Ja'Marr Chase"/>
    <s v="109087-63115:Lamar Jackson"/>
    <s v="109087-63336:Joe Burrow"/>
    <s v="109087-52436:Mark Andrews"/>
    <s v="109087-87515:Tylan Wallace"/>
    <m/>
  </r>
  <r>
    <m/>
    <m/>
    <m/>
    <m/>
    <n v="0"/>
    <n v="1"/>
    <x v="0"/>
    <x v="5"/>
    <x v="3"/>
    <n v="2097"/>
    <n v="420"/>
    <x v="3"/>
    <x v="0"/>
    <x v="8"/>
    <x v="28"/>
    <s v="WR1:DET"/>
    <s v="TE:DET"/>
    <s v="K:HOU"/>
    <s v="WR3:HOU"/>
    <m/>
    <m/>
    <x v="0"/>
    <n v="55500"/>
    <n v="57.37"/>
    <n v="57.37"/>
    <n v="82"/>
    <s v="109259-52442:Joe Mixon"/>
    <s v="109259-86997:Amon-Ra St. Brown"/>
    <s v="109259-105646:Sam LaPorta"/>
    <s v="109259-29932:Ka'imi Fairbairn"/>
    <s v="109259-102696:John Metchie III"/>
    <m/>
  </r>
  <r>
    <m/>
    <m/>
    <m/>
    <m/>
    <n v="0"/>
    <n v="0"/>
    <x v="0"/>
    <x v="3"/>
    <x v="0"/>
    <n v="39004"/>
    <n v="7801"/>
    <x v="0"/>
    <x v="10"/>
    <x v="15"/>
    <x v="29"/>
    <s v="WR1:LAR"/>
    <s v="WR2:LAR"/>
    <s v="QB:LAR"/>
    <s v="K:MIA"/>
    <m/>
    <m/>
    <x v="2"/>
    <n v="58500"/>
    <n v="52.65"/>
    <n v="35"/>
    <n v="80.02"/>
    <s v="109359-133172:Joshua Karty"/>
    <s v="109359-79970:Cooper Kupp"/>
    <s v="109359-103020:Puka Nacua"/>
    <s v="109359-6654:Matthew Stafford"/>
    <s v="109359-52767:Jason Sanders"/>
    <m/>
  </r>
  <r>
    <m/>
    <m/>
    <m/>
    <m/>
    <n v="1"/>
    <n v="0"/>
    <x v="0"/>
    <x v="5"/>
    <x v="3"/>
    <n v="1221"/>
    <n v="245"/>
    <x v="3"/>
    <x v="4"/>
    <x v="4"/>
    <x v="30"/>
    <s v="QB:PHI"/>
    <s v="RB1:WAS"/>
    <s v="RB2:WAS"/>
    <s v="TE1:WAS"/>
    <m/>
    <m/>
    <x v="0"/>
    <n v="59500"/>
    <n v="76.239999999999995"/>
    <n v="76.239999999999995"/>
    <n v="115.44"/>
    <s v="109392-64401:Saquon Barkley"/>
    <s v="109392-69531:Jalen Hurts"/>
    <s v="109392-90562:Brian Robinson Jr."/>
    <s v="109392-80001:Austin Ekeler"/>
    <s v="109392-29780:Zach Ertz"/>
    <m/>
  </r>
  <r>
    <m/>
    <m/>
    <m/>
    <m/>
    <n v="0"/>
    <n v="0"/>
    <x v="0"/>
    <x v="0"/>
    <x v="0"/>
    <n v="27326"/>
    <n v="5466"/>
    <x v="0"/>
    <x v="0"/>
    <x v="0"/>
    <x v="20"/>
    <s v="QB:LAC"/>
    <s v="WR2:CIN"/>
    <s v="WR1:LAC"/>
    <s v="TE1:LAC"/>
    <m/>
    <m/>
    <x v="0"/>
    <n v="59500"/>
    <n v="66.37"/>
    <n v="66.37"/>
    <n v="135.04"/>
    <s v="109589-63336:Joe Burrow"/>
    <s v="109589-69189:Justin Herbert"/>
    <s v="109589-89981:Tee Higgins"/>
    <s v="109589-133472:Ladd McConkey"/>
    <s v="109589-56708:Will Dissly"/>
    <m/>
  </r>
  <r>
    <m/>
    <m/>
    <m/>
    <m/>
    <n v="1"/>
    <n v="0"/>
    <x v="0"/>
    <x v="5"/>
    <x v="3"/>
    <n v="7371"/>
    <n v="1475"/>
    <x v="3"/>
    <x v="4"/>
    <x v="12"/>
    <x v="28"/>
    <s v="WR1:DAL Q"/>
    <s v="QB:DAL"/>
    <s v="D:HOU"/>
    <s v="WR3:DAL"/>
    <m/>
    <m/>
    <x v="0"/>
    <n v="59500"/>
    <n v="50.11"/>
    <n v="50.11"/>
    <n v="126.01"/>
    <s v="109667-52442:Joe Mixon"/>
    <s v="109667-86631:CeeDee Lamb"/>
    <s v="109667-44715:Cooper Rush"/>
    <s v="109667-12556:Houston Texans"/>
    <s v="109667-60957:KaVontae Turpin"/>
    <m/>
  </r>
  <r>
    <m/>
    <m/>
    <m/>
    <m/>
    <n v="0"/>
    <n v="1"/>
    <x v="0"/>
    <x v="5"/>
    <x v="3"/>
    <n v="1343"/>
    <n v="269"/>
    <x v="3"/>
    <x v="8"/>
    <x v="12"/>
    <x v="31"/>
    <s v="QB1:PIT"/>
    <s v="QB:CLE"/>
    <s v="RB2:PIT"/>
    <s v="WR3:PIT"/>
    <m/>
    <m/>
    <x v="1"/>
    <n v="58500"/>
    <n v="44.55"/>
    <n v="44.55"/>
    <n v="85.21"/>
    <s v="109710-53562:Nick Chubb"/>
    <s v="109710-22015:Russell Wilson"/>
    <s v="109710-24849:Jameis Winston"/>
    <s v="109710-112057:Jaylen Warren"/>
    <s v="109710-90870:Calvin Austin III"/>
    <m/>
  </r>
  <r>
    <m/>
    <m/>
    <m/>
    <m/>
    <n v="1"/>
    <n v="0"/>
    <x v="0"/>
    <x v="5"/>
    <x v="3"/>
    <n v="5351"/>
    <n v="1071"/>
    <x v="4"/>
    <x v="4"/>
    <x v="7"/>
    <x v="30"/>
    <s v="WR1:PHI"/>
    <s v="QB:LAR"/>
    <s v="WR3:LAR"/>
    <s v="K:PHI"/>
    <m/>
    <m/>
    <x v="1"/>
    <n v="59000"/>
    <n v="67.31"/>
    <n v="67.31"/>
    <n v="134.41999999999999"/>
    <s v="109885-64401:Saquon Barkley"/>
    <s v="109885-72846:A.J. Brown"/>
    <s v="109885-6654:Matthew Stafford"/>
    <s v="109885-38264:Demarcus Robinson"/>
    <s v="109885-41235:Jake Elliott"/>
    <m/>
  </r>
  <r>
    <m/>
    <m/>
    <m/>
    <m/>
    <n v="0"/>
    <n v="0"/>
    <x v="0"/>
    <x v="0"/>
    <x v="0"/>
    <n v="24006"/>
    <n v="4802"/>
    <x v="5"/>
    <x v="0"/>
    <x v="14"/>
    <x v="0"/>
    <s v="QB:LAC"/>
    <s v="TE1:BAL"/>
    <s v="K:LAC"/>
    <s v="RB2:BAL"/>
    <m/>
    <m/>
    <x v="1"/>
    <n v="54500"/>
    <n v="65.95"/>
    <n v="65.95"/>
    <n v="93.79"/>
    <s v="109995-63115:Lamar Jackson"/>
    <s v="109995-69189:Justin Herbert"/>
    <s v="109995-52436:Mark Andrews"/>
    <s v="109995-92496:Cameron Dicker"/>
    <s v="109995-71521:Justice Hill"/>
    <m/>
  </r>
  <r>
    <m/>
    <m/>
    <m/>
    <m/>
    <n v="0"/>
    <n v="0"/>
    <x v="0"/>
    <x v="0"/>
    <x v="0"/>
    <n v="22321"/>
    <n v="4465"/>
    <x v="5"/>
    <x v="0"/>
    <x v="15"/>
    <x v="32"/>
    <s v="RB1:GB"/>
    <s v="QB:GB"/>
    <s v="TE1:MIA"/>
    <s v="K:GB"/>
    <m/>
    <m/>
    <x v="0"/>
    <n v="59500"/>
    <n v="70.010000000000005"/>
    <n v="70.010000000000005"/>
    <n v="113.26"/>
    <s v="110092-90572:Tua Tagovailoa"/>
    <s v="110092-72731:Josh Jacobs"/>
    <s v="110092-69017:Jordan Love"/>
    <s v="110092-48116:Jonnu Smith"/>
    <s v="110092-26247:Brandon McManus"/>
    <m/>
  </r>
  <r>
    <m/>
    <m/>
    <m/>
    <m/>
    <n v="0"/>
    <n v="0"/>
    <x v="0"/>
    <x v="2"/>
    <x v="0"/>
    <n v="51703"/>
    <n v="10341"/>
    <x v="6"/>
    <x v="7"/>
    <x v="9"/>
    <x v="33"/>
    <s v="QB:CLE"/>
    <s v="TE:CLE"/>
    <s v="D:DEN"/>
    <s v="WR3:DEN"/>
    <m/>
    <m/>
    <x v="1"/>
    <n v="55000"/>
    <n v="42.16"/>
    <n v="42.16"/>
    <n v="160.58000000000001"/>
    <s v="110324-90561:Jerry Jeudy"/>
    <s v="110324-24849:Jameis Winston"/>
    <s v="110324-55335:David Njoku"/>
    <s v="110324-12531:Denver Broncos"/>
    <s v="110324-120093:Marvin Mims Jr."/>
    <m/>
  </r>
  <r>
    <m/>
    <m/>
    <m/>
    <m/>
    <n v="0"/>
    <n v="0"/>
    <x v="0"/>
    <x v="5"/>
    <x v="1"/>
    <n v="25303"/>
    <n v="5061"/>
    <x v="7"/>
    <x v="5"/>
    <x v="0"/>
    <x v="34"/>
    <s v="QB:GB"/>
    <s v="QB:DET"/>
    <s v="RB2:DET"/>
    <s v="WR3:DET"/>
    <m/>
    <m/>
    <x v="0"/>
    <n v="59000"/>
    <n v="73.03"/>
    <n v="73.03"/>
    <n v="110.66"/>
    <s v="110352-72731:Josh Jacobs"/>
    <s v="110352-69017:Jordan Love"/>
    <s v="110352-38435:Jared Goff"/>
    <s v="110352-73273:David Montgomery"/>
    <s v="110352-57091:Tim Patrick"/>
    <m/>
  </r>
  <r>
    <m/>
    <m/>
    <m/>
    <m/>
    <n v="0"/>
    <n v="1"/>
    <x v="0"/>
    <x v="3"/>
    <x v="3"/>
    <n v="3015"/>
    <n v="603"/>
    <x v="8"/>
    <x v="10"/>
    <x v="7"/>
    <x v="35"/>
    <s v="QB:KC"/>
    <s v="QB1:LAC"/>
    <s v="WR1:KC"/>
    <s v="WR1:LAC"/>
    <m/>
    <m/>
    <x v="1"/>
    <n v="59500"/>
    <n v="64.11"/>
    <n v="64.11"/>
    <n v="76.319999999999993"/>
    <s v="110543-57330:Matthew Wright"/>
    <s v="110543-57439:Patrick Mahomes"/>
    <s v="110543-69189:Justin Herbert"/>
    <s v="110543-16606:DeAndre Hopkins"/>
    <s v="110543-120639:Quentin Johnston"/>
    <m/>
  </r>
  <r>
    <m/>
    <m/>
    <m/>
    <m/>
    <n v="1"/>
    <n v="0"/>
    <x v="0"/>
    <x v="2"/>
    <x v="3"/>
    <n v="616"/>
    <n v="124"/>
    <x v="8"/>
    <x v="4"/>
    <x v="9"/>
    <x v="10"/>
    <s v="QB:CIN"/>
    <s v="RB1:CIN"/>
    <s v="RB1:DAL"/>
    <s v="TE2:CIN"/>
    <m/>
    <m/>
    <x v="2"/>
    <n v="60000"/>
    <n v="71.78"/>
    <n v="71.78"/>
    <n v="131.51"/>
    <s v="110656-85701:Ja'Marr Chase"/>
    <s v="110656-63336:Joe Burrow"/>
    <s v="110656-89493:Chase Brown"/>
    <s v="110656-72297:Rico Dowdle"/>
    <s v="110656-83117:Tanner Hudson"/>
    <m/>
  </r>
  <r>
    <m/>
    <m/>
    <m/>
    <m/>
    <n v="0"/>
    <n v="1"/>
    <x v="0"/>
    <x v="5"/>
    <x v="3"/>
    <n v="597"/>
    <n v="120"/>
    <x v="8"/>
    <x v="0"/>
    <x v="1"/>
    <x v="36"/>
    <s v="WR1:LAR"/>
    <s v="RB:SF Q"/>
    <s v="K:LAR"/>
    <s v="D:LAR"/>
    <m/>
    <m/>
    <x v="2"/>
    <n v="57500"/>
    <n v="52.16"/>
    <n v="52.16"/>
    <n v="71.599999999999994"/>
    <s v="110677-104433:Kyren Williams"/>
    <s v="110677-103020:Puka Nacua"/>
    <s v="110677-89644:Isaac Guerendo"/>
    <s v="110677-133172:Joshua Karty"/>
    <s v="110677-12538:Los Angeles Rams"/>
    <m/>
  </r>
  <r>
    <m/>
    <m/>
    <m/>
    <m/>
    <n v="0"/>
    <n v="1"/>
    <x v="0"/>
    <x v="7"/>
    <x v="3"/>
    <n v="6114"/>
    <n v="1223"/>
    <x v="9"/>
    <x v="3"/>
    <x v="5"/>
    <x v="37"/>
    <s v="RB1:ATL"/>
    <s v="WR1:ATL"/>
    <s v="QB:LV"/>
    <s v="RB3:LV"/>
    <m/>
    <m/>
    <x v="1"/>
    <n v="58000"/>
    <n v="42.54"/>
    <n v="42.54"/>
    <n v="89.02"/>
    <s v="110830-12525:Atlanta Falcons"/>
    <s v="110830-136855:Bijan Robinson"/>
    <s v="110830-112745:Drake London"/>
    <s v="110830-86278:Desmond Ridder"/>
    <s v="110830-27229:Ameer Abdullah"/>
    <m/>
  </r>
  <r>
    <m/>
    <m/>
    <m/>
    <m/>
    <n v="0"/>
    <n v="1"/>
    <x v="0"/>
    <x v="5"/>
    <x v="3"/>
    <n v="8637"/>
    <n v="1728"/>
    <x v="9"/>
    <x v="1"/>
    <x v="15"/>
    <x v="38"/>
    <s v="WR1:MIN"/>
    <s v="WR2:CHI"/>
    <s v="RB1:CHI Q"/>
    <s v="K:MIN"/>
    <m/>
    <m/>
    <x v="1"/>
    <n v="59000"/>
    <n v="59.9"/>
    <n v="59.9"/>
    <n v="84.8"/>
    <s v="110829-40442:Aaron Jones Sr."/>
    <s v="110829-85671:Justin Jefferson"/>
    <s v="110829-29253:Keenan Allen"/>
    <s v="110829-91598:D'Andre Swift"/>
    <s v="110829-102703:Will Reichard"/>
    <m/>
  </r>
  <r>
    <m/>
    <m/>
    <m/>
    <m/>
    <n v="0"/>
    <n v="1"/>
    <x v="0"/>
    <x v="0"/>
    <x v="3"/>
    <n v="1902"/>
    <n v="381"/>
    <x v="8"/>
    <x v="0"/>
    <x v="16"/>
    <x v="39"/>
    <s v="QB:DEN"/>
    <s v="RB1:LAC"/>
    <s v="K:DEN"/>
    <s v="RB3:LAC"/>
    <m/>
    <m/>
    <x v="0"/>
    <n v="57000"/>
    <n v="48.27"/>
    <n v="48.27"/>
    <n v="98.26"/>
    <s v="110933-69189:Justin Herbert"/>
    <s v="110933-102965:Bo Nix"/>
    <s v="110933-40167:Gus Edwards"/>
    <s v="110933-48380:Wil Lutz"/>
    <s v="110933-91361:Hassan Haskins"/>
    <m/>
  </r>
  <r>
    <m/>
    <m/>
    <m/>
    <m/>
    <n v="1"/>
    <n v="0"/>
    <x v="0"/>
    <x v="5"/>
    <x v="3"/>
    <n v="561"/>
    <n v="113"/>
    <x v="8"/>
    <x v="4"/>
    <x v="12"/>
    <x v="40"/>
    <s v="QB:BAL"/>
    <s v="WR1:BAL"/>
    <s v="D:BAL"/>
    <s v="RB2:PIT"/>
    <m/>
    <m/>
    <x v="2"/>
    <n v="59500"/>
    <n v="69.319999999999993"/>
    <n v="69.319999999999993"/>
    <n v="97.33"/>
    <s v="111066-39280:Derrick Henry"/>
    <s v="111066-63115:Lamar Jackson"/>
    <s v="111066-112295:Zay Flowers"/>
    <s v="111066-12555:Baltimore Ravens"/>
    <s v="111066-112057:Jaylen Warren"/>
    <m/>
  </r>
  <r>
    <m/>
    <m/>
    <m/>
    <m/>
    <n v="0"/>
    <n v="0"/>
    <x v="0"/>
    <x v="0"/>
    <x v="1"/>
    <n v="80596"/>
    <n v="16120"/>
    <x v="10"/>
    <x v="6"/>
    <x v="2"/>
    <x v="41"/>
    <s v="RB1:TB"/>
    <s v="QB:DAL"/>
    <s v="WR2:TB"/>
    <s v="K:DAL"/>
    <m/>
    <m/>
    <x v="1"/>
    <n v="58000"/>
    <n v="61.92"/>
    <n v="61.92"/>
    <n v="106.66"/>
    <s v="111129-41535:Baker Mayfield"/>
    <s v="111129-152664:Bucky Irving"/>
    <s v="111129-44715:Cooper Rush"/>
    <s v="111129-120042:Jalen McMillan"/>
    <s v="111129-189471:Brandon Aubrey"/>
    <m/>
  </r>
  <r>
    <m/>
    <m/>
    <m/>
    <m/>
    <n v="1"/>
    <n v="0"/>
    <x v="0"/>
    <x v="5"/>
    <x v="3"/>
    <n v="11486"/>
    <n v="2298"/>
    <x v="9"/>
    <x v="4"/>
    <x v="9"/>
    <x v="42"/>
    <s v="QB:NO"/>
    <s v="D:GB"/>
    <s v="K:GB"/>
    <s v="RB2:GB"/>
    <m/>
    <m/>
    <x v="2"/>
    <n v="52000"/>
    <n v="47.87"/>
    <n v="47.87"/>
    <n v="76.069999999999993"/>
    <s v="111201-72731:Josh Jacobs"/>
    <s v="111201-111557:Spencer Rattler"/>
    <s v="111201-12533:Green Bay Packers"/>
    <s v="111201-26247:Brandon McManus"/>
    <s v="111201-185861:Emanuel Wilson"/>
    <m/>
  </r>
  <r>
    <m/>
    <m/>
    <m/>
    <m/>
    <n v="0"/>
    <n v="1"/>
    <x v="0"/>
    <x v="0"/>
    <x v="3"/>
    <n v="2927"/>
    <n v="586"/>
    <x v="8"/>
    <x v="0"/>
    <x v="1"/>
    <x v="0"/>
    <s v="RB1:BAL"/>
    <s v="TE1:BAL"/>
    <s v="D:BAL"/>
    <s v="WR3:HOU"/>
    <m/>
    <m/>
    <x v="2"/>
    <n v="57000"/>
    <n v="64.58"/>
    <n v="64.58"/>
    <n v="108.73"/>
    <s v="111283-63115:Lamar Jackson"/>
    <s v="111283-39280:Derrick Henry"/>
    <s v="111283-52436:Mark Andrews"/>
    <s v="111283-12555:Baltimore Ravens"/>
    <s v="111283-102696:John Metchie III"/>
    <m/>
  </r>
  <r>
    <m/>
    <m/>
    <m/>
    <m/>
    <n v="0"/>
    <n v="0"/>
    <x v="0"/>
    <x v="7"/>
    <x v="0"/>
    <n v="12744"/>
    <n v="2549"/>
    <x v="11"/>
    <x v="10"/>
    <x v="4"/>
    <x v="43"/>
    <s v="QB:SEA"/>
    <s v="WR2:CHI"/>
    <s v="RB1:CHI"/>
    <s v="D:CHI"/>
    <m/>
    <m/>
    <x v="0"/>
    <n v="52500"/>
    <n v="54.37"/>
    <n v="54.37"/>
    <n v="63.6"/>
    <s v="111288-12550:Seattle Seahawks"/>
    <s v="111288-26483:Geno Smith"/>
    <s v="111288-63043:DJ Moore"/>
    <s v="111288-91598:D'Andre Swift"/>
    <s v="111288-12527:Chicago Bears"/>
    <m/>
  </r>
  <r>
    <m/>
    <m/>
    <m/>
    <m/>
    <n v="0"/>
    <n v="1"/>
    <x v="0"/>
    <x v="0"/>
    <x v="3"/>
    <n v="297"/>
    <n v="60"/>
    <x v="8"/>
    <x v="0"/>
    <x v="3"/>
    <x v="44"/>
    <s v="RB1:ATL"/>
    <s v="WR1:ATL"/>
    <s v="TE1:WAS"/>
    <s v="WR2:WAS"/>
    <m/>
    <m/>
    <x v="0"/>
    <n v="60000"/>
    <n v="63.88"/>
    <n v="63.88"/>
    <n v="135.57"/>
    <s v="111435-102785:Jayden Daniels"/>
    <s v="111435-136855:Bijan Robinson"/>
    <s v="111435-112745:Drake London"/>
    <s v="111435-29780:Zach Ertz"/>
    <s v="111435-64496:Olamide Zaccheaus"/>
    <m/>
  </r>
  <r>
    <m/>
    <m/>
    <m/>
    <m/>
    <n v="0"/>
    <n v="1"/>
    <x v="0"/>
    <x v="8"/>
    <x v="3"/>
    <n v="3982"/>
    <n v="797"/>
    <x v="12"/>
    <x v="6"/>
    <x v="3"/>
    <x v="45"/>
    <s v="QB:DET"/>
    <s v="WR2:DET"/>
    <s v="TE:DET"/>
    <s v="WR3:SF"/>
    <m/>
    <m/>
    <x v="1"/>
    <n v="59000"/>
    <n v="63.66"/>
    <n v="63.66"/>
    <n v="146.94"/>
    <s v="111516-85607:Brock Purdy"/>
    <s v="111516-38435:Jared Goff"/>
    <s v="111516-111631:Jameson Williams"/>
    <s v="111516-105646:Sam LaPorta"/>
    <s v="111516-102796:Ricky Pearsall"/>
    <m/>
  </r>
  <r>
    <m/>
    <m/>
    <m/>
    <m/>
    <n v="1"/>
    <n v="0"/>
    <x v="0"/>
    <x v="2"/>
    <x v="3"/>
    <n v="1116"/>
    <n v="224"/>
    <x v="8"/>
    <x v="4"/>
    <x v="5"/>
    <x v="10"/>
    <s v="QB:CIN"/>
    <s v="RB1:PIT"/>
    <s v="K:CIN"/>
    <s v="TE:PIT"/>
    <m/>
    <m/>
    <x v="1"/>
    <n v="59000"/>
    <n v="70.28"/>
    <n v="70.31"/>
    <n v="90.98"/>
    <s v="111590-85701:Ja'Marr Chase"/>
    <s v="111590-63336:Joe Burrow"/>
    <s v="111590-90575:Najee Harris"/>
    <s v="111590-102901:Cade York"/>
    <s v="111590-86244:Pat Freiermuth"/>
    <m/>
  </r>
  <r>
    <m/>
    <m/>
    <m/>
    <m/>
    <n v="0"/>
    <n v="0"/>
    <x v="0"/>
    <x v="5"/>
    <x v="0"/>
    <n v="19937"/>
    <n v="3988"/>
    <x v="13"/>
    <x v="1"/>
    <x v="7"/>
    <x v="46"/>
    <s v="QB:DET"/>
    <s v="WR1:DET"/>
    <s v="TE:DET"/>
    <s v="K:MIN"/>
    <m/>
    <m/>
    <x v="2"/>
    <n v="60000"/>
    <n v="75.94"/>
    <n v="75.94"/>
    <n v="112.49"/>
    <s v="111711-129368:Jahmyr Gibbs"/>
    <s v="111711-38435:Jared Goff"/>
    <s v="111711-86997:Amon-Ra St. Brown"/>
    <s v="111711-105646:Sam LaPorta"/>
    <s v="111711-102703:Will Reichard"/>
    <m/>
  </r>
  <r>
    <m/>
    <m/>
    <m/>
    <m/>
    <n v="0"/>
    <n v="1"/>
    <x v="0"/>
    <x v="2"/>
    <x v="3"/>
    <n v="7598"/>
    <n v="1520"/>
    <x v="12"/>
    <x v="5"/>
    <x v="7"/>
    <x v="47"/>
    <s v="WR1:HOU"/>
    <s v="RB1:HOU"/>
    <s v="K:HOU"/>
    <s v="D:HOU"/>
    <m/>
    <m/>
    <x v="2"/>
    <n v="59500"/>
    <n v="65.209999999999994"/>
    <n v="65.209999999999994"/>
    <n v="130.9"/>
    <s v="111869-133472:Ladd McConkey"/>
    <s v="111869-91419:Nico Collins"/>
    <s v="111869-52442:Joe Mixon"/>
    <s v="111869-29932:Ka'imi Fairbairn"/>
    <s v="111869-12556:Houston Texans"/>
    <m/>
  </r>
  <r>
    <m/>
    <m/>
    <m/>
    <m/>
    <n v="0"/>
    <n v="0"/>
    <x v="0"/>
    <x v="5"/>
    <x v="0"/>
    <n v="26176"/>
    <n v="5236"/>
    <x v="5"/>
    <x v="0"/>
    <x v="14"/>
    <x v="40"/>
    <s v="QB:PIT"/>
    <s v="WR1:PIT"/>
    <s v="RB2:BAL Q"/>
    <s v="WR2:PIT"/>
    <m/>
    <m/>
    <x v="0"/>
    <n v="57500"/>
    <n v="57.83"/>
    <n v="57.83"/>
    <n v="108.2"/>
    <s v="111870-39280:Derrick Henry"/>
    <s v="111870-22015:Russell Wilson"/>
    <s v="111870-110246:George Pickens"/>
    <s v="111870-71521:Justice Hill"/>
    <s v="111870-64581:Van Jefferson"/>
    <m/>
  </r>
  <r>
    <m/>
    <m/>
    <m/>
    <m/>
    <n v="1"/>
    <n v="0"/>
    <x v="0"/>
    <x v="8"/>
    <x v="3"/>
    <n v="2321"/>
    <n v="465"/>
    <x v="12"/>
    <x v="4"/>
    <x v="6"/>
    <x v="48"/>
    <s v="WR1:TB"/>
    <s v="WR1:WAS"/>
    <s v="RB2:WAS"/>
    <s v="WR4:WAS"/>
    <m/>
    <m/>
    <x v="2"/>
    <n v="57500"/>
    <n v="64.05"/>
    <n v="64.05"/>
    <n v="104.78"/>
    <s v="111899-102785:Jayden Daniels"/>
    <s v="111899-32384:Mike Evans"/>
    <s v="111899-56250:Terry McLaurin"/>
    <s v="111899-80001:Austin Ekeler"/>
    <s v="111899-93538:Dyami Brown"/>
    <m/>
  </r>
  <r>
    <m/>
    <m/>
    <m/>
    <m/>
    <n v="0"/>
    <n v="0"/>
    <x v="0"/>
    <x v="7"/>
    <x v="1"/>
    <n v="89780"/>
    <n v="17956"/>
    <x v="7"/>
    <x v="11"/>
    <x v="5"/>
    <x v="49"/>
    <s v="RB1:LAR"/>
    <s v="QB:MIN"/>
    <s v="QB:LAR"/>
    <s v="TE1:MIN"/>
    <m/>
    <m/>
    <x v="1"/>
    <n v="59000"/>
    <n v="64.17"/>
    <n v="64.17"/>
    <n v="95.06"/>
    <s v="111900-12538:Los Angeles Rams"/>
    <s v="111900-104433:Kyren Williams"/>
    <s v="111900-63589:Sam Darnold"/>
    <s v="111900-6654:Matthew Stafford"/>
    <s v="111900-71706:T.J. Hockenson"/>
    <m/>
  </r>
  <r>
    <m/>
    <m/>
    <m/>
    <m/>
    <n v="0"/>
    <n v="0"/>
    <x v="0"/>
    <x v="9"/>
    <x v="1"/>
    <n v="24647"/>
    <n v="4930"/>
    <x v="7"/>
    <x v="1"/>
    <x v="4"/>
    <x v="50"/>
    <s v="RB1:HOU"/>
    <s v="QB:HOU"/>
    <s v="RB1:KC"/>
    <s v="D:KC"/>
    <m/>
    <m/>
    <x v="0"/>
    <n v="59500"/>
    <n v="58.93"/>
    <n v="58.93"/>
    <n v="92.4"/>
    <s v="112103-33076:Travis Kelce"/>
    <s v="112103-52442:Joe Mixon"/>
    <s v="112103-129471:C.J. Stroud"/>
    <s v="112103-45229:Kareem Hunt"/>
    <s v="112103-12536:Kansas City Chiefs"/>
    <m/>
  </r>
  <r>
    <m/>
    <m/>
    <m/>
    <m/>
    <n v="1"/>
    <n v="0"/>
    <x v="0"/>
    <x v="5"/>
    <x v="3"/>
    <n v="1156"/>
    <n v="232"/>
    <x v="8"/>
    <x v="4"/>
    <x v="0"/>
    <x v="46"/>
    <s v="QB:WAS"/>
    <s v="RB1:WAS"/>
    <s v="D:WAS"/>
    <s v="WR3:WAS"/>
    <m/>
    <m/>
    <x v="3"/>
    <n v="58500"/>
    <n v="63.15"/>
    <n v="63.15"/>
    <n v="127.81"/>
    <s v="112094-129368:Jahmyr Gibbs"/>
    <s v="112094-102785:Jayden Daniels"/>
    <s v="112094-90562:Brian Robinson Jr."/>
    <s v="112094-12552:Washington Commanders"/>
    <s v="112094-93538:Dyami Brown"/>
    <m/>
  </r>
  <r>
    <m/>
    <m/>
    <m/>
    <m/>
    <n v="0"/>
    <n v="0"/>
    <x v="0"/>
    <x v="0"/>
    <x v="0"/>
    <n v="36346"/>
    <n v="7270"/>
    <x v="5"/>
    <x v="0"/>
    <x v="1"/>
    <x v="7"/>
    <s v="QB:BAL"/>
    <s v="WR1:BAL"/>
    <s v="K:BUF"/>
    <s v="TE2:BAL"/>
    <m/>
    <m/>
    <x v="0"/>
    <n v="56500"/>
    <n v="75.61"/>
    <n v="75.61"/>
    <n v="88.58"/>
    <s v="112146-62239:Josh Allen"/>
    <s v="112146-63115:Lamar Jackson"/>
    <s v="112146-85845:Rashod Bateman"/>
    <s v="112146-65128:Tyler Bass"/>
    <s v="112146-87260:Isaiah Likely"/>
    <m/>
  </r>
  <r>
    <m/>
    <m/>
    <m/>
    <m/>
    <n v="1"/>
    <n v="0"/>
    <x v="0"/>
    <x v="5"/>
    <x v="3"/>
    <n v="2621"/>
    <n v="525"/>
    <x v="12"/>
    <x v="4"/>
    <x v="15"/>
    <x v="30"/>
    <s v="QB:PHI"/>
    <s v="QB:LAR"/>
    <s v="TE1:LAR Q"/>
    <s v="K:PHI"/>
    <m/>
    <m/>
    <x v="1"/>
    <n v="60000"/>
    <n v="74.59"/>
    <n v="74.59"/>
    <n v="126.78"/>
    <s v="112145-64401:Saquon Barkley"/>
    <s v="112145-69531:Jalen Hurts"/>
    <s v="112145-6654:Matthew Stafford"/>
    <s v="112145-47870:Tyler Higbee"/>
    <s v="112145-41235:Jake Elliott"/>
    <m/>
  </r>
  <r>
    <m/>
    <m/>
    <m/>
    <m/>
    <n v="0"/>
    <n v="0"/>
    <x v="0"/>
    <x v="0"/>
    <x v="0"/>
    <n v="48931"/>
    <n v="9787"/>
    <x v="5"/>
    <x v="0"/>
    <x v="9"/>
    <x v="51"/>
    <s v="RB1:BUF"/>
    <s v="RB1:KC"/>
    <s v="WR1:KC"/>
    <s v="WR4:BUF"/>
    <m/>
    <m/>
    <x v="1"/>
    <n v="57500"/>
    <n v="60.83"/>
    <n v="60.83"/>
    <n v="119.45"/>
    <s v="112411-57439:Patrick Mahomes"/>
    <s v="112411-91626:James Cook"/>
    <s v="112411-45229:Kareem Hunt"/>
    <s v="112411-158974:Xavier Worthy"/>
    <s v="112411-25267:Mack Hollins"/>
    <m/>
  </r>
  <r>
    <m/>
    <m/>
    <m/>
    <m/>
    <n v="1"/>
    <n v="0"/>
    <x v="0"/>
    <x v="5"/>
    <x v="3"/>
    <n v="1"/>
    <n v="1"/>
    <x v="8"/>
    <x v="4"/>
    <x v="17"/>
    <x v="30"/>
    <s v="QB:WAS"/>
    <s v="QB:PHI"/>
    <s v="TE1:WAS"/>
    <s v="RB3:PHI"/>
    <m/>
    <m/>
    <x v="1"/>
    <n v="60000"/>
    <n v="76.61"/>
    <n v="76.61"/>
    <n v="142.59"/>
    <s v="112419-64401:Saquon Barkley"/>
    <s v="112419-102785:Jayden Daniels"/>
    <s v="112419-69531:Jalen Hurts"/>
    <s v="112419-29780:Zach Ertz"/>
    <s v="112419-152520:Will Shipley"/>
    <m/>
  </r>
  <r>
    <m/>
    <m/>
    <m/>
    <m/>
    <n v="0"/>
    <n v="0"/>
    <x v="0"/>
    <x v="2"/>
    <x v="0"/>
    <n v="23183"/>
    <n v="4637"/>
    <x v="5"/>
    <x v="8"/>
    <x v="5"/>
    <x v="8"/>
    <s v="QB:KC"/>
    <s v="QB:PHI"/>
    <s v="K:PHI"/>
    <s v="D:PHI"/>
    <m/>
    <m/>
    <x v="0"/>
    <n v="56000"/>
    <n v="68.14"/>
    <n v="68.14"/>
    <n v="143.87"/>
    <s v="112626-158974:Xavier Worthy"/>
    <s v="112626-57439:Patrick Mahomes"/>
    <s v="112626-69531:Jalen Hurts"/>
    <s v="112626-41235:Jake Elliott"/>
    <s v="112626-12545:Philadelphia Eagles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m/>
    <m/>
    <m/>
    <m/>
    <n v="0"/>
    <n v="0"/>
    <m/>
    <s v="QB"/>
    <x v="0"/>
    <n v="21341"/>
    <n v="4269"/>
    <x v="0"/>
    <n v="2"/>
    <n v="17"/>
    <s v="QB:BAL"/>
    <s v="RB:KC"/>
    <s v="WR1:KC"/>
    <s v="WR2:KC"/>
    <s v="TE:BAL"/>
    <m/>
    <m/>
    <n v="2"/>
    <n v="56000"/>
    <n v="52.94"/>
    <n v="15"/>
    <n v="118.18"/>
    <s v="105733-63115:Lamar Jackson"/>
    <s v="105733-92575:Isiah Pacheco"/>
    <s v="105733-111311:Rashee Rice"/>
    <s v="105733-158974:Xavier Worthy"/>
    <s v="105733-87260:Isaiah Likely"/>
    <m/>
  </r>
  <r>
    <m/>
    <m/>
    <m/>
    <m/>
    <n v="0"/>
    <n v="0"/>
    <m/>
    <s v="RB"/>
    <x v="1"/>
    <n v="18307"/>
    <n v="3662"/>
    <x v="1"/>
    <n v="4"/>
    <n v="15"/>
    <s v="RB:PHI"/>
    <s v="WR1:PHI"/>
    <s v="WR2:PHI"/>
    <s v="WR3:GB"/>
    <s v="K:GB"/>
    <m/>
    <m/>
    <n v="3"/>
    <n v="57500"/>
    <n v="51.15"/>
    <n v="59.95"/>
    <n v="133.19999999999999"/>
    <s v="106557-64401:Saquon Barkley"/>
    <s v="106557-72846:A.J. Brown"/>
    <s v="106557-90576:DeVonta Smith"/>
    <s v="106557-89455:Jayden Reed"/>
    <s v="106557-85622:Brayden Narveson"/>
    <m/>
  </r>
  <r>
    <m/>
    <m/>
    <m/>
    <m/>
    <n v="0"/>
    <n v="0"/>
    <m/>
    <s v="WR1"/>
    <x v="2"/>
    <n v="46488"/>
    <n v="9298"/>
    <x v="2"/>
    <n v="8"/>
    <n v="10"/>
    <s v="WR1:LAR"/>
    <s v="QB:LAR"/>
    <s v="RB2:DET"/>
    <s v="WR2:DET"/>
    <s v="RB1:DET"/>
    <m/>
    <m/>
    <n v="2"/>
    <n v="54000"/>
    <n v="61.11"/>
    <n v="61.11"/>
    <n v="116.78"/>
    <s v="106609-79970:Cooper Kupp"/>
    <s v="106609-6654:Matthew Stafford"/>
    <s v="106609-129368:Jahmyr Gibbs"/>
    <s v="106609-111631:Jameson Williams"/>
    <s v="106609-73273:David Montgomery"/>
    <m/>
  </r>
  <r>
    <m/>
    <m/>
    <m/>
    <m/>
    <n v="0"/>
    <n v="1"/>
    <m/>
    <s v="K"/>
    <x v="3"/>
    <n v="7478"/>
    <n v="1496"/>
    <x v="3"/>
    <n v="12"/>
    <n v="16"/>
    <s v="K:SF"/>
    <s v="RB:NYJ"/>
    <s v="WR1:SF"/>
    <s v="RB2:SF"/>
    <s v="WR3:NYJ"/>
    <m/>
    <m/>
    <n v="2"/>
    <n v="49500"/>
    <n v="42.83"/>
    <n v="42.83"/>
    <n v="119.6"/>
    <s v="106699-91372:Jake Moody"/>
    <s v="106699-103064:Breece Hall"/>
    <s v="106699-56018:Deebo Samuel Sr."/>
    <s v="106699-86875:Jordan Mason"/>
    <s v="106699-56809:Allen Lazard"/>
    <m/>
  </r>
  <r>
    <m/>
    <m/>
    <m/>
    <m/>
    <n v="1"/>
    <n v="0"/>
    <m/>
    <s v="QB"/>
    <x v="3"/>
    <n v="1876"/>
    <n v="376"/>
    <x v="3"/>
    <n v="1"/>
    <n v="13"/>
    <s v="QB:PHI"/>
    <s v="QB:ATL"/>
    <s v="WR1:PHI"/>
    <s v="K:ATL"/>
    <s v="WR2:ATL"/>
    <m/>
    <m/>
    <n v="2"/>
    <n v="59500"/>
    <n v="44.52"/>
    <n v="44.52"/>
    <n v="98.17"/>
    <s v="106989-69531:Jalen Hurts"/>
    <s v="106989-22038:Kirk Cousins"/>
    <s v="106989-90576:DeVonta Smith"/>
    <s v="106989-53212:Younghoe Koo"/>
    <s v="106989-69777:Darnell Mooney"/>
    <m/>
  </r>
  <r>
    <m/>
    <m/>
    <m/>
    <m/>
    <n v="0"/>
    <n v="1"/>
    <m/>
    <s v="RB"/>
    <x v="3"/>
    <n v="8763"/>
    <n v="1753"/>
    <x v="3"/>
    <n v="5"/>
    <n v="16"/>
    <s v="RB:BUF"/>
    <s v="QB:BUF"/>
    <s v="RB1:MIA"/>
    <s v="D:BUF"/>
    <s v="TE:MIA"/>
    <m/>
    <m/>
    <n v="3"/>
    <n v="57500"/>
    <n v="69.680000000000007"/>
    <n v="38"/>
    <n v="104.06"/>
    <s v="106717-91626:James Cook"/>
    <s v="106717-62239:Josh Allen"/>
    <s v="106717-138820:De'Von Achane"/>
    <s v="106717-12526:Buffalo Bills"/>
    <s v="106717-48116:Jonnu Smith"/>
    <m/>
  </r>
  <r>
    <m/>
    <m/>
    <m/>
    <m/>
    <n v="0"/>
    <n v="1"/>
    <m/>
    <s v="WR2"/>
    <x v="3"/>
    <n v="7957"/>
    <n v="1592"/>
    <x v="3"/>
    <n v="3"/>
    <n v="14"/>
    <s v="WR2:HOU"/>
    <s v="QB:HOU"/>
    <s v="K:CHI"/>
    <s v="K:HOU"/>
    <s v="D:HOU"/>
    <m/>
    <m/>
    <n v="4"/>
    <n v="56000"/>
    <n v="70.36"/>
    <n v="104.3"/>
    <n v="100.05"/>
    <s v="106876-91419:Nico Collins"/>
    <s v="106876-129471:C.J. Stroud"/>
    <s v="106876-33714:Cairo Santos"/>
    <s v="106876-29932:Ka'imi Fairbairn"/>
    <s v="106876-12556:Houston Texans"/>
    <m/>
  </r>
  <r>
    <m/>
    <m/>
    <m/>
    <m/>
    <n v="1"/>
    <n v="0"/>
    <m/>
    <s v="QB"/>
    <x v="3"/>
    <n v="2556"/>
    <n v="512"/>
    <x v="3"/>
    <n v="1"/>
    <n v="22"/>
    <s v="QB:BUF"/>
    <s v="RB:BUF"/>
    <s v="WR2:BUF"/>
    <s v="WR3:JAC"/>
    <s v="RB3:BUF"/>
    <m/>
    <m/>
    <n v="4"/>
    <n v="59000"/>
    <n v="54.42"/>
    <n v="108.8"/>
    <n v="103.28"/>
    <s v="107260-62239:Josh Allen"/>
    <s v="107260-91626:James Cook"/>
    <s v="107260-86518:Khalil Shakir"/>
    <s v="107260-60858:Christian Kirk"/>
    <s v="107260-63050:Ty Johnson"/>
    <m/>
  </r>
  <r>
    <m/>
    <m/>
    <m/>
    <m/>
    <n v="0"/>
    <n v="1"/>
    <m/>
    <s v="WR1"/>
    <x v="3"/>
    <n v="3812"/>
    <n v="763"/>
    <x v="3"/>
    <n v="4"/>
    <n v="11"/>
    <s v="WR1:KC"/>
    <s v="QB:KC"/>
    <s v="WR1:ATL"/>
    <s v="WR2:ATL"/>
    <s v="K:KC"/>
    <m/>
    <m/>
    <n v="3"/>
    <n v="60000"/>
    <n v="58.79"/>
    <n v="114.6"/>
    <n v="95.83"/>
    <s v="107208-111311:Rashee Rice"/>
    <s v="107208-57439:Patrick Mahomes"/>
    <s v="107208-112745:Drake London"/>
    <s v="107208-69777:Darnell Mooney"/>
    <s v="107208-41642:Harrison Butker"/>
    <m/>
  </r>
  <r>
    <m/>
    <m/>
    <m/>
    <m/>
    <n v="0"/>
    <n v="1"/>
    <m/>
    <s v="QB"/>
    <x v="3"/>
    <n v="8492"/>
    <n v="1699"/>
    <x v="3"/>
    <n v="3"/>
    <n v="18"/>
    <s v="QB:NYJ"/>
    <s v="RB1:NYJ"/>
    <s v="WR2:NYJ"/>
    <s v="D:NYJ"/>
    <s v="WR3:NE"/>
    <m/>
    <m/>
    <n v="4"/>
    <n v="56500"/>
    <n v="52.41"/>
    <n v="83.1"/>
    <n v="87.46"/>
    <s v="107022-6894:Aaron Rodgers"/>
    <s v="107022-103064:Breece Hall"/>
    <s v="107022-56809:Allen Lazard"/>
    <s v="107022-12544:New York Jets"/>
    <s v="107022-111876:DeMario Douglas"/>
    <m/>
  </r>
  <r>
    <m/>
    <m/>
    <m/>
    <m/>
    <n v="1"/>
    <n v="0"/>
    <m/>
    <s v="WR1"/>
    <x v="3"/>
    <n v="1"/>
    <n v="1"/>
    <x v="3"/>
    <n v="1"/>
    <n v="21"/>
    <s v="WR1:CIN"/>
    <s v="QB:WAS"/>
    <s v="QB:CIN"/>
    <s v="WR1:WAS"/>
    <s v="RB3:WAS"/>
    <m/>
    <m/>
    <n v="2"/>
    <n v="60000"/>
    <n v="44.74"/>
    <n v="82.8"/>
    <n v="122.22"/>
    <s v="107261-85701:Ja'Marr Chase"/>
    <s v="107261-102785:Jayden Daniels"/>
    <s v="107261-63336:Joe Burrow"/>
    <s v="107261-56250:Terry McLaurin"/>
    <s v="107261-56648:Jeremy McNichols"/>
    <m/>
  </r>
  <r>
    <m/>
    <m/>
    <m/>
    <m/>
    <n v="0"/>
    <n v="0"/>
    <m/>
    <s v="RB"/>
    <x v="0"/>
    <n v="32747"/>
    <n v="6550"/>
    <x v="0"/>
    <n v="3"/>
    <n v="11"/>
    <s v="RB:BAL"/>
    <s v="QB:BAL"/>
    <s v="WR1:BUF"/>
    <s v="D:BAL"/>
    <s v="RB:BAL"/>
    <m/>
    <m/>
    <n v="4"/>
    <n v="58500"/>
    <n v="67.39"/>
    <n v="67.39"/>
    <n v="115.54"/>
    <s v="107485-39280:Derrick Henry"/>
    <s v="107485-63115:Lamar Jackson"/>
    <s v="107485-86518:Khalil Shakir"/>
    <s v="107485-12555:Baltimore Ravens"/>
    <s v="107485-71521:Justice Hill"/>
    <m/>
  </r>
  <r>
    <m/>
    <m/>
    <m/>
    <m/>
    <n v="0"/>
    <n v="0"/>
    <m/>
    <s v="WR1"/>
    <x v="0"/>
    <n v="14371"/>
    <n v="2875"/>
    <x v="0"/>
    <n v="2"/>
    <n v="15"/>
    <s v="WR1:NYG"/>
    <s v="WR1:DAL"/>
    <s v="WR2:NYG"/>
    <s v="K:NYG"/>
    <s v="RB:DAL"/>
    <m/>
    <m/>
    <n v="3"/>
    <n v="56000"/>
    <n v="49.9"/>
    <n v="140.69999999999999"/>
    <n v="94.45"/>
    <s v="107283-151761:Malik Nabers"/>
    <s v="107283-86631:CeeDee Lamb"/>
    <s v="107283-103539:Wan'Dale Robinson"/>
    <s v="107283-55515:Greg Joseph"/>
    <s v="107283-72297:Rico Dowdle"/>
    <m/>
  </r>
  <r>
    <m/>
    <m/>
    <m/>
    <m/>
    <n v="0"/>
    <n v="0"/>
    <m/>
    <s v="WR1"/>
    <x v="0"/>
    <n v="14372"/>
    <n v="2875"/>
    <x v="0"/>
    <n v="3"/>
    <n v="15"/>
    <s v="WR1:DAL"/>
    <s v="WR1:NYG"/>
    <s v="WR2:NYG"/>
    <s v="K:NYG"/>
    <s v="RB:DAL"/>
    <m/>
    <m/>
    <n v="3"/>
    <n v="56000"/>
    <n v="49.9"/>
    <n v="140.69999999999999"/>
    <n v="94.45"/>
    <s v="107283-86631:CeeDee Lamb"/>
    <s v="107283-151761:Malik Nabers"/>
    <s v="107283-103539:Wan'Dale Robinson"/>
    <s v="107283-55515:Greg Joseph"/>
    <s v="107283-72297:Rico Dowdle"/>
    <m/>
  </r>
  <r>
    <m/>
    <m/>
    <m/>
    <m/>
    <n v="0"/>
    <n v="0"/>
    <m/>
    <s v="RB"/>
    <x v="0"/>
    <n v="47949"/>
    <n v="9590"/>
    <x v="0"/>
    <n v="7"/>
    <n v="16"/>
    <s v="RB:SEA"/>
    <s v="RB:DET"/>
    <s v="QB:SEA"/>
    <s v="QB:DET"/>
    <s v="TE:SEA"/>
    <m/>
    <m/>
    <n v="2"/>
    <n v="57500"/>
    <n v="70.569999999999993"/>
    <n v="155.30000000000001"/>
    <n v="129.18"/>
    <s v="107540-103342:Kenneth Walker III"/>
    <s v="107540-129368:Jahmyr Gibbs"/>
    <s v="107540-26483:Geno Smith"/>
    <s v="107540-38435:Jared Goff"/>
    <s v="107540-137953:AJ Barner"/>
    <m/>
  </r>
  <r>
    <m/>
    <m/>
    <m/>
    <m/>
    <n v="0"/>
    <n v="0"/>
    <m/>
    <s v="RB"/>
    <x v="2"/>
    <n v="104479"/>
    <n v="20896"/>
    <x v="2"/>
    <n v="7"/>
    <n v="8"/>
    <s v="RB:SEA"/>
    <s v="QB:SEA"/>
    <s v="QB:DET"/>
    <s v="RB:DET"/>
    <s v="WR2:DET"/>
    <m/>
    <m/>
    <n v="2"/>
    <n v="59500"/>
    <n v="82.83"/>
    <n v="191.7"/>
    <n v="129.18"/>
    <s v="107540-103342:Kenneth Walker III"/>
    <s v="107540-26483:Geno Smith"/>
    <s v="107540-38435:Jared Goff"/>
    <s v="107540-73273:David Montgomery"/>
    <s v="107540-111631:Jameson Williams"/>
    <m/>
  </r>
  <r>
    <m/>
    <m/>
    <m/>
    <m/>
    <n v="0"/>
    <n v="0"/>
    <m/>
    <s v="K"/>
    <x v="1"/>
    <n v="46009"/>
    <n v="9202"/>
    <x v="1"/>
    <n v="12"/>
    <n v="17"/>
    <s v="K:TEN"/>
    <s v="QB:MIA"/>
    <s v="RB:TEN"/>
    <s v="D:TEN"/>
    <s v="RB:TEN"/>
    <m/>
    <m/>
    <n v="1"/>
    <n v="53000"/>
    <n v="29.79"/>
    <n v="86.3"/>
    <n v="86.54"/>
    <s v="107539-6642:Nick Folk"/>
    <s v="107539-70051:Tyler Huntley"/>
    <s v="107539-63759:Tony Pollard"/>
    <s v="107539-12534:Tennessee Titans"/>
    <s v="107539-107293:Tyjae Spears"/>
    <m/>
  </r>
  <r>
    <m/>
    <m/>
    <m/>
    <m/>
    <n v="0"/>
    <n v="0"/>
    <m/>
    <s v="QB"/>
    <x v="0"/>
    <n v="70436"/>
    <n v="14088"/>
    <x v="0"/>
    <n v="2"/>
    <n v="22"/>
    <s v="QB:DAL"/>
    <s v="QB:PIT"/>
    <s v="RB:DAL"/>
    <s v="WR2:DAL"/>
    <s v="TE3:PIT"/>
    <m/>
    <m/>
    <n v="3"/>
    <n v="57500"/>
    <n v="54.07"/>
    <n v="208.2"/>
    <n v="93.91"/>
    <s v="107769-31716:Dak Prescott"/>
    <s v="107769-91591:Justin Fields"/>
    <s v="107769-72297:Rico Dowdle"/>
    <s v="107769-88548:Jalen Tolbert"/>
    <s v="107769-92882:Connor Heyward"/>
    <m/>
  </r>
  <r>
    <m/>
    <m/>
    <m/>
    <m/>
    <n v="0"/>
    <n v="0"/>
    <m/>
    <s v="RB"/>
    <x v="0"/>
    <n v="45697"/>
    <n v="9140"/>
    <x v="0"/>
    <n v="5"/>
    <n v="13"/>
    <s v="RB:KC"/>
    <s v="QB:KC"/>
    <s v="WR2:NO"/>
    <s v="K:KC"/>
    <s v="WR3:KC"/>
    <m/>
    <m/>
    <n v="4"/>
    <n v="54000"/>
    <n v="49.94"/>
    <n v="162.6"/>
    <n v="99.34"/>
    <s v="107841-45229:Kareem Hunt"/>
    <s v="107841-57439:Patrick Mahomes"/>
    <s v="107841-170287:Rashid Shaheed"/>
    <s v="107841-41642:Harrison Butker"/>
    <s v="107841-55987:JuJu Smith-Schuster"/>
    <m/>
  </r>
  <r>
    <m/>
    <m/>
    <m/>
    <m/>
    <n v="0"/>
    <n v="1"/>
    <m/>
    <s v="QB"/>
    <x v="3"/>
    <n v="4612"/>
    <n v="923"/>
    <x v="3"/>
    <n v="4"/>
    <n v="15"/>
    <s v="QB:ATL"/>
    <s v="QB:TB"/>
    <s v="WR1:ATL"/>
    <s v="K:ATL"/>
    <s v="WR2:ATL"/>
    <m/>
    <m/>
    <n v="1"/>
    <n v="58500"/>
    <n v="64.06"/>
    <n v="253.3"/>
    <n v="158.34"/>
    <s v="107555-22038:Kirk Cousins"/>
    <s v="107555-41535:Baker Mayfield"/>
    <s v="107555-112745:Drake London"/>
    <s v="107555-53212:Younghoe Koo"/>
    <s v="107555-69777:Darnell Mooney"/>
    <m/>
  </r>
  <r>
    <m/>
    <m/>
    <m/>
    <m/>
    <n v="0"/>
    <n v="0"/>
    <m/>
    <s v="WR1"/>
    <x v="0"/>
    <n v="16841"/>
    <n v="3369"/>
    <x v="0"/>
    <n v="2"/>
    <n v="21"/>
    <s v="WR1:NYJ"/>
    <s v="RB1:NYJ"/>
    <s v="QB:NYJ"/>
    <s v="WR2:NYJ"/>
    <s v="RB3:BUF"/>
    <m/>
    <m/>
    <n v="4"/>
    <n v="58500"/>
    <n v="53.52"/>
    <n v="264.60000000000002"/>
    <n v="116.81"/>
    <s v="107899-103564:Garrett Wilson"/>
    <s v="107899-103064:Breece Hall"/>
    <s v="107899-6894:Aaron Rodgers"/>
    <s v="107899-56809:Allen Lazard"/>
    <s v="107899-103694:Ray Davis"/>
    <m/>
  </r>
  <r>
    <m/>
    <m/>
    <m/>
    <m/>
    <n v="0"/>
    <n v="0"/>
    <m/>
    <s v="QB"/>
    <x v="0"/>
    <n v="11066"/>
    <n v="2214"/>
    <x v="0"/>
    <n v="2"/>
    <n v="9"/>
    <s v="QB:CIN"/>
    <s v="QB:NYG"/>
    <s v="RB:CIN Q"/>
    <s v="RB1:NYG"/>
    <s v="WR2:NYG"/>
    <m/>
    <m/>
    <n v="2"/>
    <n v="58500"/>
    <n v="61.16"/>
    <n v="293.8"/>
    <n v="84.33"/>
    <s v="108048-63336:Joe Burrow"/>
    <s v="108048-63519:Daniel Jones"/>
    <s v="108048-89493:Chase Brown"/>
    <s v="108048-86153:Tyrone Tracy Jr."/>
    <s v="108048-63819:Darius Slayton"/>
    <m/>
  </r>
  <r>
    <m/>
    <m/>
    <m/>
    <m/>
    <n v="0"/>
    <n v="0"/>
    <m/>
    <s v="QB"/>
    <x v="0"/>
    <n v="38122"/>
    <n v="7625"/>
    <x v="0"/>
    <n v="4"/>
    <n v="10"/>
    <s v="QB:SF"/>
    <s v="QB:SEA"/>
    <s v="WR1:SF"/>
    <s v="TE:SF"/>
    <s v="WR3:SEA"/>
    <m/>
    <m/>
    <n v="2"/>
    <n v="60000"/>
    <n v="68.98"/>
    <n v="308.8"/>
    <n v="110.63"/>
    <s v="107861-85607:Brock Purdy"/>
    <s v="107861-26483:Geno Smith"/>
    <s v="107861-56018:Deebo Samuel Sr."/>
    <s v="107861-39793:George Kittle"/>
    <s v="107861-27050:Tyler Lockett"/>
    <m/>
  </r>
  <r>
    <m/>
    <m/>
    <m/>
    <m/>
    <n v="1"/>
    <n v="0"/>
    <m/>
    <s v="QB"/>
    <x v="3"/>
    <n v="3466"/>
    <n v="694"/>
    <x v="3"/>
    <n v="1"/>
    <n v="17"/>
    <s v="QB:BAL"/>
    <s v="QB:TB"/>
    <s v="RB2:TB Q"/>
    <s v="TE1:BAL"/>
    <s v="WR2:BAL"/>
    <m/>
    <m/>
    <n v="3"/>
    <n v="58500"/>
    <n v="71.23"/>
    <n v="404.5"/>
    <n v="150.9"/>
    <s v="108397-63115:Lamar Jackson"/>
    <s v="108397-41535:Baker Mayfield"/>
    <s v="108397-137902:Rachaad White"/>
    <s v="108397-52436:Mark Andrews"/>
    <s v="108397-85845:Rashod Bateman"/>
    <m/>
  </r>
  <r>
    <m/>
    <m/>
    <m/>
    <m/>
    <n v="0"/>
    <n v="0"/>
    <m/>
    <s v="RB1"/>
    <x v="0"/>
    <n v="40347"/>
    <n v="8070"/>
    <x v="0"/>
    <n v="4"/>
    <n v="18"/>
    <s v="RB1:DEN"/>
    <s v="QB:DEN"/>
    <s v="K:DEN"/>
    <s v="D:DEN"/>
    <s v="WR3:NO Q"/>
    <m/>
    <m/>
    <n v="4"/>
    <n v="50500"/>
    <n v="43.01"/>
    <n v="255.5"/>
    <n v="103.66"/>
    <s v="108145-93541:Javonte Williams"/>
    <s v="108145-102965:Bo Nix"/>
    <s v="108145-48380:Wil Lutz"/>
    <s v="108145-12531:Denver Broncos"/>
    <s v="108145-69581:Cedrick Wilson Jr."/>
    <m/>
  </r>
  <r>
    <m/>
    <m/>
    <m/>
    <m/>
    <n v="1"/>
    <n v="0"/>
    <m/>
    <s v="RB1"/>
    <x v="3"/>
    <n v="3301"/>
    <n v="661"/>
    <x v="3"/>
    <n v="1"/>
    <n v="17"/>
    <s v="RB1:NYJ"/>
    <s v="QB2:PIT"/>
    <s v="RB1:PIT"/>
    <s v="WR1:PIT"/>
    <s v="WR3:PIT"/>
    <m/>
    <m/>
    <n v="1"/>
    <n v="59500"/>
    <n v="53.51"/>
    <n v="315.89999999999998"/>
    <n v="114.31"/>
    <s v="108347-103064:Breece Hall"/>
    <s v="108347-22015:Russell Wilson"/>
    <s v="108347-90575:Najee Harris"/>
    <s v="108347-110246:George Pickens"/>
    <s v="108347-64581:Van Jefferson"/>
    <m/>
  </r>
  <r>
    <m/>
    <m/>
    <m/>
    <m/>
    <n v="1"/>
    <n v="0"/>
    <m/>
    <s v="WR1"/>
    <x v="3"/>
    <n v="3431"/>
    <n v="687"/>
    <x v="3"/>
    <n v="1"/>
    <n v="19"/>
    <s v="WR1:DAL"/>
    <s v="QB:SF"/>
    <s v="TE:SF Q"/>
    <s v="K:SF"/>
    <s v="RB2:SF"/>
    <m/>
    <m/>
    <n v="1"/>
    <n v="57000"/>
    <n v="55.02"/>
    <n v="55"/>
    <n v="138.65"/>
    <s v="108584-86631:CeeDee Lamb"/>
    <s v="108584-85607:Brock Purdy"/>
    <s v="108584-39793:George Kittle"/>
    <s v="108584-87705:Anders Carlson"/>
    <s v="108584-89644:Isaac Guerendo"/>
    <m/>
  </r>
  <r>
    <m/>
    <m/>
    <m/>
    <m/>
    <n v="0"/>
    <n v="1"/>
    <m/>
    <s v="QB"/>
    <x v="3"/>
    <n v="288"/>
    <n v="58"/>
    <x v="3"/>
    <n v="4"/>
    <n v="23"/>
    <s v="QB:LAR"/>
    <s v="WR1:MIN"/>
    <s v="RB1:LAR"/>
    <s v="WR3:LAR"/>
    <s v="WR5:LAR IR"/>
    <m/>
    <m/>
    <n v="1"/>
    <n v="59000"/>
    <n v="57.91"/>
    <n v="307.5"/>
    <n v="111.34"/>
    <s v="108416-6654:Matthew Stafford"/>
    <s v="108416-85671:Justin Jefferson"/>
    <s v="108416-104433:Kyren Williams"/>
    <s v="108416-38264:Demarcus Robinson"/>
    <s v="108416-103020:Puka Nacua"/>
    <m/>
  </r>
  <r>
    <m/>
    <m/>
    <m/>
    <m/>
    <n v="0"/>
    <n v="0"/>
    <m/>
    <s v="RB2"/>
    <x v="2"/>
    <n v="57542"/>
    <n v="11509"/>
    <x v="2"/>
    <n v="6"/>
    <n v="16"/>
    <s v="RB2:NYG"/>
    <s v="RB1:PIT"/>
    <s v="D:PIT"/>
    <s v="WR3:NYG"/>
    <s v="WR3:PIT"/>
    <m/>
    <m/>
    <n v="3"/>
    <n v="49500"/>
    <n v="41.24"/>
    <n v="41.24"/>
    <n v="104.8"/>
    <s v="108707-86153:Tyrone Tracy Jr."/>
    <s v="108707-90575:Najee Harris"/>
    <s v="108707-12547:Pittsburgh Steelers"/>
    <s v="108707-63819:Darius Slayton"/>
    <s v="108707-90870:Calvin Austin III"/>
    <m/>
  </r>
  <r>
    <m/>
    <m/>
    <m/>
    <m/>
    <n v="0"/>
    <n v="0"/>
    <m/>
    <s v="WR1"/>
    <x v="2"/>
    <n v="24881"/>
    <n v="4977"/>
    <x v="2"/>
    <n v="4"/>
    <n v="11"/>
    <s v="WR1:NYJ"/>
    <s v="QB:NYJ"/>
    <s v="WR1:HOU"/>
    <s v="WR2:NYJ"/>
    <s v="D:NYJ"/>
    <m/>
    <m/>
    <n v="4"/>
    <n v="57500"/>
    <n v="52.11"/>
    <n v="52.11"/>
    <n v="109.79"/>
    <s v="108750-103564:Garrett Wilson"/>
    <s v="108750-6894:Aaron Rodgers"/>
    <s v="108750-129291:Tank Dell"/>
    <s v="108750-45889:Davante Adams"/>
    <s v="108750-12544:New York Jets"/>
    <m/>
  </r>
  <r>
    <m/>
    <m/>
    <m/>
    <m/>
    <n v="1"/>
    <n v="0"/>
    <m/>
    <s v="WR1"/>
    <x v="3"/>
    <n v="6371"/>
    <n v="1275"/>
    <x v="3"/>
    <n v="1"/>
    <n v="15"/>
    <s v="WR1:MIN"/>
    <s v="QB:MIN"/>
    <s v="WR2:MIN"/>
    <s v="D:IND"/>
    <s v="TE2:MIN"/>
    <m/>
    <m/>
    <n v="4"/>
    <n v="56000"/>
    <n v="53.37"/>
    <n v="53.37"/>
    <n v="96.52"/>
    <s v="108941-85671:Justin Jefferson"/>
    <s v="108941-63589:Sam Darnold"/>
    <s v="108941-129210:Jordan Addison"/>
    <s v="108941-12535:Indianapolis Colts"/>
    <s v="108941-63907:Josh Oliver"/>
    <m/>
  </r>
  <r>
    <m/>
    <m/>
    <m/>
    <m/>
    <n v="0"/>
    <n v="1"/>
    <m/>
    <s v="WR2"/>
    <x v="3"/>
    <n v="5964"/>
    <n v="1193"/>
    <x v="3"/>
    <n v="9"/>
    <n v="19"/>
    <s v="WR2:KC"/>
    <s v="QB:KC"/>
    <s v="RB1:KC"/>
    <s v="TE:TB"/>
    <s v="RB2:KC"/>
    <m/>
    <m/>
    <n v="4"/>
    <n v="56500"/>
    <n v="49.75"/>
    <n v="39"/>
    <n v="111.84"/>
    <s v="109053-16606:DeAndre Hopkins"/>
    <s v="109053-57439:Patrick Mahomes"/>
    <s v="109053-45229:Kareem Hunt"/>
    <s v="109053-86811:Cade Otton"/>
    <s v="109053-52451:Samaje Perine"/>
    <m/>
  </r>
  <r>
    <m/>
    <m/>
    <m/>
    <m/>
    <n v="0"/>
    <n v="1"/>
    <m/>
    <s v="WR1"/>
    <x v="3"/>
    <n v="3418"/>
    <n v="684"/>
    <x v="3"/>
    <n v="4"/>
    <n v="20"/>
    <s v="WR1:CIN"/>
    <s v="QB:BAL"/>
    <s v="QB:CIN"/>
    <s v="TE1:BAL"/>
    <s v="WR5:BAL Q"/>
    <m/>
    <m/>
    <n v="3"/>
    <n v="58500"/>
    <n v="72.180000000000007"/>
    <n v="72.180000000000007"/>
    <n v="186.77"/>
    <s v="109087-85701:Ja'Marr Chase"/>
    <s v="109087-63115:Lamar Jackson"/>
    <s v="109087-63336:Joe Burrow"/>
    <s v="109087-52436:Mark Andrews"/>
    <s v="109087-87515:Tylan Wallace"/>
    <m/>
  </r>
  <r>
    <m/>
    <m/>
    <m/>
    <m/>
    <n v="0"/>
    <n v="1"/>
    <m/>
    <s v="RB1"/>
    <x v="3"/>
    <n v="2097"/>
    <n v="420"/>
    <x v="3"/>
    <n v="2"/>
    <n v="18"/>
    <s v="RB1:HOU"/>
    <s v="WR1:DET"/>
    <s v="TE:DET"/>
    <s v="K:HOU"/>
    <s v="WR3:HOU"/>
    <m/>
    <m/>
    <n v="2"/>
    <n v="55500"/>
    <n v="57.37"/>
    <n v="57.37"/>
    <n v="82"/>
    <s v="109259-52442:Joe Mixon"/>
    <s v="109259-86997:Amon-Ra St. Brown"/>
    <s v="109259-105646:Sam LaPorta"/>
    <s v="109259-29932:Ka'imi Fairbairn"/>
    <s v="109259-102696:John Metchie III"/>
    <m/>
  </r>
  <r>
    <m/>
    <m/>
    <m/>
    <m/>
    <n v="0"/>
    <n v="0"/>
    <m/>
    <s v="K"/>
    <x v="0"/>
    <n v="39004"/>
    <n v="7801"/>
    <x v="0"/>
    <n v="11"/>
    <n v="12"/>
    <s v="K:LAR"/>
    <s v="WR1:LAR"/>
    <s v="WR2:LAR"/>
    <s v="QB:LAR"/>
    <s v="K:MIA"/>
    <m/>
    <m/>
    <n v="4"/>
    <n v="58500"/>
    <n v="52.65"/>
    <n v="35"/>
    <n v="80.02"/>
    <s v="109359-133172:Joshua Karty"/>
    <s v="109359-79970:Cooper Kupp"/>
    <s v="109359-103020:Puka Nacua"/>
    <s v="109359-6654:Matthew Stafford"/>
    <s v="109359-52767:Jason Sanders"/>
    <m/>
  </r>
  <r>
    <m/>
    <m/>
    <m/>
    <m/>
    <n v="1"/>
    <n v="0"/>
    <m/>
    <s v="RB1"/>
    <x v="3"/>
    <n v="1221"/>
    <n v="245"/>
    <x v="3"/>
    <n v="1"/>
    <n v="13"/>
    <s v="RB1:PHI"/>
    <s v="QB:PHI"/>
    <s v="RB1:WAS"/>
    <s v="RB2:WAS"/>
    <s v="TE1:WAS"/>
    <m/>
    <m/>
    <n v="2"/>
    <n v="59500"/>
    <n v="76.239999999999995"/>
    <n v="76.239999999999995"/>
    <n v="115.44"/>
    <s v="109392-64401:Saquon Barkley"/>
    <s v="109392-69531:Jalen Hurts"/>
    <s v="109392-90562:Brian Robinson Jr."/>
    <s v="109392-80001:Austin Ekeler"/>
    <s v="109392-29780:Zach Ertz"/>
    <m/>
  </r>
  <r>
    <m/>
    <m/>
    <m/>
    <m/>
    <n v="0"/>
    <n v="0"/>
    <m/>
    <s v="QB"/>
    <x v="0"/>
    <n v="27326"/>
    <n v="5466"/>
    <x v="0"/>
    <n v="2"/>
    <n v="17"/>
    <s v="QB:CIN"/>
    <s v="QB:LAC"/>
    <s v="WR2:CIN"/>
    <s v="WR1:LAC"/>
    <s v="TE1:LAC"/>
    <m/>
    <m/>
    <n v="2"/>
    <n v="59500"/>
    <n v="66.37"/>
    <n v="66.37"/>
    <n v="135.04"/>
    <s v="109589-63336:Joe Burrow"/>
    <s v="109589-69189:Justin Herbert"/>
    <s v="109589-89981:Tee Higgins"/>
    <s v="109589-133472:Ladd McConkey"/>
    <s v="109589-56708:Will Dissly"/>
    <m/>
  </r>
  <r>
    <m/>
    <m/>
    <m/>
    <m/>
    <n v="1"/>
    <n v="0"/>
    <m/>
    <s v="RB1"/>
    <x v="3"/>
    <n v="7371"/>
    <n v="1475"/>
    <x v="3"/>
    <n v="1"/>
    <n v="19"/>
    <s v="RB1:HOU"/>
    <s v="WR1:DAL Q"/>
    <s v="QB:DAL"/>
    <s v="D:HOU"/>
    <s v="WR3:DAL"/>
    <m/>
    <m/>
    <n v="2"/>
    <n v="59500"/>
    <n v="50.11"/>
    <n v="50.11"/>
    <n v="126.01"/>
    <s v="109667-52442:Joe Mixon"/>
    <s v="109667-86631:CeeDee Lamb"/>
    <s v="109667-44715:Cooper Rush"/>
    <s v="109667-12556:Houston Texans"/>
    <s v="109667-60957:KaVontae Turpin"/>
    <m/>
  </r>
  <r>
    <m/>
    <m/>
    <m/>
    <m/>
    <n v="0"/>
    <n v="1"/>
    <m/>
    <s v="RB1"/>
    <x v="3"/>
    <n v="1343"/>
    <n v="269"/>
    <x v="3"/>
    <n v="6"/>
    <n v="19"/>
    <s v="RB1:CLE"/>
    <s v="QB1:PIT"/>
    <s v="QB:CLE"/>
    <s v="RB2:PIT"/>
    <s v="WR3:PIT"/>
    <m/>
    <m/>
    <n v="3"/>
    <n v="58500"/>
    <n v="44.55"/>
    <n v="44.55"/>
    <n v="85.21"/>
    <s v="109710-53562:Nick Chubb"/>
    <s v="109710-22015:Russell Wilson"/>
    <s v="109710-24849:Jameis Winston"/>
    <s v="109710-112057:Jaylen Warren"/>
    <s v="109710-90870:Calvin Austin III"/>
    <m/>
  </r>
  <r>
    <m/>
    <m/>
    <m/>
    <m/>
    <n v="1"/>
    <n v="0"/>
    <m/>
    <s v="RB1"/>
    <x v="3"/>
    <n v="5351"/>
    <n v="1071"/>
    <x v="4"/>
    <n v="1"/>
    <n v="11"/>
    <s v="RB1:PHI"/>
    <s v="WR1:PHI"/>
    <s v="QB:LAR"/>
    <s v="WR3:LAR"/>
    <s v="K:PHI"/>
    <m/>
    <m/>
    <n v="3"/>
    <n v="59000"/>
    <n v="67.31"/>
    <n v="67.31"/>
    <n v="134.41999999999999"/>
    <s v="109885-64401:Saquon Barkley"/>
    <s v="109885-72846:A.J. Brown"/>
    <s v="109885-6654:Matthew Stafford"/>
    <s v="109885-38264:Demarcus Robinson"/>
    <s v="109885-41235:Jake Elliott"/>
    <m/>
  </r>
  <r>
    <m/>
    <m/>
    <m/>
    <m/>
    <n v="0"/>
    <n v="0"/>
    <m/>
    <s v="QB"/>
    <x v="0"/>
    <n v="24006"/>
    <n v="4802"/>
    <x v="5"/>
    <n v="2"/>
    <n v="20"/>
    <s v="QB:BAL"/>
    <s v="QB:LAC"/>
    <s v="TE1:BAL"/>
    <s v="K:LAC"/>
    <s v="RB2:BAL"/>
    <m/>
    <m/>
    <n v="3"/>
    <n v="54500"/>
    <n v="65.95"/>
    <n v="65.95"/>
    <n v="93.79"/>
    <s v="109995-63115:Lamar Jackson"/>
    <s v="109995-69189:Justin Herbert"/>
    <s v="109995-52436:Mark Andrews"/>
    <s v="109995-92496:Cameron Dicker"/>
    <s v="109995-71521:Justice Hill"/>
    <m/>
  </r>
  <r>
    <m/>
    <m/>
    <m/>
    <m/>
    <n v="0"/>
    <n v="0"/>
    <m/>
    <s v="QB"/>
    <x v="0"/>
    <n v="22321"/>
    <n v="4465"/>
    <x v="5"/>
    <n v="2"/>
    <n v="12"/>
    <s v="QB:MIA"/>
    <s v="RB1:GB"/>
    <s v="QB:GB"/>
    <s v="TE1:MIA"/>
    <s v="K:GB"/>
    <m/>
    <m/>
    <n v="2"/>
    <n v="59500"/>
    <n v="70.010000000000005"/>
    <n v="70.010000000000005"/>
    <n v="113.26"/>
    <s v="110092-90572:Tua Tagovailoa"/>
    <s v="110092-72731:Josh Jacobs"/>
    <s v="110092-69017:Jordan Love"/>
    <s v="110092-48116:Jonnu Smith"/>
    <s v="110092-26247:Brandon McManus"/>
    <m/>
  </r>
  <r>
    <m/>
    <m/>
    <m/>
    <m/>
    <n v="0"/>
    <n v="0"/>
    <m/>
    <s v="WR1"/>
    <x v="0"/>
    <n v="51703"/>
    <n v="10341"/>
    <x v="6"/>
    <n v="7"/>
    <n v="21"/>
    <s v="WR1:CLE"/>
    <s v="QB:CLE"/>
    <s v="TE:CLE"/>
    <s v="D:DEN"/>
    <s v="WR3:DEN"/>
    <m/>
    <m/>
    <n v="3"/>
    <n v="55000"/>
    <n v="42.16"/>
    <n v="42.16"/>
    <n v="160.58000000000001"/>
    <s v="110324-90561:Jerry Jeudy"/>
    <s v="110324-24849:Jameis Winston"/>
    <s v="110324-55335:David Njoku"/>
    <s v="110324-12531:Denver Broncos"/>
    <s v="110324-120093:Marvin Mims Jr."/>
    <m/>
  </r>
  <r>
    <m/>
    <m/>
    <m/>
    <m/>
    <n v="0"/>
    <n v="0"/>
    <m/>
    <s v="RB1"/>
    <x v="1"/>
    <n v="25303"/>
    <n v="5061"/>
    <x v="7"/>
    <n v="5"/>
    <n v="17"/>
    <s v="RB1:GB Q"/>
    <s v="QB:GB"/>
    <s v="QB:DET"/>
    <s v="RB2:DET"/>
    <s v="WR3:DET"/>
    <m/>
    <m/>
    <n v="2"/>
    <n v="59000"/>
    <n v="73.03"/>
    <n v="73.03"/>
    <n v="110.66"/>
    <s v="110352-72731:Josh Jacobs"/>
    <s v="110352-69017:Jordan Love"/>
    <s v="110352-38435:Jared Goff"/>
    <s v="110352-73273:David Montgomery"/>
    <s v="110352-57091:Tim Patrick"/>
    <m/>
  </r>
  <r>
    <m/>
    <m/>
    <m/>
    <m/>
    <n v="0"/>
    <n v="1"/>
    <m/>
    <s v="K"/>
    <x v="3"/>
    <n v="3015"/>
    <n v="603"/>
    <x v="8"/>
    <n v="11"/>
    <n v="11"/>
    <s v="K:KC"/>
    <s v="QB:KC"/>
    <s v="QB1:LAC"/>
    <s v="WR1:KC"/>
    <s v="WR1:LAC"/>
    <m/>
    <m/>
    <n v="3"/>
    <n v="59500"/>
    <n v="64.11"/>
    <n v="64.11"/>
    <n v="76.319999999999993"/>
    <s v="110543-57330:Matthew Wright"/>
    <s v="110543-57439:Patrick Mahomes"/>
    <s v="110543-69189:Justin Herbert"/>
    <s v="110543-16606:DeAndre Hopkins"/>
    <s v="110543-120639:Quentin Johnston"/>
    <m/>
  </r>
  <r>
    <m/>
    <m/>
    <m/>
    <m/>
    <n v="1"/>
    <n v="0"/>
    <m/>
    <s v="WR1"/>
    <x v="3"/>
    <n v="616"/>
    <n v="124"/>
    <x v="8"/>
    <n v="1"/>
    <n v="21"/>
    <s v="WR1:CIN"/>
    <s v="QB:CIN"/>
    <s v="RB1:CIN"/>
    <s v="RB1:DAL"/>
    <s v="TE2:CIN"/>
    <m/>
    <m/>
    <n v="4"/>
    <n v="60000"/>
    <n v="71.78"/>
    <n v="71.78"/>
    <n v="131.51"/>
    <s v="110656-85701:Ja'Marr Chase"/>
    <s v="110656-63336:Joe Burrow"/>
    <s v="110656-89493:Chase Brown"/>
    <s v="110656-72297:Rico Dowdle"/>
    <s v="110656-83117:Tanner Hudson"/>
    <m/>
  </r>
  <r>
    <m/>
    <m/>
    <m/>
    <m/>
    <n v="0"/>
    <n v="1"/>
    <m/>
    <s v="RB1"/>
    <x v="3"/>
    <n v="597"/>
    <n v="120"/>
    <x v="8"/>
    <n v="2"/>
    <n v="15"/>
    <s v="RB1:LAR"/>
    <s v="WR1:LAR"/>
    <s v="RB:SF Q"/>
    <s v="K:LAR"/>
    <s v="D:LAR"/>
    <m/>
    <m/>
    <n v="4"/>
    <n v="57500"/>
    <n v="52.16"/>
    <n v="52.16"/>
    <n v="71.599999999999994"/>
    <s v="110677-104433:Kyren Williams"/>
    <s v="110677-103020:Puka Nacua"/>
    <s v="110677-89644:Isaac Guerendo"/>
    <s v="110677-133172:Joshua Karty"/>
    <s v="110677-12538:Los Angeles Rams"/>
    <m/>
  </r>
  <r>
    <m/>
    <m/>
    <m/>
    <m/>
    <n v="0"/>
    <n v="1"/>
    <m/>
    <s v="D"/>
    <x v="3"/>
    <n v="6114"/>
    <n v="1223"/>
    <x v="9"/>
    <n v="12"/>
    <n v="14"/>
    <s v="D:ATL"/>
    <s v="RB1:ATL"/>
    <s v="WR1:ATL"/>
    <s v="QB:LV"/>
    <s v="RB3:LV"/>
    <m/>
    <m/>
    <n v="3"/>
    <n v="58000"/>
    <n v="42.54"/>
    <n v="42.54"/>
    <n v="89.02"/>
    <s v="110830-12525:Atlanta Falcons"/>
    <s v="110830-136855:Bijan Robinson"/>
    <s v="110830-112745:Drake London"/>
    <s v="110830-86278:Desmond Ridder"/>
    <s v="110830-27229:Ameer Abdullah"/>
    <m/>
  </r>
  <r>
    <m/>
    <m/>
    <m/>
    <m/>
    <n v="0"/>
    <n v="1"/>
    <m/>
    <s v="RB1"/>
    <x v="3"/>
    <n v="8637"/>
    <n v="1728"/>
    <x v="9"/>
    <n v="4"/>
    <n v="12"/>
    <s v="RB1:MIN"/>
    <s v="WR1:MIN"/>
    <s v="WR2:CHI"/>
    <s v="RB1:CHI Q"/>
    <s v="K:MIN"/>
    <m/>
    <m/>
    <n v="3"/>
    <n v="59000"/>
    <n v="59.9"/>
    <n v="59.9"/>
    <n v="84.8"/>
    <s v="110829-40442:Aaron Jones Sr."/>
    <s v="110829-85671:Justin Jefferson"/>
    <s v="110829-29253:Keenan Allen"/>
    <s v="110829-91598:D'Andre Swift"/>
    <s v="110829-102703:Will Reichard"/>
    <m/>
  </r>
  <r>
    <m/>
    <m/>
    <m/>
    <m/>
    <n v="0"/>
    <n v="1"/>
    <m/>
    <s v="QB"/>
    <x v="3"/>
    <n v="1902"/>
    <n v="381"/>
    <x v="8"/>
    <n v="2"/>
    <n v="30"/>
    <s v="QB:LAC Q"/>
    <s v="QB:DEN"/>
    <s v="RB1:LAC"/>
    <s v="K:DEN"/>
    <s v="RB3:LAC"/>
    <m/>
    <m/>
    <n v="2"/>
    <n v="57000"/>
    <n v="48.27"/>
    <n v="48.27"/>
    <n v="98.26"/>
    <s v="110933-69189:Justin Herbert"/>
    <s v="110933-102965:Bo Nix"/>
    <s v="110933-40167:Gus Edwards"/>
    <s v="110933-48380:Wil Lutz"/>
    <s v="110933-91361:Hassan Haskins"/>
    <m/>
  </r>
  <r>
    <m/>
    <m/>
    <m/>
    <m/>
    <n v="1"/>
    <n v="0"/>
    <m/>
    <s v="RB1"/>
    <x v="3"/>
    <n v="561"/>
    <n v="113"/>
    <x v="8"/>
    <n v="1"/>
    <n v="19"/>
    <s v="RB1:BAL"/>
    <s v="QB:BAL"/>
    <s v="WR1:BAL"/>
    <s v="D:BAL"/>
    <s v="RB2:PIT"/>
    <m/>
    <m/>
    <n v="4"/>
    <n v="59500"/>
    <n v="69.319999999999993"/>
    <n v="69.319999999999993"/>
    <n v="97.33"/>
    <s v="111066-39280:Derrick Henry"/>
    <s v="111066-63115:Lamar Jackson"/>
    <s v="111066-112295:Zay Flowers"/>
    <s v="111066-12555:Baltimore Ravens"/>
    <s v="111066-112057:Jaylen Warren"/>
    <m/>
  </r>
  <r>
    <m/>
    <m/>
    <m/>
    <m/>
    <n v="0"/>
    <n v="0"/>
    <m/>
    <s v="QB"/>
    <x v="1"/>
    <n v="80596"/>
    <n v="16120"/>
    <x v="10"/>
    <n v="3"/>
    <n v="10"/>
    <s v="QB:TB"/>
    <s v="RB1:TB"/>
    <s v="QB:DAL"/>
    <s v="WR2:TB"/>
    <s v="K:DAL"/>
    <m/>
    <m/>
    <n v="3"/>
    <n v="58000"/>
    <n v="61.92"/>
    <n v="61.92"/>
    <n v="106.66"/>
    <s v="111129-41535:Baker Mayfield"/>
    <s v="111129-152664:Bucky Irving"/>
    <s v="111129-44715:Cooper Rush"/>
    <s v="111129-120042:Jalen McMillan"/>
    <s v="111129-189471:Brandon Aubrey"/>
    <m/>
  </r>
  <r>
    <m/>
    <m/>
    <m/>
    <m/>
    <n v="1"/>
    <n v="0"/>
    <m/>
    <s v="RB1"/>
    <x v="3"/>
    <n v="11486"/>
    <n v="2298"/>
    <x v="9"/>
    <n v="1"/>
    <n v="21"/>
    <s v="RB1:GB"/>
    <s v="QB:NO"/>
    <s v="D:GB"/>
    <s v="K:GB"/>
    <s v="RB2:GB"/>
    <m/>
    <m/>
    <n v="4"/>
    <n v="52000"/>
    <n v="47.87"/>
    <n v="47.87"/>
    <n v="76.069999999999993"/>
    <s v="111201-72731:Josh Jacobs"/>
    <s v="111201-111557:Spencer Rattler"/>
    <s v="111201-12533:Green Bay Packers"/>
    <s v="111201-26247:Brandon McManus"/>
    <s v="111201-185861:Emanuel Wilson"/>
    <m/>
  </r>
  <r>
    <m/>
    <m/>
    <m/>
    <m/>
    <n v="0"/>
    <n v="1"/>
    <m/>
    <s v="QB"/>
    <x v="3"/>
    <n v="2927"/>
    <n v="586"/>
    <x v="8"/>
    <n v="2"/>
    <n v="15"/>
    <s v="QB:BAL"/>
    <s v="RB1:BAL"/>
    <s v="TE1:BAL"/>
    <s v="D:BAL"/>
    <s v="WR3:HOU"/>
    <m/>
    <m/>
    <n v="4"/>
    <n v="57000"/>
    <n v="64.58"/>
    <n v="64.58"/>
    <n v="108.73"/>
    <s v="111283-63115:Lamar Jackson"/>
    <s v="111283-39280:Derrick Henry"/>
    <s v="111283-52436:Mark Andrews"/>
    <s v="111283-12555:Baltimore Ravens"/>
    <s v="111283-102696:John Metchie III"/>
    <m/>
  </r>
  <r>
    <m/>
    <m/>
    <m/>
    <m/>
    <n v="0"/>
    <n v="0"/>
    <m/>
    <s v="D"/>
    <x v="0"/>
    <n v="12744"/>
    <n v="2549"/>
    <x v="11"/>
    <n v="11"/>
    <n v="13"/>
    <s v="D:SEA"/>
    <s v="QB:SEA"/>
    <s v="WR2:CHI"/>
    <s v="RB1:CHI"/>
    <s v="D:CHI"/>
    <m/>
    <m/>
    <n v="2"/>
    <n v="52500"/>
    <n v="54.37"/>
    <n v="54.37"/>
    <n v="63.6"/>
    <s v="111288-12550:Seattle Seahawks"/>
    <s v="111288-26483:Geno Smith"/>
    <s v="111288-63043:DJ Moore"/>
    <s v="111288-91598:D'Andre Swift"/>
    <s v="111288-12527:Chicago Bears"/>
    <m/>
  </r>
  <r>
    <m/>
    <m/>
    <m/>
    <m/>
    <n v="0"/>
    <n v="1"/>
    <m/>
    <s v="QB"/>
    <x v="3"/>
    <n v="297"/>
    <n v="60"/>
    <x v="8"/>
    <n v="2"/>
    <n v="16"/>
    <s v="QB:WAS"/>
    <s v="RB1:ATL"/>
    <s v="WR1:ATL"/>
    <s v="TE1:WAS"/>
    <s v="WR2:WAS"/>
    <m/>
    <m/>
    <n v="2"/>
    <n v="60000"/>
    <n v="63.88"/>
    <n v="63.88"/>
    <n v="135.57"/>
    <s v="111435-102785:Jayden Daniels"/>
    <s v="111435-136855:Bijan Robinson"/>
    <s v="111435-112745:Drake London"/>
    <s v="111435-29780:Zach Ertz"/>
    <s v="111435-64496:Olamide Zaccheaus"/>
    <m/>
  </r>
  <r>
    <m/>
    <m/>
    <m/>
    <m/>
    <n v="0"/>
    <n v="1"/>
    <m/>
    <s v="QB1"/>
    <x v="3"/>
    <n v="3982"/>
    <n v="797"/>
    <x v="12"/>
    <n v="3"/>
    <n v="16"/>
    <s v="QB1:SF"/>
    <s v="QB:DET"/>
    <s v="WR2:DET"/>
    <s v="TE:DET"/>
    <s v="WR3:SF"/>
    <m/>
    <m/>
    <n v="3"/>
    <n v="59000"/>
    <n v="63.66"/>
    <n v="63.66"/>
    <n v="146.94"/>
    <s v="111516-85607:Brock Purdy"/>
    <s v="111516-38435:Jared Goff"/>
    <s v="111516-111631:Jameson Williams"/>
    <s v="111516-105646:Sam LaPorta"/>
    <s v="111516-102796:Ricky Pearsall"/>
    <m/>
  </r>
  <r>
    <m/>
    <m/>
    <m/>
    <m/>
    <n v="1"/>
    <n v="0"/>
    <m/>
    <s v="WR1"/>
    <x v="3"/>
    <n v="1116"/>
    <n v="224"/>
    <x v="8"/>
    <n v="1"/>
    <n v="14"/>
    <s v="WR1:CIN"/>
    <s v="QB:CIN"/>
    <s v="RB1:PIT"/>
    <s v="K:CIN"/>
    <s v="TE:PIT"/>
    <m/>
    <m/>
    <n v="3"/>
    <n v="59000"/>
    <n v="70.28"/>
    <n v="70.31"/>
    <n v="90.98"/>
    <s v="111590-85701:Ja'Marr Chase"/>
    <s v="111590-63336:Joe Burrow"/>
    <s v="111590-90575:Najee Harris"/>
    <s v="111590-102901:Cade York"/>
    <s v="111590-86244:Pat Freiermuth"/>
    <m/>
  </r>
  <r>
    <m/>
    <m/>
    <m/>
    <m/>
    <n v="0"/>
    <n v="0"/>
    <m/>
    <s v="RB1"/>
    <x v="0"/>
    <n v="19937"/>
    <n v="3988"/>
    <x v="13"/>
    <n v="4"/>
    <n v="11"/>
    <s v="RB1:DET"/>
    <s v="QB:DET"/>
    <s v="WR1:DET"/>
    <s v="TE:DET"/>
    <s v="K:MIN"/>
    <m/>
    <m/>
    <n v="4"/>
    <n v="60000"/>
    <n v="75.94"/>
    <n v="75.94"/>
    <n v="112.49"/>
    <s v="111711-129368:Jahmyr Gibbs"/>
    <s v="111711-38435:Jared Goff"/>
    <s v="111711-86997:Amon-Ra St. Brown"/>
    <s v="111711-105646:Sam LaPorta"/>
    <s v="111711-102703:Will Reichard"/>
    <m/>
  </r>
  <r>
    <m/>
    <m/>
    <m/>
    <m/>
    <n v="0"/>
    <n v="1"/>
    <m/>
    <s v="WR1"/>
    <x v="3"/>
    <n v="7598"/>
    <n v="1520"/>
    <x v="12"/>
    <n v="5"/>
    <n v="11"/>
    <s v="WR1:LAC"/>
    <s v="WR1:HOU"/>
    <s v="RB1:HOU"/>
    <s v="K:HOU"/>
    <s v="D:HOU"/>
    <m/>
    <m/>
    <n v="4"/>
    <n v="59500"/>
    <n v="65.209999999999994"/>
    <n v="65.209999999999994"/>
    <n v="130.9"/>
    <s v="111869-133472:Ladd McConkey"/>
    <s v="111869-91419:Nico Collins"/>
    <s v="111869-52442:Joe Mixon"/>
    <s v="111869-29932:Ka'imi Fairbairn"/>
    <s v="111869-12556:Houston Texans"/>
    <m/>
  </r>
  <r>
    <m/>
    <m/>
    <m/>
    <m/>
    <n v="0"/>
    <n v="0"/>
    <m/>
    <s v="RB1"/>
    <x v="0"/>
    <n v="26176"/>
    <n v="5236"/>
    <x v="5"/>
    <n v="2"/>
    <n v="20"/>
    <s v="RB1:BAL"/>
    <s v="QB:PIT"/>
    <s v="WR1:PIT"/>
    <s v="RB2:BAL Q"/>
    <s v="WR2:PIT"/>
    <m/>
    <m/>
    <n v="2"/>
    <n v="57500"/>
    <n v="57.83"/>
    <n v="57.83"/>
    <n v="108.2"/>
    <s v="111870-39280:Derrick Henry"/>
    <s v="111870-22015:Russell Wilson"/>
    <s v="111870-110246:George Pickens"/>
    <s v="111870-71521:Justice Hill"/>
    <s v="111870-64581:Van Jefferson"/>
    <m/>
  </r>
  <r>
    <m/>
    <m/>
    <m/>
    <m/>
    <n v="1"/>
    <n v="0"/>
    <m/>
    <s v="QB1"/>
    <x v="3"/>
    <n v="2321"/>
    <n v="465"/>
    <x v="12"/>
    <n v="1"/>
    <n v="22"/>
    <s v="QB1:WAS Q"/>
    <s v="WR1:TB"/>
    <s v="WR1:WAS"/>
    <s v="RB2:WAS"/>
    <s v="WR4:WAS"/>
    <m/>
    <m/>
    <n v="4"/>
    <n v="57500"/>
    <n v="64.05"/>
    <n v="64.05"/>
    <n v="104.78"/>
    <s v="111899-102785:Jayden Daniels"/>
    <s v="111899-32384:Mike Evans"/>
    <s v="111899-56250:Terry McLaurin"/>
    <s v="111899-80001:Austin Ekeler"/>
    <s v="111899-93538:Dyami Brown"/>
    <m/>
  </r>
  <r>
    <m/>
    <m/>
    <m/>
    <m/>
    <n v="0"/>
    <n v="0"/>
    <m/>
    <s v="D"/>
    <x v="1"/>
    <n v="89780"/>
    <n v="17956"/>
    <x v="7"/>
    <n v="14"/>
    <n v="14"/>
    <s v="D:LAR"/>
    <s v="RB1:LAR"/>
    <s v="QB:MIN"/>
    <s v="QB:LAR"/>
    <s v="TE1:MIN"/>
    <m/>
    <m/>
    <n v="3"/>
    <n v="59000"/>
    <n v="64.17"/>
    <n v="64.17"/>
    <n v="95.06"/>
    <s v="111900-12538:Los Angeles Rams"/>
    <s v="111900-104433:Kyren Williams"/>
    <s v="111900-63589:Sam Darnold"/>
    <s v="111900-6654:Matthew Stafford"/>
    <s v="111900-71706:T.J. Hockenson"/>
    <m/>
  </r>
  <r>
    <m/>
    <m/>
    <m/>
    <m/>
    <n v="0"/>
    <n v="0"/>
    <m/>
    <s v="TE1"/>
    <x v="1"/>
    <n v="24647"/>
    <n v="4930"/>
    <x v="7"/>
    <n v="4"/>
    <n v="13"/>
    <s v="TE1:KC"/>
    <s v="RB1:HOU"/>
    <s v="QB:HOU"/>
    <s v="RB1:KC"/>
    <s v="D:KC"/>
    <m/>
    <m/>
    <n v="2"/>
    <n v="59500"/>
    <n v="58.93"/>
    <n v="58.93"/>
    <n v="92.4"/>
    <s v="112103-33076:Travis Kelce"/>
    <s v="112103-52442:Joe Mixon"/>
    <s v="112103-129471:C.J. Stroud"/>
    <s v="112103-45229:Kareem Hunt"/>
    <s v="112103-12536:Kansas City Chiefs"/>
    <m/>
  </r>
  <r>
    <m/>
    <m/>
    <m/>
    <m/>
    <n v="1"/>
    <n v="0"/>
    <m/>
    <s v="RB1"/>
    <x v="3"/>
    <n v="1156"/>
    <n v="232"/>
    <x v="8"/>
    <n v="1"/>
    <n v="17"/>
    <s v="RB1:DET"/>
    <s v="QB:WAS"/>
    <s v="RB1:WAS"/>
    <s v="D:WAS"/>
    <s v="WR3:WAS"/>
    <m/>
    <m/>
    <n v="1"/>
    <n v="58500"/>
    <n v="63.15"/>
    <n v="63.15"/>
    <n v="127.81"/>
    <s v="112094-129368:Jahmyr Gibbs"/>
    <s v="112094-102785:Jayden Daniels"/>
    <s v="112094-90562:Brian Robinson Jr."/>
    <s v="112094-12552:Washington Commanders"/>
    <s v="112094-93538:Dyami Brown"/>
    <m/>
  </r>
  <r>
    <m/>
    <m/>
    <m/>
    <m/>
    <n v="0"/>
    <n v="0"/>
    <m/>
    <s v="QB"/>
    <x v="0"/>
    <n v="36346"/>
    <n v="7270"/>
    <x v="5"/>
    <n v="2"/>
    <n v="15"/>
    <s v="QB:BUF"/>
    <s v="QB:BAL"/>
    <s v="WR1:BAL"/>
    <s v="K:BUF"/>
    <s v="TE2:BAL"/>
    <m/>
    <m/>
    <n v="2"/>
    <n v="56500"/>
    <n v="75.61"/>
    <n v="75.61"/>
    <n v="88.58"/>
    <s v="112146-62239:Josh Allen"/>
    <s v="112146-63115:Lamar Jackson"/>
    <s v="112146-85845:Rashod Bateman"/>
    <s v="112146-65128:Tyler Bass"/>
    <s v="112146-87260:Isaiah Likely"/>
    <m/>
  </r>
  <r>
    <m/>
    <m/>
    <m/>
    <m/>
    <n v="1"/>
    <n v="0"/>
    <m/>
    <s v="RB1"/>
    <x v="3"/>
    <n v="2621"/>
    <n v="525"/>
    <x v="12"/>
    <n v="1"/>
    <n v="12"/>
    <s v="RB1:PHI"/>
    <s v="QB:PHI"/>
    <s v="QB:LAR"/>
    <s v="TE1:LAR Q"/>
    <s v="K:PHI"/>
    <m/>
    <m/>
    <n v="3"/>
    <n v="60000"/>
    <n v="74.59"/>
    <n v="74.59"/>
    <n v="126.78"/>
    <s v="112145-64401:Saquon Barkley"/>
    <s v="112145-69531:Jalen Hurts"/>
    <s v="112145-6654:Matthew Stafford"/>
    <s v="112145-47870:Tyler Higbee"/>
    <s v="112145-41235:Jake Elliott"/>
    <m/>
  </r>
  <r>
    <m/>
    <m/>
    <m/>
    <m/>
    <n v="0"/>
    <n v="0"/>
    <m/>
    <s v="QB"/>
    <x v="0"/>
    <n v="48931"/>
    <n v="9787"/>
    <x v="5"/>
    <n v="2"/>
    <n v="21"/>
    <s v="QB:KC"/>
    <s v="RB1:BUF"/>
    <s v="RB1:KC"/>
    <s v="WR1:KC"/>
    <s v="WR4:BUF"/>
    <m/>
    <m/>
    <n v="3"/>
    <n v="57500"/>
    <n v="60.83"/>
    <n v="60.83"/>
    <n v="119.45"/>
    <s v="112411-57439:Patrick Mahomes"/>
    <s v="112411-91626:James Cook"/>
    <s v="112411-45229:Kareem Hunt"/>
    <s v="112411-158974:Xavier Worthy"/>
    <s v="112411-25267:Mack Hollins"/>
    <m/>
  </r>
  <r>
    <m/>
    <m/>
    <m/>
    <m/>
    <n v="1"/>
    <n v="0"/>
    <m/>
    <s v="RB1"/>
    <x v="3"/>
    <n v="1"/>
    <n v="1"/>
    <x v="8"/>
    <n v="1"/>
    <n v="41"/>
    <s v="RB1:PHI"/>
    <s v="QB:WAS"/>
    <s v="QB:PHI"/>
    <s v="TE1:WAS"/>
    <s v="RB3:PHI"/>
    <m/>
    <m/>
    <n v="3"/>
    <n v="60000"/>
    <n v="76.61"/>
    <n v="76.61"/>
    <n v="142.59"/>
    <s v="112419-64401:Saquon Barkley"/>
    <s v="112419-102785:Jayden Daniels"/>
    <s v="112419-69531:Jalen Hurts"/>
    <s v="112419-29780:Zach Ertz"/>
    <s v="112419-152520:Will Shipley"/>
    <m/>
  </r>
  <r>
    <m/>
    <m/>
    <m/>
    <m/>
    <n v="0"/>
    <n v="0"/>
    <m/>
    <s v="WR1"/>
    <x v="0"/>
    <n v="23183"/>
    <n v="4637"/>
    <x v="5"/>
    <n v="6"/>
    <n v="14"/>
    <s v="WR1:KC"/>
    <s v="QB:KC"/>
    <s v="QB:PHI"/>
    <s v="K:PHI"/>
    <s v="D:PHI"/>
    <m/>
    <m/>
    <n v="2"/>
    <n v="56000"/>
    <n v="68.14"/>
    <n v="68.14"/>
    <n v="143.87"/>
    <s v="112626-158974:Xavier Worthy"/>
    <s v="112626-57439:Patrick Mahomes"/>
    <s v="112626-69531:Jalen Hurts"/>
    <s v="112626-41235:Jake Elliott"/>
    <s v="112626-12545:Philadelphia Eagl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99D1F-4550-400A-88A9-C0923278F41A}" name="PivotTable6" cacheId="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 rowHeaderCaption="Key">
  <location ref="G2:H7" firstHeaderRow="1" firstDataRow="1" firstDataCol="1"/>
  <pivotFields count="33"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4">
        <item x="7"/>
        <item x="0"/>
        <item x="1"/>
        <item x="5"/>
        <item x="6"/>
        <item m="1" x="11"/>
        <item x="9"/>
        <item m="1" x="12"/>
        <item x="2"/>
        <item m="1" x="10"/>
        <item x="4"/>
        <item x="3"/>
        <item x="8"/>
        <item t="default"/>
      </items>
    </pivotField>
    <pivotField axis="axisRow" dataField="1" compact="0" outline="0" showAll="0">
      <items count="14">
        <item x="3"/>
        <item x="0"/>
        <item x="1"/>
        <item m="1" x="4"/>
        <item m="1" x="5"/>
        <item m="1" x="10"/>
        <item m="1" x="7"/>
        <item m="1" x="6"/>
        <item m="1" x="9"/>
        <item m="1" x="12"/>
        <item m="1" x="8"/>
        <item m="1" x="1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9">
        <item x="2"/>
        <item x="7"/>
        <item x="4"/>
        <item x="3"/>
        <item x="1"/>
        <item x="0"/>
        <item x="5"/>
        <item x="6"/>
        <item t="default"/>
      </items>
    </pivotField>
  </pivotFields>
  <rowFields count="1">
    <field x="8"/>
  </rowFields>
  <rowItems count="5">
    <i>
      <x/>
    </i>
    <i>
      <x v="1"/>
    </i>
    <i>
      <x v="2"/>
    </i>
    <i>
      <x v="12"/>
    </i>
    <i t="grand">
      <x/>
    </i>
  </rowItems>
  <colItems count="1">
    <i/>
  </colItems>
  <dataFields count="1">
    <dataField name="Count of Key" fld="8" subtotal="count" baseField="8" baseItem="0"/>
  </dataFields>
  <chartFormats count="1"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7BD1D-EF91-4589-AB19-3A3F47210B36}" name="PivotTable1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Q2:S17" firstHeaderRow="1" firstDataRow="1" firstDataCol="2"/>
  <pivotFields count="32"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x="3"/>
        <item x="0"/>
        <item x="1"/>
        <item x="2"/>
      </items>
    </pivotField>
    <pivotField compact="0" outline="0" showAll="0" defaultSubtotal="0"/>
    <pivotField compact="0" outline="0" subtotalTop="0" showAll="0" defaultSubtotal="0"/>
    <pivotField axis="axisRow" dataField="1" compact="0" outline="0" showAll="0" defaultSubtotal="0">
      <items count="16">
        <item x="8"/>
        <item x="12"/>
        <item x="9"/>
        <item m="1" x="14"/>
        <item x="5"/>
        <item x="13"/>
        <item x="11"/>
        <item m="1" x="15"/>
        <item x="7"/>
        <item x="0"/>
        <item x="1"/>
        <item x="2"/>
        <item x="3"/>
        <item x="4"/>
        <item x="6"/>
        <item x="10"/>
      </items>
    </pivotField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8"/>
    <field x="11"/>
  </rowFields>
  <rowItems count="15">
    <i>
      <x/>
      <x/>
    </i>
    <i r="1">
      <x v="1"/>
    </i>
    <i r="1">
      <x v="2"/>
    </i>
    <i r="1">
      <x v="12"/>
    </i>
    <i r="1">
      <x v="13"/>
    </i>
    <i>
      <x v="1"/>
      <x v="4"/>
    </i>
    <i r="1">
      <x v="5"/>
    </i>
    <i r="1">
      <x v="6"/>
    </i>
    <i r="1">
      <x v="9"/>
    </i>
    <i r="1">
      <x v="14"/>
    </i>
    <i>
      <x v="2"/>
      <x v="8"/>
    </i>
    <i r="1">
      <x v="10"/>
    </i>
    <i r="1">
      <x v="15"/>
    </i>
    <i>
      <x v="3"/>
      <x v="11"/>
    </i>
    <i t="grand">
      <x/>
    </i>
  </rowItems>
  <colItems count="1">
    <i/>
  </colItems>
  <dataFields count="1">
    <dataField name="Count of Key 2" fld="11" subtotal="count" baseField="11" baseItem="0"/>
  </dataFields>
  <chartFormats count="1">
    <chartFormat chart="0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60D7E-01F5-4B38-BABC-8DDA21E1A2BD}" name="PivotTable3" cacheId="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LS Key">
  <location ref="J16:K35" firstHeaderRow="1" firstDataRow="1" firstDataCol="1"/>
  <pivotFields count="33">
    <pivotField numFmtId="4" showAll="0"/>
    <pivotField showAll="0"/>
    <pivotField showAll="0"/>
    <pivotField showAll="0"/>
    <pivotField showAll="0"/>
    <pivotField showAll="0"/>
    <pivotField showAll="0"/>
    <pivotField showAll="0">
      <items count="14">
        <item x="7"/>
        <item x="0"/>
        <item x="1"/>
        <item x="5"/>
        <item x="6"/>
        <item m="1" x="11"/>
        <item x="9"/>
        <item m="1" x="12"/>
        <item x="2"/>
        <item m="1" x="10"/>
        <item x="4"/>
        <item x="3"/>
        <item x="8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19">
        <item x="10"/>
        <item x="11"/>
        <item x="2"/>
        <item x="7"/>
        <item x="15"/>
        <item x="4"/>
        <item x="5"/>
        <item x="1"/>
        <item x="3"/>
        <item x="0"/>
        <item x="8"/>
        <item x="12"/>
        <item x="14"/>
        <item x="9"/>
        <item x="6"/>
        <item x="13"/>
        <item x="1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2"/>
        <item x="7"/>
        <item x="4"/>
        <item x="3"/>
        <item x="1"/>
        <item x="0"/>
        <item x="5"/>
        <item x="6"/>
        <item t="default"/>
      </items>
    </pivotField>
  </pivotFields>
  <rowFields count="1">
    <field x="1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LS Key" fld="13" subtotal="count" baseField="13" baseItem="4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6A80F-C986-4044-9970-54BDEBDCA0EC}" name="PivotTable1" cacheId="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Key">
  <location ref="G2:H15" firstHeaderRow="1" firstDataRow="1" firstDataCol="1"/>
  <pivotFields count="33">
    <pivotField numFmtId="4" showAll="0"/>
    <pivotField showAll="0"/>
    <pivotField showAll="0"/>
    <pivotField showAll="0"/>
    <pivotField showAll="0"/>
    <pivotField showAll="0"/>
    <pivotField showAll="0"/>
    <pivotField showAll="0">
      <items count="14">
        <item x="7"/>
        <item x="0"/>
        <item x="1"/>
        <item x="5"/>
        <item x="6"/>
        <item m="1" x="11"/>
        <item x="9"/>
        <item m="1" x="12"/>
        <item x="2"/>
        <item m="1" x="10"/>
        <item x="4"/>
        <item x="3"/>
        <item x="8"/>
        <item t="default"/>
      </items>
    </pivotField>
    <pivotField showAll="0"/>
    <pivotField showAll="0"/>
    <pivotField showAll="0"/>
    <pivotField showAll="0"/>
    <pivotField axis="axisRow" dataField="1" showAll="0">
      <items count="16">
        <item x="4"/>
        <item x="0"/>
        <item x="6"/>
        <item x="1"/>
        <item x="5"/>
        <item x="8"/>
        <item x="2"/>
        <item x="9"/>
        <item m="1" x="12"/>
        <item m="1" x="13"/>
        <item m="1" x="14"/>
        <item x="3"/>
        <item x="7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2"/>
        <item x="7"/>
        <item x="4"/>
        <item x="3"/>
        <item x="1"/>
        <item x="0"/>
        <item x="5"/>
        <item x="6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" fld="12" subtotal="count" baseField="12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64267-FDBB-4773-A3F2-751ECC0E6067}" name="PivotTable2" cacheId="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oints Rank">
  <location ref="G19:H21" firstHeaderRow="1" firstDataRow="1" firstDataCol="1"/>
  <pivotFields count="33">
    <pivotField numFmtId="4" showAll="0"/>
    <pivotField showAll="0"/>
    <pivotField showAll="0"/>
    <pivotField showAll="0"/>
    <pivotField showAll="0"/>
    <pivotField showAll="0"/>
    <pivotField axis="axisRow" dataField="1" showAll="0">
      <items count="7">
        <item m="1" x="2"/>
        <item m="1" x="1"/>
        <item m="1" x="4"/>
        <item m="1" x="3"/>
        <item m="1" x="5"/>
        <item x="0"/>
        <item t="default"/>
      </items>
    </pivotField>
    <pivotField showAll="0">
      <items count="14">
        <item x="7"/>
        <item x="0"/>
        <item x="1"/>
        <item x="5"/>
        <item x="6"/>
        <item m="1" x="11"/>
        <item x="9"/>
        <item m="1" x="12"/>
        <item x="2"/>
        <item m="1" x="10"/>
        <item x="4"/>
        <item x="3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2"/>
        <item x="7"/>
        <item x="4"/>
        <item x="3"/>
        <item x="1"/>
        <item x="0"/>
        <item x="5"/>
        <item x="6"/>
        <item t="default"/>
      </items>
    </pivotField>
  </pivotFields>
  <rowFields count="1">
    <field x="6"/>
  </rowFields>
  <rowItems count="2">
    <i>
      <x v="5"/>
    </i>
    <i t="grand">
      <x/>
    </i>
  </rowItems>
  <colItems count="1">
    <i/>
  </colItems>
  <dataFields count="1">
    <dataField name="Count" fld="6" subtotal="count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CBA6A-377D-417E-81DA-DA2EC619D049}" name="PivotTable3" cacheId="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 rowHeaderCaption="Key">
  <location ref="R2:T42" firstHeaderRow="1" firstDataRow="1" firstDataCol="2"/>
  <pivotFields count="33">
    <pivotField compact="0" numFmtId="4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13">
        <item x="7"/>
        <item x="0"/>
        <item x="1"/>
        <item x="5"/>
        <item x="6"/>
        <item m="1" x="11"/>
        <item x="9"/>
        <item m="1" x="12"/>
        <item x="2"/>
        <item m="1" x="10"/>
        <item x="4"/>
        <item x="3"/>
        <item x="8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6">
        <item x="8"/>
        <item x="12"/>
        <item x="9"/>
        <item m="1" x="14"/>
        <item x="5"/>
        <item x="13"/>
        <item x="11"/>
        <item m="1" x="15"/>
        <item x="7"/>
        <item x="0"/>
        <item x="1"/>
        <item x="2"/>
        <item x="3"/>
        <item x="4"/>
        <item x="6"/>
        <item x="10"/>
      </items>
    </pivotField>
    <pivotField axis="axisRow" dataField="1" compact="0" outline="0" subtotalTop="0" showAll="0" defaultSubtotal="0">
      <items count="15">
        <item x="4"/>
        <item x="0"/>
        <item x="6"/>
        <item x="1"/>
        <item x="5"/>
        <item x="8"/>
        <item x="2"/>
        <item x="9"/>
        <item m="1" x="12"/>
        <item m="1" x="13"/>
        <item m="1" x="14"/>
        <item x="3"/>
        <item x="7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8">
        <item x="2"/>
        <item x="7"/>
        <item x="4"/>
        <item x="3"/>
        <item x="1"/>
        <item x="0"/>
        <item x="5"/>
        <item x="6"/>
      </items>
    </pivotField>
  </pivotFields>
  <rowFields count="2">
    <field x="12"/>
    <field x="11"/>
  </rowFields>
  <rowItems count="40">
    <i>
      <x/>
      <x/>
    </i>
    <i r="1">
      <x v="1"/>
    </i>
    <i r="1">
      <x v="2"/>
    </i>
    <i r="1">
      <x v="12"/>
    </i>
    <i r="1">
      <x v="13"/>
    </i>
    <i>
      <x v="1"/>
      <x/>
    </i>
    <i r="1">
      <x v="4"/>
    </i>
    <i r="1">
      <x v="9"/>
    </i>
    <i r="1">
      <x v="12"/>
    </i>
    <i>
      <x v="2"/>
      <x v="1"/>
    </i>
    <i r="1">
      <x v="9"/>
    </i>
    <i r="1">
      <x v="12"/>
    </i>
    <i r="1">
      <x v="15"/>
    </i>
    <i>
      <x v="3"/>
      <x v="2"/>
    </i>
    <i r="1">
      <x v="5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8"/>
    </i>
    <i r="1">
      <x v="9"/>
    </i>
    <i r="1">
      <x v="12"/>
    </i>
    <i>
      <x v="5"/>
      <x v="4"/>
    </i>
    <i r="1">
      <x v="11"/>
    </i>
    <i r="1">
      <x v="12"/>
    </i>
    <i>
      <x v="6"/>
      <x v="11"/>
    </i>
    <i>
      <x v="7"/>
      <x v="12"/>
    </i>
    <i>
      <x v="11"/>
      <x v="2"/>
    </i>
    <i r="1">
      <x v="10"/>
    </i>
    <i r="1">
      <x v="12"/>
    </i>
    <i>
      <x v="12"/>
      <x v="9"/>
    </i>
    <i r="1">
      <x v="11"/>
    </i>
    <i r="1">
      <x v="14"/>
    </i>
    <i>
      <x v="13"/>
      <x/>
    </i>
    <i r="1">
      <x v="6"/>
    </i>
    <i r="1">
      <x v="9"/>
    </i>
    <i>
      <x v="14"/>
      <x v="8"/>
    </i>
    <i t="grand">
      <x/>
    </i>
  </rowItems>
  <colItems count="1">
    <i/>
  </colItems>
  <dataFields count="1">
    <dataField name="Count" fld="12" subtotal="count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66011-1FE9-42B2-BDD4-6F637B637E6E}" name="PivotTable1" cacheId="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O2:Q10" firstHeaderRow="1" firstDataRow="1" firstDataCol="2"/>
  <pivotFields count="33">
    <pivotField compact="0" numFmtId="4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dataField="1" compact="0" outline="0" showAll="0" defaultSubtotal="0">
      <items count="13">
        <item x="0"/>
        <item x="1"/>
        <item x="5"/>
        <item x="6"/>
        <item m="1" x="11"/>
        <item x="9"/>
        <item m="1" x="12"/>
        <item x="2"/>
        <item m="1" x="10"/>
        <item x="7"/>
        <item x="4"/>
        <item x="3"/>
        <item x="8"/>
      </items>
    </pivotField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name="MVP_pos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MVP" axis="axisRow" compact="0" outline="0" subtotalTop="0" showAll="0" sortType="ascending" defaultSubtotal="0">
      <items count="8">
        <item sd="0" x="2"/>
        <item sd="0" x="6"/>
        <item n="QB" sd="0" x="7"/>
        <item n="RB" sd="0" x="4"/>
        <item n="TE" sd="0" x="3"/>
        <item sd="0" x="1"/>
        <item sd="0" x="5"/>
        <item sd="0" x="0"/>
      </items>
    </pivotField>
  </pivotFields>
  <rowFields count="2">
    <field x="32"/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MVP Position" fld="7" subtotal="count" baseField="6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48D4A-DA1E-42E4-AC03-2F643C2078D3}" name="PivotTable5" cacheId="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7" rowHeaderCaption="Player">
  <location ref="R2:S55" firstHeaderRow="1" firstDataRow="1" firstDataCol="1"/>
  <pivotFields count="33">
    <pivotField compact="0" numFmtId="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 sortType="ascending">
      <items count="14">
        <item x="7"/>
        <item x="3"/>
        <item x="0"/>
        <item x="8"/>
        <item x="1"/>
        <item x="5"/>
        <item x="6"/>
        <item m="1" x="11"/>
        <item x="9"/>
        <item m="1" x="12"/>
        <item x="2"/>
        <item x="4"/>
        <item m="1"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 sortType="ascending">
      <items count="75">
        <item x="37"/>
        <item m="1" x="71"/>
        <item x="49"/>
        <item x="43"/>
        <item x="35"/>
        <item x="29"/>
        <item x="3"/>
        <item x="15"/>
        <item m="1" x="60"/>
        <item x="18"/>
        <item x="0"/>
        <item x="7"/>
        <item m="1" x="55"/>
        <item x="20"/>
        <item x="16"/>
        <item m="1" x="61"/>
        <item x="51"/>
        <item m="1" x="53"/>
        <item x="39"/>
        <item x="24"/>
        <item x="32"/>
        <item x="9"/>
        <item x="4"/>
        <item m="1" x="69"/>
        <item x="21"/>
        <item x="41"/>
        <item x="44"/>
        <item x="45"/>
        <item x="48"/>
        <item x="11"/>
        <item x="5"/>
        <item m="1" x="52"/>
        <item x="17"/>
        <item m="1" x="63"/>
        <item x="1"/>
        <item x="14"/>
        <item m="1" x="57"/>
        <item x="40"/>
        <item m="1" x="58"/>
        <item m="1" x="64"/>
        <item x="31"/>
        <item x="22"/>
        <item x="46"/>
        <item x="42"/>
        <item x="34"/>
        <item x="28"/>
        <item x="36"/>
        <item x="38"/>
        <item x="23"/>
        <item x="30"/>
        <item m="1" x="66"/>
        <item m="1" x="59"/>
        <item x="25"/>
        <item m="1" x="56"/>
        <item m="1" x="68"/>
        <item x="50"/>
        <item m="1" x="65"/>
        <item m="1" x="70"/>
        <item x="10"/>
        <item x="33"/>
        <item x="13"/>
        <item x="8"/>
        <item x="47"/>
        <item x="2"/>
        <item x="26"/>
        <item m="1" x="62"/>
        <item x="12"/>
        <item x="19"/>
        <item m="1" x="67"/>
        <item x="6"/>
        <item x="27"/>
        <item m="1" x="72"/>
        <item m="1" x="54"/>
        <item m="1" x="7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9">
        <item x="2"/>
        <item x="7"/>
        <item x="4"/>
        <item n="TE" x="3"/>
        <item x="1"/>
        <item x="0"/>
        <item x="5"/>
        <item x="6"/>
        <item t="default"/>
      </items>
    </pivotField>
  </pivotFields>
  <rowFields count="1">
    <field x="14"/>
  </rowFields>
  <rowItems count="53">
    <i>
      <x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4"/>
    </i>
    <i>
      <x v="25"/>
    </i>
    <i>
      <x v="26"/>
    </i>
    <i>
      <x v="27"/>
    </i>
    <i>
      <x v="28"/>
    </i>
    <i>
      <x v="29"/>
    </i>
    <i>
      <x v="30"/>
    </i>
    <i>
      <x v="32"/>
    </i>
    <i>
      <x v="34"/>
    </i>
    <i>
      <x v="35"/>
    </i>
    <i>
      <x v="37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2"/>
    </i>
    <i>
      <x v="55"/>
    </i>
    <i>
      <x v="58"/>
    </i>
    <i>
      <x v="59"/>
    </i>
    <i>
      <x v="60"/>
    </i>
    <i>
      <x v="61"/>
    </i>
    <i>
      <x v="62"/>
    </i>
    <i>
      <x v="63"/>
    </i>
    <i>
      <x v="64"/>
    </i>
    <i>
      <x v="66"/>
    </i>
    <i>
      <x v="67"/>
    </i>
    <i>
      <x v="69"/>
    </i>
    <i>
      <x v="70"/>
    </i>
    <i t="grand">
      <x/>
    </i>
  </rowItems>
  <colItems count="1">
    <i/>
  </colItems>
  <dataFields count="1">
    <dataField name="Count of MVP_pos" fld="14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4A014-D775-48A6-8108-F00E686C03BA}" name="PivotTable2" cacheId="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Team Count">
  <location ref="B15:C20" firstHeaderRow="1" firstDataRow="1" firstDataCol="1"/>
  <pivotFields count="33">
    <pivotField numFmtId="4" showAll="0"/>
    <pivotField showAll="0"/>
    <pivotField showAll="0"/>
    <pivotField showAll="0"/>
    <pivotField showAll="0"/>
    <pivotField showAll="0"/>
    <pivotField showAll="0"/>
    <pivotField showAll="0">
      <items count="14">
        <item x="7"/>
        <item x="0"/>
        <item x="1"/>
        <item x="5"/>
        <item x="6"/>
        <item m="1" x="11"/>
        <item x="9"/>
        <item m="1" x="12"/>
        <item x="2"/>
        <item m="1" x="10"/>
        <item x="4"/>
        <item x="3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7">
        <item m="1" x="5"/>
        <item x="3"/>
        <item x="0"/>
        <item x="1"/>
        <item x="2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2"/>
        <item x="7"/>
        <item x="4"/>
        <item x="3"/>
        <item x="1"/>
        <item x="0"/>
        <item x="5"/>
        <item x="6"/>
        <item t="default"/>
      </items>
    </pivotField>
  </pivotFields>
  <rowFields count="1">
    <field x="2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" fld="21" subtotal="count" baseField="18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DDF491F-25CA-4EA3-ADB2-CCD57D05F153}" autoFormatId="16" applyNumberFormats="0" applyBorderFormats="0" applyFontFormats="0" applyPatternFormats="0" applyAlignmentFormats="0" applyWidthHeightFormats="0">
  <queryTableRefresh nextId="29">
    <queryTableFields count="28">
      <queryTableField id="1" name="tRetro[Winnings]" tableColumnId="1"/>
      <queryTableField id="2" name="tRetro[Winners]" tableColumnId="2"/>
      <queryTableField id="3" name="tRetro[HS_Pos]" tableColumnId="3"/>
      <queryTableField id="4" name="tRetro[HS_MVP]" tableColumnId="4"/>
      <queryTableField id="5" name="tRetro[MVP_Rank]" tableColumnId="5"/>
      <queryTableField id="6" name="tRetro[ID]" tableColumnId="6"/>
      <queryTableField id="7" name="tRetro[GroupID]" tableColumnId="7"/>
      <queryTableField id="8" name="tRetro[key]" tableColumnId="8"/>
      <queryTableField id="9" name="tRetro[mvp_salary_rank]" tableColumnId="9"/>
      <queryTableField id="10" name="tRetro[l_salary_rank]" tableColumnId="10"/>
      <queryTableField id="11" name="tRetro[MVP_pos]" tableColumnId="11"/>
      <queryTableField id="12" name="tRetro[p2_pos]" tableColumnId="12"/>
      <queryTableField id="13" name="tRetro[p3_pos]" tableColumnId="13"/>
      <queryTableField id="14" name="tRetro[p4_pos]" tableColumnId="14"/>
      <queryTableField id="15" name="tRetro[p5_pos]" tableColumnId="15"/>
      <queryTableField id="16" name="tRetro[p6_pos]" tableColumnId="16"/>
      <queryTableField id="17" name="tRetro[select]" tableColumnId="17"/>
      <queryTableField id="18" name="tRetro[team_cnt]" tableColumnId="18"/>
      <queryTableField id="19" name="tRetro[total_salary]" tableColumnId="19"/>
      <queryTableField id="20" name="tRetro[total_fppg]" tableColumnId="20"/>
      <queryTableField id="21" name="tRetro[total_ppts]" tableColumnId="21"/>
      <queryTableField id="22" name="tRetro[total_pts]" tableColumnId="22"/>
      <queryTableField id="23" name="tRetro[MVP_name]" tableColumnId="23"/>
      <queryTableField id="24" name="tRetro[p2_name]" tableColumnId="24"/>
      <queryTableField id="25" name="tRetro[p3_name]" tableColumnId="25"/>
      <queryTableField id="26" name="tRetro[p4_name]" tableColumnId="26"/>
      <queryTableField id="27" name="tRetro[p5_name]" tableColumnId="27"/>
      <queryTableField id="28" name="tRetro[p6_name]" tableColumnId="28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E74574-01ED-4229-8E97-48ED7F593923}" name="Table_ExternalData_1" displayName="Table_ExternalData_1" ref="A3:AB9" tableType="queryTable" totalsRowShown="0">
  <autoFilter ref="A3:AB9" xr:uid="{CAE74574-01ED-4229-8E97-48ED7F593923}"/>
  <tableColumns count="28">
    <tableColumn id="1" xr3:uid="{9900A05F-71F0-4CA6-AB84-D1375E12F905}" uniqueName="1" name="tRetro[Winnings]" queryTableFieldId="1"/>
    <tableColumn id="2" xr3:uid="{A0455972-6E78-4727-B565-F92E7CE40FC6}" uniqueName="2" name="tRetro[Winners]" queryTableFieldId="2"/>
    <tableColumn id="3" xr3:uid="{D56C0FC9-6F8B-4EFB-ABE8-C4BE92379D54}" uniqueName="3" name="tRetro[HS_Pos]" queryTableFieldId="3"/>
    <tableColumn id="4" xr3:uid="{F91F8B25-D544-486A-A894-AAE53E681800}" uniqueName="4" name="tRetro[HS_MVP]" queryTableFieldId="4"/>
    <tableColumn id="5" xr3:uid="{DAF6351A-B7B7-47F7-B376-64473088BB27}" uniqueName="5" name="tRetro[MVP_Rank]" queryTableFieldId="5"/>
    <tableColumn id="6" xr3:uid="{93A8CA96-70AC-4127-8EF2-29CCAD4BDAE5}" uniqueName="6" name="tRetro[ID]" queryTableFieldId="6"/>
    <tableColumn id="7" xr3:uid="{66583FFA-63AF-4219-B040-AB3184A437B3}" uniqueName="7" name="tRetro[GroupID]" queryTableFieldId="7"/>
    <tableColumn id="8" xr3:uid="{9BD2E72A-E539-4B7A-86F5-BEB57C99A06A}" uniqueName="8" name="tRetro[key]" queryTableFieldId="8"/>
    <tableColumn id="9" xr3:uid="{278DC8E4-C858-4932-A741-5CD1A3434320}" uniqueName="9" name="tRetro[mvp_salary_rank]" queryTableFieldId="9"/>
    <tableColumn id="10" xr3:uid="{57EE199E-6CDC-4351-9734-7BEC0D8C95DF}" uniqueName="10" name="tRetro[l_salary_rank]" queryTableFieldId="10"/>
    <tableColumn id="11" xr3:uid="{FA45ACB3-044D-4C11-B976-8C445C398A0D}" uniqueName="11" name="tRetro[MVP_pos]" queryTableFieldId="11"/>
    <tableColumn id="12" xr3:uid="{E966E12D-9707-49DA-99A2-1C7FA6613BB3}" uniqueName="12" name="tRetro[p2_pos]" queryTableFieldId="12"/>
    <tableColumn id="13" xr3:uid="{496512C6-AC9B-478F-9DBC-576E25AD0EE0}" uniqueName="13" name="tRetro[p3_pos]" queryTableFieldId="13"/>
    <tableColumn id="14" xr3:uid="{BBCB3BC4-BE31-4A02-AFEA-4F8DE471FFED}" uniqueName="14" name="tRetro[p4_pos]" queryTableFieldId="14"/>
    <tableColumn id="15" xr3:uid="{EC9C7835-2EC1-4DEB-8B00-9ED958342324}" uniqueName="15" name="tRetro[p5_pos]" queryTableFieldId="15"/>
    <tableColumn id="16" xr3:uid="{B1757ED5-0D67-45FF-A471-FFDE34696B9D}" uniqueName="16" name="tRetro[p6_pos]" queryTableFieldId="16"/>
    <tableColumn id="17" xr3:uid="{20FD5918-2D90-4D1E-A710-F4F31207E5D9}" uniqueName="17" name="tRetro[select]" queryTableFieldId="17"/>
    <tableColumn id="18" xr3:uid="{C59AF6F3-1980-4CFF-B605-BB3C9782304C}" uniqueName="18" name="tRetro[team_cnt]" queryTableFieldId="18"/>
    <tableColumn id="19" xr3:uid="{440B4195-34BA-4EA9-9DAC-C5D1530D30B1}" uniqueName="19" name="tRetro[total_salary]" queryTableFieldId="19"/>
    <tableColumn id="20" xr3:uid="{FA9A7FCB-0CBC-4163-87EA-FA1945A77BBD}" uniqueName="20" name="tRetro[total_fppg]" queryTableFieldId="20"/>
    <tableColumn id="21" xr3:uid="{0846CBCE-34B4-4975-A240-6185871A64B4}" uniqueName="21" name="tRetro[total_ppts]" queryTableFieldId="21"/>
    <tableColumn id="22" xr3:uid="{03CCD043-DA42-4FDA-9344-485CC2F30592}" uniqueName="22" name="tRetro[total_pts]" queryTableFieldId="22"/>
    <tableColumn id="23" xr3:uid="{CE3886A4-C0E3-4A03-A4AA-FE6D0BFA6777}" uniqueName="23" name="tRetro[MVP_name]" queryTableFieldId="23"/>
    <tableColumn id="24" xr3:uid="{CB72C320-67CC-4AE6-B9DB-374E998E04C5}" uniqueName="24" name="tRetro[p2_name]" queryTableFieldId="24"/>
    <tableColumn id="25" xr3:uid="{82643529-63FC-4D3F-BF2C-E47A6321601A}" uniqueName="25" name="tRetro[p3_name]" queryTableFieldId="25"/>
    <tableColumn id="26" xr3:uid="{43A391F6-99F9-4998-9818-B792169C6725}" uniqueName="26" name="tRetro[p4_name]" queryTableFieldId="26"/>
    <tableColumn id="27" xr3:uid="{A498ED0C-2B08-4E3B-B609-12F034463ADE}" uniqueName="27" name="tRetro[p5_name]" queryTableFieldId="27"/>
    <tableColumn id="28" xr3:uid="{A5888B81-EBC2-4601-ADF1-42073DBB0D03}" uniqueName="28" name="tRetro[p6_name]" queryTableField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451FC6-CE98-495D-A142-4B59E835DB13}" name="Table3" displayName="Table3" ref="A1:AF71" totalsRowShown="0" headerRowDxfId="34">
  <autoFilter ref="A1:AF71" xr:uid="{CC451FC6-CE98-495D-A142-4B59E835DB13}"/>
  <tableColumns count="32">
    <tableColumn id="1" xr3:uid="{8ACB171B-3E04-4549-A637-6DAB57A220DD}" name="Winnings"/>
    <tableColumn id="2" xr3:uid="{35394587-99FD-4893-90E0-AFEFD80B64B2}" name="Winners"/>
    <tableColumn id="3" xr3:uid="{664945EC-F515-4032-8E37-DDB5E7B62FF7}" name="Place"/>
    <tableColumn id="4" xr3:uid="{03F6E309-D0C5-4C19-8343-E45D83C8A03A}" name="HS Position"/>
    <tableColumn id="5" xr3:uid="{4423A7B2-1CF7-45C3-BB32-3AEAC8A1C9C2}" name="HS MVP">
      <calculatedColumnFormula>COUNTIFS(Retro!$I2,1,Retro!$M2,1)</calculatedColumnFormula>
    </tableColumn>
    <tableColumn id="6" xr3:uid="{E1CF384E-CFF3-4644-ADE0-B7D8B81B6E11}" name="HS Wins">
      <calculatedColumnFormula>COUNTIFS(Retro!$I2,1,Retro!$M2,"&lt;&gt;1")</calculatedColumnFormula>
    </tableColumn>
    <tableColumn id="7" xr3:uid="{40929012-DF81-4378-B12E-0AF5AB79B046}" name="MVP Pts Rank"/>
    <tableColumn id="8" xr3:uid="{DBE4D369-AAEE-43F8-BD19-B1E81D966BC1}" name="MVP Position">
      <calculatedColumnFormula>MID(Retro!$O2,1,FIND(":",Retro!$O2)-1)</calculatedColumnFormula>
    </tableColumn>
    <tableColumn id="9" xr3:uid="{E5114AED-0F35-4547-B120-2A62917D4741}" name="Key">
      <calculatedColumnFormula>INT(MID(Retro!$L2,1,1))</calculatedColumnFormula>
    </tableColumn>
    <tableColumn id="10" xr3:uid="{9AEAF83E-02AB-4699-A63D-E4233726D66D}" name="ID"/>
    <tableColumn id="11" xr3:uid="{25CB12BB-DBB9-48CF-9F59-32771617D8C9}" name="Group ID"/>
    <tableColumn id="12" xr3:uid="{58EFA33B-6EA8-4E55-85C4-B2480E64FD16}" name="Key 2"/>
    <tableColumn id="13" xr3:uid="{00875BF0-B3EF-41F3-ABD6-A1CDC35C8266}" name="MVP Key"/>
    <tableColumn id="14" xr3:uid="{E5C9E01F-DC3B-487E-A999-F7E489CD2713}" name="LS Key"/>
    <tableColumn id="15" xr3:uid="{4908C0A3-B9AD-41D4-94B4-B6270865D077}" name="MVP_pos"/>
    <tableColumn id="16" xr3:uid="{AFD7755A-49FB-4669-8E95-1A19CBFE85FD}" name="p2_pos"/>
    <tableColumn id="17" xr3:uid="{65FC6505-E52B-491D-9141-AEFA17493791}" name="p3_pos"/>
    <tableColumn id="18" xr3:uid="{9D2C576D-36F9-4D9F-BF26-40D412B9D97A}" name="p4_pos"/>
    <tableColumn id="19" xr3:uid="{F070A875-3DE7-41AA-9690-F8611ACCED47}" name="p5_pos"/>
    <tableColumn id="20" xr3:uid="{DB3F6BBB-2678-4092-8B7D-9A1492835744}" name="p6_pos"/>
    <tableColumn id="21" xr3:uid="{CF5CEA96-C3FB-4330-84ED-3EE065F919E0}" name="select"/>
    <tableColumn id="22" xr3:uid="{A8F3CA3B-DBED-4AA6-927D-0AF53C21171F}" name="team_cnt"/>
    <tableColumn id="23" xr3:uid="{5E51C097-EF21-4A20-800D-A318C967D384}" name="total_salary"/>
    <tableColumn id="24" xr3:uid="{59593FCF-F45E-4706-BC2C-FCD71D88509A}" name="total_fppg"/>
    <tableColumn id="25" xr3:uid="{FC60C9CE-B9C5-4322-8597-7E4ACE3AA7B7}" name="total_ppts"/>
    <tableColumn id="26" xr3:uid="{B9DE401D-D023-423C-AAD4-339078D30B28}" name="total_pts"/>
    <tableColumn id="27" xr3:uid="{87FB1A9A-18BF-4B1C-8371-B030EE50B4AC}" name="p2_name"/>
    <tableColumn id="28" xr3:uid="{13BB0A27-5A51-4C48-8E0B-14F4223BA63C}" name="Column1"/>
    <tableColumn id="29" xr3:uid="{9D08952A-502F-4B60-873C-DDA62797D483}" name="p3_name"/>
    <tableColumn id="30" xr3:uid="{0C9C1738-4328-430B-B286-658E01B6B90C}" name="p4_name"/>
    <tableColumn id="31" xr3:uid="{6A539ECA-7E42-46EE-A43E-A7EDCE8C163F}" name="p5_name"/>
    <tableColumn id="32" xr3:uid="{5DC93476-FE5C-44EA-BACE-22C939B51031}" name="p6_nam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C59F41-16A2-44B8-88BB-2E9027FE13FF}" name="tPositionMatrix" displayName="tPositionMatrix" ref="A1:S72" totalsRowCount="1" headerRowDxfId="32" totalsRowDxfId="12">
  <autoFilter ref="A1:S71" xr:uid="{CDC59F41-16A2-44B8-88BB-2E9027FE13FF}"/>
  <tableColumns count="19">
    <tableColumn id="1" xr3:uid="{56F9384B-8E2B-4D87-AEC6-360DE947AD23}" name="MVP" totalsRowFunction="count" dataDxfId="33" totalsRowDxfId="31"/>
    <tableColumn id="2" xr3:uid="{A9E627AC-7AE0-4A5F-8697-C7678F7BAD5C}" name="D" totalsRowFunction="count" totalsRowDxfId="30"/>
    <tableColumn id="3" xr3:uid="{F078067E-D2CF-4E32-9E35-208575C9F930}" name="D2" totalsRowFunction="count" totalsRowDxfId="29"/>
    <tableColumn id="4" xr3:uid="{41E929C6-FB8A-47A1-9677-4C66DABB9724}" name="K" totalsRowFunction="count" totalsRowDxfId="28"/>
    <tableColumn id="5" xr3:uid="{C3396A44-B1DF-401C-A45C-EC15D667CCE5}" name="K2" totalsRowFunction="count" totalsRowDxfId="27"/>
    <tableColumn id="6" xr3:uid="{9CAE00FF-4E39-4FAD-85D5-B5E1F3F51093}" name="QB" totalsRowFunction="count" totalsRowDxfId="26"/>
    <tableColumn id="7" xr3:uid="{8A5DCE23-301F-4985-9CDF-0BA9B7777648}" name="QB2" totalsRowFunction="count" totalsRowDxfId="25"/>
    <tableColumn id="8" xr3:uid="{A40EA76E-5DA5-464A-ADEB-6D38A94DD4BE}" name="RB" totalsRowFunction="count" totalsRowDxfId="24"/>
    <tableColumn id="9" xr3:uid="{8674B55E-6CA0-410A-831B-80F416DD5DB7}" name="RB2" totalsRowFunction="count" totalsRowDxfId="23"/>
    <tableColumn id="10" xr3:uid="{518A6CF4-23E8-47AE-BAD3-98C9118D81B0}" name="RB3" totalsRowFunction="count" totalsRowDxfId="22"/>
    <tableColumn id="11" xr3:uid="{2872B3DB-30AA-4376-BEF5-B4AEE5052861}" name="TE" totalsRowFunction="count" totalsRowDxfId="21"/>
    <tableColumn id="12" xr3:uid="{4303795D-4604-4226-9E8E-6FF0884EC276}" name="TE2" totalsRowFunction="count" totalsRowDxfId="20"/>
    <tableColumn id="13" xr3:uid="{CB81D554-7D73-410C-AA08-8E4EB2540252}" name="WR1" totalsRowFunction="count" totalsRowDxfId="19"/>
    <tableColumn id="14" xr3:uid="{2B03384B-68A9-46B2-AD6E-A9B2A4875298}" name="WR12" totalsRowFunction="count" totalsRowDxfId="18"/>
    <tableColumn id="15" xr3:uid="{6ADB001A-66F6-4C7A-9468-9E5C49990881}" name="WR2" totalsRowFunction="count" totalsRowDxfId="17"/>
    <tableColumn id="16" xr3:uid="{B964FE4D-775C-4A97-B692-B09F7059E5B8}" name="WR22" totalsRowFunction="count" totalsRowDxfId="16"/>
    <tableColumn id="17" xr3:uid="{540E9743-EE85-4507-B7F1-56EB512280C2}" name="WR3" totalsRowFunction="count" totalsRowDxfId="15"/>
    <tableColumn id="18" xr3:uid="{E2EB1345-BC59-44AA-A2DA-4B6F54BDCE8C}" name="WR32" totalsRowFunction="count" totalsRowDxfId="14"/>
    <tableColumn id="19" xr3:uid="{2350AC14-8A89-46D3-A29B-3C1CF00CB800}" name="WR4" totalsRowFunction="count" totalsRowDxfId="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1828-267B-44FD-80B2-AB09BF06A5D1}">
  <sheetPr codeName="Sheet12"/>
  <dimension ref="A1:AB9"/>
  <sheetViews>
    <sheetView workbookViewId="0">
      <selection activeCell="G18" sqref="G18"/>
    </sheetView>
  </sheetViews>
  <sheetFormatPr defaultRowHeight="14.25" x14ac:dyDescent="0.45"/>
  <cols>
    <col min="1" max="1" width="16.9296875" bestFit="1" customWidth="1"/>
    <col min="2" max="2" width="16.1328125" bestFit="1" customWidth="1"/>
    <col min="3" max="3" width="15.265625" bestFit="1" customWidth="1"/>
    <col min="4" max="4" width="16.19921875" bestFit="1" customWidth="1"/>
    <col min="5" max="5" width="18.06640625" bestFit="1" customWidth="1"/>
    <col min="6" max="6" width="11" bestFit="1" customWidth="1"/>
    <col min="7" max="7" width="16.1328125" bestFit="1" customWidth="1"/>
    <col min="8" max="8" width="12.1328125" bestFit="1" customWidth="1"/>
    <col min="9" max="9" width="23.265625" bestFit="1" customWidth="1"/>
    <col min="10" max="10" width="20.06640625" bestFit="1" customWidth="1"/>
    <col min="11" max="11" width="17" bestFit="1" customWidth="1"/>
    <col min="12" max="16" width="15.265625" bestFit="1" customWidth="1"/>
    <col min="17" max="17" width="14" bestFit="1" customWidth="1"/>
    <col min="18" max="18" width="17" bestFit="1" customWidth="1"/>
    <col min="19" max="19" width="18.796875" bestFit="1" customWidth="1"/>
    <col min="20" max="20" width="17.73046875" bestFit="1" customWidth="1"/>
    <col min="21" max="21" width="17.6640625" bestFit="1" customWidth="1"/>
    <col min="22" max="22" width="16.59765625" bestFit="1" customWidth="1"/>
    <col min="23" max="23" width="25" bestFit="1" customWidth="1"/>
    <col min="24" max="24" width="28.46484375" bestFit="1" customWidth="1"/>
    <col min="25" max="25" width="26.06640625" bestFit="1" customWidth="1"/>
    <col min="26" max="26" width="29.53125" bestFit="1" customWidth="1"/>
    <col min="27" max="27" width="28.06640625" bestFit="1" customWidth="1"/>
    <col min="28" max="28" width="27.1328125" bestFit="1" customWidth="1"/>
  </cols>
  <sheetData>
    <row r="1" spans="1:28" x14ac:dyDescent="0.45">
      <c r="A1" s="21" t="s">
        <v>208</v>
      </c>
    </row>
    <row r="3" spans="1:28" x14ac:dyDescent="0.45">
      <c r="A3" t="s">
        <v>180</v>
      </c>
      <c r="B3" t="s">
        <v>181</v>
      </c>
      <c r="C3" t="s">
        <v>182</v>
      </c>
      <c r="D3" t="s">
        <v>183</v>
      </c>
      <c r="E3" t="s">
        <v>184</v>
      </c>
      <c r="F3" t="s">
        <v>185</v>
      </c>
      <c r="G3" t="s">
        <v>186</v>
      </c>
      <c r="H3" t="s">
        <v>187</v>
      </c>
      <c r="I3" t="s">
        <v>188</v>
      </c>
      <c r="J3" t="s">
        <v>189</v>
      </c>
      <c r="K3" t="s">
        <v>190</v>
      </c>
      <c r="L3" t="s">
        <v>191</v>
      </c>
      <c r="M3" t="s">
        <v>192</v>
      </c>
      <c r="N3" t="s">
        <v>193</v>
      </c>
      <c r="O3" t="s">
        <v>194</v>
      </c>
      <c r="P3" t="s">
        <v>195</v>
      </c>
      <c r="Q3" t="s">
        <v>196</v>
      </c>
      <c r="R3" t="s">
        <v>197</v>
      </c>
      <c r="S3" t="s">
        <v>198</v>
      </c>
      <c r="T3" t="s">
        <v>199</v>
      </c>
      <c r="U3" t="s">
        <v>200</v>
      </c>
      <c r="V3" t="s">
        <v>201</v>
      </c>
      <c r="W3" t="s">
        <v>202</v>
      </c>
      <c r="X3" t="s">
        <v>203</v>
      </c>
      <c r="Y3" t="s">
        <v>204</v>
      </c>
      <c r="Z3" t="s">
        <v>205</v>
      </c>
      <c r="AA3" t="s">
        <v>206</v>
      </c>
      <c r="AB3" t="s">
        <v>207</v>
      </c>
    </row>
    <row r="4" spans="1:28" x14ac:dyDescent="0.45">
      <c r="A4">
        <v>125</v>
      </c>
      <c r="B4">
        <v>5</v>
      </c>
      <c r="C4" t="s">
        <v>45</v>
      </c>
      <c r="D4">
        <v>0</v>
      </c>
      <c r="E4">
        <v>1</v>
      </c>
      <c r="F4">
        <v>27863</v>
      </c>
      <c r="G4">
        <v>5037</v>
      </c>
      <c r="H4">
        <v>13</v>
      </c>
      <c r="I4">
        <v>3</v>
      </c>
      <c r="J4">
        <v>14</v>
      </c>
      <c r="K4" t="s">
        <v>78</v>
      </c>
      <c r="L4" t="s">
        <v>45</v>
      </c>
      <c r="M4" t="s">
        <v>87</v>
      </c>
      <c r="N4" t="s">
        <v>46</v>
      </c>
      <c r="O4" t="s">
        <v>107</v>
      </c>
      <c r="P4" t="s">
        <v>14</v>
      </c>
      <c r="R4">
        <v>3</v>
      </c>
      <c r="S4">
        <v>57600</v>
      </c>
      <c r="T4">
        <v>67.69</v>
      </c>
      <c r="U4">
        <v>76.14</v>
      </c>
      <c r="V4">
        <v>137</v>
      </c>
      <c r="W4" t="s">
        <v>108</v>
      </c>
      <c r="X4" t="s">
        <v>109</v>
      </c>
      <c r="Y4" t="s">
        <v>110</v>
      </c>
      <c r="Z4" t="s">
        <v>111</v>
      </c>
      <c r="AA4" t="s">
        <v>112</v>
      </c>
      <c r="AB4" t="s">
        <v>113</v>
      </c>
    </row>
    <row r="5" spans="1:28" x14ac:dyDescent="0.45">
      <c r="A5">
        <v>200</v>
      </c>
      <c r="B5">
        <v>2</v>
      </c>
      <c r="C5" t="s">
        <v>36</v>
      </c>
      <c r="D5">
        <v>1</v>
      </c>
      <c r="E5">
        <v>1</v>
      </c>
      <c r="F5">
        <v>14668</v>
      </c>
      <c r="G5">
        <v>2884</v>
      </c>
      <c r="H5">
        <v>13</v>
      </c>
      <c r="I5">
        <v>1</v>
      </c>
      <c r="J5">
        <v>42</v>
      </c>
      <c r="K5" t="s">
        <v>36</v>
      </c>
      <c r="L5" t="s">
        <v>96</v>
      </c>
      <c r="M5" t="s">
        <v>174</v>
      </c>
      <c r="N5" t="s">
        <v>175</v>
      </c>
      <c r="O5" t="s">
        <v>176</v>
      </c>
      <c r="P5" t="s">
        <v>177</v>
      </c>
      <c r="R5">
        <v>3</v>
      </c>
      <c r="S5">
        <v>58600</v>
      </c>
      <c r="T5">
        <v>52.9</v>
      </c>
      <c r="U5">
        <v>64.19</v>
      </c>
      <c r="V5">
        <v>96.23</v>
      </c>
      <c r="W5" t="s">
        <v>114</v>
      </c>
      <c r="X5" t="s">
        <v>115</v>
      </c>
      <c r="Y5" t="s">
        <v>116</v>
      </c>
      <c r="Z5" t="s">
        <v>117</v>
      </c>
      <c r="AA5" t="s">
        <v>118</v>
      </c>
      <c r="AB5" t="s">
        <v>152</v>
      </c>
    </row>
    <row r="6" spans="1:28" x14ac:dyDescent="0.45">
      <c r="A6">
        <v>500</v>
      </c>
      <c r="B6">
        <v>1</v>
      </c>
      <c r="C6" t="s">
        <v>25</v>
      </c>
      <c r="D6">
        <v>0</v>
      </c>
      <c r="E6">
        <v>2</v>
      </c>
      <c r="F6">
        <v>30089</v>
      </c>
      <c r="G6">
        <v>5736</v>
      </c>
      <c r="H6">
        <v>13</v>
      </c>
      <c r="I6">
        <v>3</v>
      </c>
      <c r="J6">
        <v>20</v>
      </c>
      <c r="K6" t="s">
        <v>153</v>
      </c>
      <c r="L6" t="s">
        <v>25</v>
      </c>
      <c r="M6" t="s">
        <v>103</v>
      </c>
      <c r="N6" t="s">
        <v>119</v>
      </c>
      <c r="O6" t="s">
        <v>154</v>
      </c>
      <c r="P6" t="s">
        <v>155</v>
      </c>
      <c r="R6">
        <v>4</v>
      </c>
      <c r="S6">
        <v>59400</v>
      </c>
      <c r="T6">
        <v>76.89</v>
      </c>
      <c r="U6">
        <v>93.8</v>
      </c>
      <c r="V6">
        <v>106.27</v>
      </c>
      <c r="W6" t="s">
        <v>120</v>
      </c>
      <c r="X6" t="s">
        <v>121</v>
      </c>
      <c r="Y6" t="s">
        <v>122</v>
      </c>
      <c r="Z6" t="s">
        <v>123</v>
      </c>
      <c r="AA6" t="s">
        <v>124</v>
      </c>
      <c r="AB6" t="s">
        <v>125</v>
      </c>
    </row>
    <row r="7" spans="1:28" x14ac:dyDescent="0.45">
      <c r="A7">
        <v>750</v>
      </c>
      <c r="B7">
        <v>1</v>
      </c>
      <c r="C7" t="s">
        <v>157</v>
      </c>
      <c r="D7">
        <v>0</v>
      </c>
      <c r="E7">
        <v>1</v>
      </c>
      <c r="F7">
        <v>36784</v>
      </c>
      <c r="G7">
        <v>6925</v>
      </c>
      <c r="H7">
        <v>13</v>
      </c>
      <c r="I7">
        <v>3</v>
      </c>
      <c r="J7">
        <v>23</v>
      </c>
      <c r="K7" t="s">
        <v>57</v>
      </c>
      <c r="L7" t="s">
        <v>157</v>
      </c>
      <c r="M7" t="s">
        <v>51</v>
      </c>
      <c r="N7" t="s">
        <v>127</v>
      </c>
      <c r="O7" t="s">
        <v>16</v>
      </c>
      <c r="P7" t="s">
        <v>158</v>
      </c>
      <c r="R7">
        <v>4</v>
      </c>
      <c r="S7">
        <v>59800</v>
      </c>
      <c r="T7">
        <v>56.47</v>
      </c>
      <c r="U7">
        <v>64.47</v>
      </c>
      <c r="V7">
        <v>161.44</v>
      </c>
      <c r="W7" t="s">
        <v>128</v>
      </c>
      <c r="X7" t="s">
        <v>129</v>
      </c>
      <c r="Y7" t="s">
        <v>130</v>
      </c>
      <c r="Z7" t="s">
        <v>131</v>
      </c>
      <c r="AA7" t="s">
        <v>132</v>
      </c>
      <c r="AB7" t="s">
        <v>133</v>
      </c>
    </row>
    <row r="8" spans="1:28" x14ac:dyDescent="0.45">
      <c r="A8">
        <v>500</v>
      </c>
      <c r="B8">
        <v>1</v>
      </c>
      <c r="C8" t="s">
        <v>43</v>
      </c>
      <c r="D8">
        <v>0</v>
      </c>
      <c r="E8">
        <v>1</v>
      </c>
      <c r="F8">
        <v>8942</v>
      </c>
      <c r="G8">
        <v>1883</v>
      </c>
      <c r="H8">
        <v>13</v>
      </c>
      <c r="I8">
        <v>4</v>
      </c>
      <c r="J8">
        <v>47</v>
      </c>
      <c r="K8" t="s">
        <v>61</v>
      </c>
      <c r="L8" t="s">
        <v>43</v>
      </c>
      <c r="M8" t="s">
        <v>136</v>
      </c>
      <c r="N8" t="s">
        <v>162</v>
      </c>
      <c r="O8" t="s">
        <v>178</v>
      </c>
      <c r="P8" t="s">
        <v>151</v>
      </c>
      <c r="R8">
        <v>2</v>
      </c>
      <c r="S8">
        <v>59700</v>
      </c>
      <c r="T8">
        <v>62.65</v>
      </c>
      <c r="U8">
        <v>68.75</v>
      </c>
      <c r="V8">
        <v>139.62</v>
      </c>
      <c r="W8" t="s">
        <v>137</v>
      </c>
      <c r="X8" t="s">
        <v>140</v>
      </c>
      <c r="Y8" t="s">
        <v>139</v>
      </c>
      <c r="Z8" t="s">
        <v>141</v>
      </c>
      <c r="AA8" t="s">
        <v>138</v>
      </c>
      <c r="AB8" t="s">
        <v>163</v>
      </c>
    </row>
    <row r="9" spans="1:28" x14ac:dyDescent="0.45">
      <c r="A9">
        <v>166.67</v>
      </c>
      <c r="B9">
        <v>3</v>
      </c>
      <c r="C9" t="s">
        <v>18</v>
      </c>
      <c r="D9">
        <v>1</v>
      </c>
      <c r="E9">
        <v>1</v>
      </c>
      <c r="F9">
        <v>18281</v>
      </c>
      <c r="G9">
        <v>3478</v>
      </c>
      <c r="H9">
        <v>13</v>
      </c>
      <c r="I9">
        <v>1</v>
      </c>
      <c r="J9">
        <v>18</v>
      </c>
      <c r="K9" t="s">
        <v>18</v>
      </c>
      <c r="L9" t="s">
        <v>37</v>
      </c>
      <c r="M9" t="s">
        <v>165</v>
      </c>
      <c r="N9" t="s">
        <v>166</v>
      </c>
      <c r="O9" t="s">
        <v>167</v>
      </c>
      <c r="P9" t="s">
        <v>168</v>
      </c>
      <c r="R9">
        <v>4</v>
      </c>
      <c r="S9">
        <v>56500</v>
      </c>
      <c r="T9">
        <v>58.59</v>
      </c>
      <c r="U9">
        <v>66.150000000000006</v>
      </c>
      <c r="V9">
        <v>118.85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2:Z38"/>
  <sheetViews>
    <sheetView workbookViewId="0">
      <selection activeCell="J16" sqref="J16"/>
    </sheetView>
  </sheetViews>
  <sheetFormatPr defaultColWidth="7.59765625" defaultRowHeight="14.25" x14ac:dyDescent="0.45"/>
  <cols>
    <col min="1" max="1" width="2.59765625" customWidth="1"/>
    <col min="2" max="2" width="10.19921875" bestFit="1" customWidth="1"/>
    <col min="3" max="3" width="4.796875" bestFit="1" customWidth="1"/>
    <col min="6" max="6" width="2.59765625" customWidth="1"/>
    <col min="7" max="7" width="10.46484375" bestFit="1" customWidth="1"/>
    <col min="8" max="8" width="11.3984375" bestFit="1" customWidth="1"/>
    <col min="9" max="9" width="2.59765625" customWidth="1"/>
    <col min="10" max="10" width="10.46484375" bestFit="1" customWidth="1"/>
    <col min="11" max="11" width="13.6640625" bestFit="1" customWidth="1"/>
    <col min="12" max="12" width="4.73046875" bestFit="1" customWidth="1"/>
    <col min="13" max="13" width="6.265625" bestFit="1" customWidth="1"/>
    <col min="14" max="14" width="10.19921875" bestFit="1" customWidth="1"/>
    <col min="16" max="16" width="2.59765625" customWidth="1"/>
    <col min="17" max="17" width="12.33203125" bestFit="1" customWidth="1"/>
    <col min="18" max="18" width="7.53125" bestFit="1" customWidth="1"/>
    <col min="19" max="19" width="12.86328125" bestFit="1" customWidth="1"/>
    <col min="20" max="20" width="2.59765625" customWidth="1"/>
    <col min="27" max="27" width="2.59765625" customWidth="1"/>
    <col min="28" max="28" width="10.46484375" bestFit="1" customWidth="1"/>
    <col min="29" max="29" width="5.796875" bestFit="1" customWidth="1"/>
  </cols>
  <sheetData>
    <row r="2" spans="7:26" x14ac:dyDescent="0.45">
      <c r="G2" s="25" t="s">
        <v>148</v>
      </c>
      <c r="H2" t="s">
        <v>691</v>
      </c>
      <c r="Q2" s="25" t="s">
        <v>148</v>
      </c>
      <c r="R2" s="25" t="s">
        <v>229</v>
      </c>
      <c r="S2" t="s">
        <v>233</v>
      </c>
    </row>
    <row r="3" spans="7:26" x14ac:dyDescent="0.45">
      <c r="G3" s="24">
        <v>1</v>
      </c>
      <c r="H3" s="22">
        <v>38</v>
      </c>
      <c r="Q3" s="24">
        <v>1</v>
      </c>
      <c r="R3" s="24">
        <v>12</v>
      </c>
      <c r="S3" s="22">
        <v>10</v>
      </c>
      <c r="V3" s="12"/>
      <c r="W3" s="12"/>
      <c r="X3" s="12"/>
    </row>
    <row r="4" spans="7:26" x14ac:dyDescent="0.45">
      <c r="G4" s="24">
        <v>2</v>
      </c>
      <c r="H4" s="22">
        <v>22</v>
      </c>
      <c r="R4" s="24">
        <v>13</v>
      </c>
      <c r="S4" s="22">
        <v>4</v>
      </c>
      <c r="V4" s="12"/>
      <c r="W4" s="12"/>
      <c r="X4" s="12"/>
    </row>
    <row r="5" spans="7:26" x14ac:dyDescent="0.45">
      <c r="G5" s="24">
        <v>3</v>
      </c>
      <c r="H5" s="22">
        <v>6</v>
      </c>
      <c r="R5" s="24">
        <v>14</v>
      </c>
      <c r="S5" s="22">
        <v>3</v>
      </c>
      <c r="U5" s="16"/>
      <c r="V5" s="12"/>
      <c r="W5" s="12"/>
      <c r="X5" s="12"/>
    </row>
    <row r="6" spans="7:26" x14ac:dyDescent="0.45">
      <c r="G6" s="24">
        <v>4</v>
      </c>
      <c r="H6" s="22">
        <v>4</v>
      </c>
      <c r="R6" s="24">
        <v>1</v>
      </c>
      <c r="S6" s="22">
        <v>20</v>
      </c>
      <c r="U6" s="16"/>
      <c r="V6" s="12"/>
      <c r="W6" s="12"/>
      <c r="X6" s="12"/>
    </row>
    <row r="7" spans="7:26" x14ac:dyDescent="0.45">
      <c r="G7" s="24" t="s">
        <v>179</v>
      </c>
      <c r="H7" s="22">
        <v>70</v>
      </c>
      <c r="R7" s="24">
        <v>15</v>
      </c>
      <c r="S7" s="22">
        <v>1</v>
      </c>
      <c r="U7" s="16"/>
      <c r="V7" s="12"/>
      <c r="W7" s="12"/>
      <c r="X7" s="12"/>
    </row>
    <row r="8" spans="7:26" x14ac:dyDescent="0.45">
      <c r="Q8" s="24">
        <v>2</v>
      </c>
      <c r="R8" s="24">
        <v>23</v>
      </c>
      <c r="S8" s="22">
        <v>6</v>
      </c>
      <c r="U8" s="16"/>
      <c r="V8" s="12"/>
      <c r="W8" s="12"/>
      <c r="X8" s="12"/>
    </row>
    <row r="9" spans="7:26" x14ac:dyDescent="0.45">
      <c r="R9" s="24">
        <v>24</v>
      </c>
      <c r="S9" s="22">
        <v>1</v>
      </c>
      <c r="U9" s="16"/>
      <c r="V9" s="12"/>
      <c r="W9" s="12"/>
      <c r="X9" s="12"/>
    </row>
    <row r="10" spans="7:26" x14ac:dyDescent="0.45">
      <c r="R10" s="24">
        <v>27</v>
      </c>
      <c r="S10" s="22">
        <v>1</v>
      </c>
      <c r="U10" s="16"/>
      <c r="V10" s="12"/>
      <c r="W10" s="12"/>
      <c r="X10" s="12"/>
    </row>
    <row r="11" spans="7:26" x14ac:dyDescent="0.45">
      <c r="R11" s="24">
        <v>2</v>
      </c>
      <c r="S11" s="22">
        <v>13</v>
      </c>
      <c r="U11" s="16"/>
      <c r="V11" s="12"/>
      <c r="W11" s="12"/>
      <c r="X11" s="12"/>
    </row>
    <row r="12" spans="7:26" x14ac:dyDescent="0.45">
      <c r="R12" s="24">
        <v>25</v>
      </c>
      <c r="S12" s="22">
        <v>1</v>
      </c>
      <c r="U12" s="16"/>
      <c r="V12" s="12"/>
      <c r="W12" s="12"/>
      <c r="X12" s="12"/>
    </row>
    <row r="13" spans="7:26" x14ac:dyDescent="0.45">
      <c r="Q13" s="24">
        <v>3</v>
      </c>
      <c r="R13" s="24">
        <v>34</v>
      </c>
      <c r="S13" s="22">
        <v>3</v>
      </c>
      <c r="T13" s="16"/>
      <c r="U13" s="16"/>
      <c r="V13" s="12"/>
      <c r="W13" s="12"/>
      <c r="X13" s="12"/>
      <c r="Y13" s="12"/>
    </row>
    <row r="14" spans="7:26" x14ac:dyDescent="0.45">
      <c r="R14" s="24">
        <v>3</v>
      </c>
      <c r="S14" s="22">
        <v>2</v>
      </c>
      <c r="T14" s="16"/>
      <c r="U14" s="16"/>
      <c r="V14" s="12"/>
      <c r="W14" s="12"/>
      <c r="X14" s="12"/>
      <c r="Z14" s="16"/>
    </row>
    <row r="15" spans="7:26" x14ac:dyDescent="0.45">
      <c r="R15" s="24">
        <v>35</v>
      </c>
      <c r="S15" s="22">
        <v>1</v>
      </c>
      <c r="T15" s="16"/>
      <c r="U15" s="16"/>
      <c r="V15" s="12"/>
    </row>
    <row r="16" spans="7:26" x14ac:dyDescent="0.45">
      <c r="J16" s="25" t="s">
        <v>226</v>
      </c>
      <c r="K16" t="s">
        <v>715</v>
      </c>
      <c r="Q16" s="24">
        <v>4</v>
      </c>
      <c r="R16" s="24">
        <v>4</v>
      </c>
      <c r="S16" s="22">
        <v>4</v>
      </c>
      <c r="U16" s="16"/>
      <c r="V16" s="12"/>
      <c r="X16" s="12"/>
      <c r="Z16" s="16"/>
    </row>
    <row r="17" spans="2:26" x14ac:dyDescent="0.45">
      <c r="J17" s="26">
        <v>8</v>
      </c>
      <c r="K17" s="22">
        <v>1</v>
      </c>
      <c r="Q17" s="24" t="s">
        <v>179</v>
      </c>
      <c r="S17" s="22">
        <v>70</v>
      </c>
      <c r="U17" s="16"/>
      <c r="V17" s="12"/>
      <c r="Z17" s="16"/>
    </row>
    <row r="18" spans="2:26" x14ac:dyDescent="0.45">
      <c r="J18" s="26">
        <v>9</v>
      </c>
      <c r="K18" s="22">
        <v>1</v>
      </c>
      <c r="U18" s="16"/>
      <c r="V18" s="12"/>
    </row>
    <row r="19" spans="2:26" x14ac:dyDescent="0.45">
      <c r="J19" s="26">
        <v>10</v>
      </c>
      <c r="K19" s="22">
        <v>3</v>
      </c>
      <c r="U19" s="16"/>
      <c r="V19" s="12"/>
    </row>
    <row r="20" spans="2:26" x14ac:dyDescent="0.45">
      <c r="J20" s="26">
        <v>11</v>
      </c>
      <c r="K20" s="22">
        <v>7</v>
      </c>
      <c r="U20" s="16"/>
      <c r="V20" s="12"/>
    </row>
    <row r="21" spans="2:26" x14ac:dyDescent="0.45">
      <c r="J21" s="26">
        <v>12</v>
      </c>
      <c r="K21" s="22">
        <v>4</v>
      </c>
      <c r="U21" s="16"/>
      <c r="V21" s="12"/>
    </row>
    <row r="22" spans="2:26" x14ac:dyDescent="0.45">
      <c r="J22" s="26">
        <v>13</v>
      </c>
      <c r="K22" s="22">
        <v>5</v>
      </c>
      <c r="U22" s="16"/>
      <c r="V22" s="12"/>
    </row>
    <row r="23" spans="2:26" x14ac:dyDescent="0.45">
      <c r="J23" s="26">
        <v>14</v>
      </c>
      <c r="K23" s="22">
        <v>5</v>
      </c>
      <c r="U23" s="16"/>
      <c r="V23" s="12"/>
    </row>
    <row r="24" spans="2:26" x14ac:dyDescent="0.45">
      <c r="B24" s="2"/>
      <c r="C24" s="2"/>
      <c r="D24" s="21"/>
      <c r="E24" s="2"/>
      <c r="J24" s="26">
        <v>15</v>
      </c>
      <c r="K24" s="22">
        <v>8</v>
      </c>
      <c r="O24" s="2"/>
      <c r="P24" s="2"/>
      <c r="U24" s="16"/>
      <c r="V24" s="12"/>
    </row>
    <row r="25" spans="2:26" x14ac:dyDescent="0.45">
      <c r="C25" s="20"/>
      <c r="J25" s="26">
        <v>16</v>
      </c>
      <c r="K25" s="22">
        <v>6</v>
      </c>
      <c r="U25" s="16"/>
      <c r="V25" s="12"/>
    </row>
    <row r="26" spans="2:26" x14ac:dyDescent="0.45">
      <c r="B26" s="23"/>
      <c r="C26" s="20"/>
      <c r="E26" s="20"/>
      <c r="J26" s="26">
        <v>17</v>
      </c>
      <c r="K26" s="22">
        <v>7</v>
      </c>
      <c r="U26" s="16"/>
      <c r="V26" s="12"/>
    </row>
    <row r="27" spans="2:26" x14ac:dyDescent="0.45">
      <c r="B27" s="23"/>
      <c r="C27" s="20"/>
      <c r="E27" s="20"/>
      <c r="F27" s="20"/>
      <c r="J27" s="26">
        <v>18</v>
      </c>
      <c r="K27" s="22">
        <v>3</v>
      </c>
      <c r="U27" s="16"/>
      <c r="V27" s="12"/>
    </row>
    <row r="28" spans="2:26" x14ac:dyDescent="0.45">
      <c r="B28" s="23"/>
      <c r="C28" s="20"/>
      <c r="E28" s="20"/>
      <c r="F28" s="20"/>
      <c r="J28" s="26">
        <v>19</v>
      </c>
      <c r="K28" s="22">
        <v>5</v>
      </c>
      <c r="U28" s="16"/>
      <c r="V28" s="12"/>
    </row>
    <row r="29" spans="2:26" x14ac:dyDescent="0.45">
      <c r="B29" s="23"/>
      <c r="C29" s="20"/>
      <c r="E29" s="20"/>
      <c r="F29" s="20"/>
      <c r="J29" s="26">
        <v>20</v>
      </c>
      <c r="K29" s="22">
        <v>3</v>
      </c>
      <c r="U29" s="16"/>
      <c r="V29" s="12"/>
    </row>
    <row r="30" spans="2:26" x14ac:dyDescent="0.45">
      <c r="J30" s="26">
        <v>21</v>
      </c>
      <c r="K30" s="22">
        <v>6</v>
      </c>
    </row>
    <row r="31" spans="2:26" x14ac:dyDescent="0.45">
      <c r="J31" s="26">
        <v>22</v>
      </c>
      <c r="K31" s="22">
        <v>3</v>
      </c>
    </row>
    <row r="32" spans="2:26" x14ac:dyDescent="0.45">
      <c r="J32" s="26">
        <v>23</v>
      </c>
      <c r="K32" s="22">
        <v>1</v>
      </c>
    </row>
    <row r="33" spans="10:18" x14ac:dyDescent="0.45">
      <c r="J33" s="26">
        <v>30</v>
      </c>
      <c r="K33" s="22">
        <v>1</v>
      </c>
    </row>
    <row r="34" spans="10:18" x14ac:dyDescent="0.45">
      <c r="J34" s="26">
        <v>41</v>
      </c>
      <c r="K34" s="22">
        <v>1</v>
      </c>
      <c r="N34" s="4"/>
    </row>
    <row r="35" spans="10:18" x14ac:dyDescent="0.45">
      <c r="J35" s="26" t="s">
        <v>179</v>
      </c>
      <c r="K35" s="22">
        <v>70</v>
      </c>
      <c r="N35" s="4"/>
    </row>
    <row r="36" spans="10:18" x14ac:dyDescent="0.45">
      <c r="N36" s="4"/>
    </row>
    <row r="37" spans="10:18" x14ac:dyDescent="0.45">
      <c r="N37" s="4"/>
      <c r="Q37" s="5"/>
    </row>
    <row r="38" spans="10:18" x14ac:dyDescent="0.45">
      <c r="N38" s="8"/>
      <c r="O38" s="4"/>
      <c r="R38" s="5"/>
    </row>
  </sheetData>
  <sortState xmlns:xlrd2="http://schemas.microsoft.com/office/spreadsheetml/2017/richdata2" ref="X4:AA13">
    <sortCondition ref="X3"/>
  </sortState>
  <pageMargins left="0.7" right="0.7" top="0.75" bottom="0.75" header="0.3" footer="0.3"/>
  <pageSetup orientation="portrait" horizontalDpi="0" verticalDpi="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M2:S13"/>
  <sheetViews>
    <sheetView workbookViewId="0">
      <selection activeCell="M2" sqref="M2"/>
    </sheetView>
  </sheetViews>
  <sheetFormatPr defaultRowHeight="14.25" x14ac:dyDescent="0.45"/>
  <cols>
    <col min="11" max="11" width="4.9296875" customWidth="1"/>
    <col min="13" max="13" width="10.33203125" bestFit="1" customWidth="1"/>
    <col min="14" max="14" width="9.3984375" bestFit="1" customWidth="1"/>
    <col min="15" max="15" width="10.3984375" bestFit="1" customWidth="1"/>
    <col min="16" max="16" width="10.33203125" bestFit="1" customWidth="1"/>
    <col min="17" max="17" width="9.3984375" bestFit="1" customWidth="1"/>
    <col min="18" max="18" width="9.265625" bestFit="1" customWidth="1"/>
    <col min="19" max="107" width="10.59765625" bestFit="1" customWidth="1"/>
    <col min="108" max="108" width="14" bestFit="1" customWidth="1"/>
    <col min="109" max="109" width="13.86328125" bestFit="1" customWidth="1"/>
    <col min="110" max="110" width="15.19921875" bestFit="1" customWidth="1"/>
    <col min="111" max="111" width="16.6640625" bestFit="1" customWidth="1"/>
    <col min="112" max="112" width="16.53125" bestFit="1" customWidth="1"/>
    <col min="113" max="113" width="17.9296875" bestFit="1" customWidth="1"/>
    <col min="114" max="116" width="10.59765625" bestFit="1" customWidth="1"/>
    <col min="117" max="117" width="16.6640625" bestFit="1" customWidth="1"/>
    <col min="118" max="118" width="16.53125" bestFit="1" customWidth="1"/>
    <col min="119" max="119" width="17.9296875" bestFit="1" customWidth="1"/>
    <col min="120" max="122" width="10.59765625" bestFit="1" customWidth="1"/>
    <col min="123" max="123" width="17.19921875" bestFit="1" customWidth="1"/>
    <col min="124" max="124" width="17.06640625" bestFit="1" customWidth="1"/>
    <col min="125" max="125" width="18.3984375" bestFit="1" customWidth="1"/>
    <col min="126" max="128" width="10.59765625" bestFit="1" customWidth="1"/>
    <col min="129" max="129" width="16.53125" bestFit="1" customWidth="1"/>
    <col min="130" max="130" width="16.3984375" bestFit="1" customWidth="1"/>
    <col min="131" max="131" width="17.796875" bestFit="1" customWidth="1"/>
    <col min="132" max="134" width="10.59765625" bestFit="1" customWidth="1"/>
    <col min="135" max="135" width="16.06640625" bestFit="1" customWidth="1"/>
    <col min="136" max="136" width="15.9296875" bestFit="1" customWidth="1"/>
    <col min="137" max="137" width="17.33203125" bestFit="1" customWidth="1"/>
    <col min="138" max="140" width="10.59765625" bestFit="1" customWidth="1"/>
    <col min="141" max="141" width="16.1328125" bestFit="1" customWidth="1"/>
    <col min="142" max="142" width="16" bestFit="1" customWidth="1"/>
    <col min="143" max="143" width="17.3984375" bestFit="1" customWidth="1"/>
    <col min="144" max="146" width="10.59765625" bestFit="1" customWidth="1"/>
    <col min="147" max="147" width="15.796875" bestFit="1" customWidth="1"/>
    <col min="148" max="148" width="15.6640625" bestFit="1" customWidth="1"/>
    <col min="149" max="149" width="17.06640625" bestFit="1" customWidth="1"/>
    <col min="150" max="152" width="10.59765625" bestFit="1" customWidth="1"/>
    <col min="153" max="153" width="17.1328125" bestFit="1" customWidth="1"/>
    <col min="154" max="154" width="17" bestFit="1" customWidth="1"/>
    <col min="155" max="155" width="18.33203125" bestFit="1" customWidth="1"/>
    <col min="156" max="158" width="10.59765625" bestFit="1" customWidth="1"/>
    <col min="159" max="159" width="17.19921875" bestFit="1" customWidth="1"/>
    <col min="160" max="160" width="17.06640625" bestFit="1" customWidth="1"/>
    <col min="161" max="161" width="18.3984375" bestFit="1" customWidth="1"/>
    <col min="162" max="164" width="10.59765625" bestFit="1" customWidth="1"/>
    <col min="165" max="165" width="17.53125" bestFit="1" customWidth="1"/>
    <col min="166" max="166" width="17.3984375" bestFit="1" customWidth="1"/>
    <col min="167" max="167" width="18.73046875" bestFit="1" customWidth="1"/>
    <col min="168" max="182" width="10.59765625" bestFit="1" customWidth="1"/>
    <col min="183" max="183" width="15.59765625" bestFit="1" customWidth="1"/>
    <col min="184" max="184" width="15.46484375" bestFit="1" customWidth="1"/>
    <col min="185" max="185" width="16.86328125" bestFit="1" customWidth="1"/>
    <col min="186" max="186" width="14" bestFit="1" customWidth="1"/>
    <col min="187" max="187" width="13.86328125" bestFit="1" customWidth="1"/>
    <col min="188" max="188" width="15.19921875" bestFit="1" customWidth="1"/>
    <col min="189" max="190" width="10.59765625" bestFit="1" customWidth="1"/>
    <col min="191" max="191" width="16.06640625" bestFit="1" customWidth="1"/>
    <col min="192" max="192" width="15.9296875" bestFit="1" customWidth="1"/>
    <col min="193" max="193" width="17.33203125" bestFit="1" customWidth="1"/>
    <col min="194" max="196" width="10.59765625" bestFit="1" customWidth="1"/>
    <col min="197" max="197" width="16.53125" bestFit="1" customWidth="1"/>
    <col min="198" max="198" width="16.3984375" bestFit="1" customWidth="1"/>
    <col min="199" max="199" width="17.796875" bestFit="1" customWidth="1"/>
    <col min="200" max="202" width="10.59765625" bestFit="1" customWidth="1"/>
    <col min="203" max="203" width="14.3984375" bestFit="1" customWidth="1"/>
    <col min="204" max="204" width="14.265625" bestFit="1" customWidth="1"/>
    <col min="205" max="205" width="15.59765625" bestFit="1" customWidth="1"/>
    <col min="206" max="208" width="10.59765625" bestFit="1" customWidth="1"/>
    <col min="209" max="209" width="16.6640625" bestFit="1" customWidth="1"/>
    <col min="210" max="210" width="16.53125" bestFit="1" customWidth="1"/>
    <col min="211" max="211" width="17.9296875" bestFit="1" customWidth="1"/>
    <col min="212" max="214" width="10.59765625" bestFit="1" customWidth="1"/>
    <col min="215" max="215" width="16.6640625" bestFit="1" customWidth="1"/>
    <col min="216" max="216" width="16.53125" bestFit="1" customWidth="1"/>
    <col min="217" max="217" width="17.9296875" bestFit="1" customWidth="1"/>
    <col min="218" max="220" width="10.59765625" bestFit="1" customWidth="1"/>
    <col min="221" max="221" width="16.06640625" bestFit="1" customWidth="1"/>
    <col min="222" max="222" width="15.9296875" bestFit="1" customWidth="1"/>
    <col min="223" max="223" width="17.33203125" bestFit="1" customWidth="1"/>
    <col min="224" max="226" width="10.59765625" bestFit="1" customWidth="1"/>
    <col min="227" max="227" width="16.1328125" bestFit="1" customWidth="1"/>
    <col min="228" max="228" width="16" bestFit="1" customWidth="1"/>
    <col min="229" max="229" width="17.3984375" bestFit="1" customWidth="1"/>
    <col min="230" max="232" width="10.59765625" bestFit="1" customWidth="1"/>
    <col min="233" max="233" width="17.53125" bestFit="1" customWidth="1"/>
    <col min="234" max="234" width="17.3984375" bestFit="1" customWidth="1"/>
    <col min="235" max="235" width="18.73046875" bestFit="1" customWidth="1"/>
    <col min="236" max="241" width="10.59765625" bestFit="1" customWidth="1"/>
    <col min="242" max="242" width="15.59765625" bestFit="1" customWidth="1"/>
    <col min="243" max="243" width="15.46484375" bestFit="1" customWidth="1"/>
    <col min="244" max="244" width="16.86328125" bestFit="1" customWidth="1"/>
    <col min="245" max="245" width="15.59765625" bestFit="1" customWidth="1"/>
    <col min="246" max="246" width="15.46484375" bestFit="1" customWidth="1"/>
    <col min="247" max="247" width="16.86328125" bestFit="1" customWidth="1"/>
    <col min="248" max="248" width="14" bestFit="1" customWidth="1"/>
    <col min="249" max="249" width="13.86328125" bestFit="1" customWidth="1"/>
    <col min="250" max="250" width="15.19921875" bestFit="1" customWidth="1"/>
    <col min="251" max="251" width="16.3984375" bestFit="1" customWidth="1"/>
    <col min="252" max="252" width="17.796875" bestFit="1" customWidth="1"/>
    <col min="253" max="255" width="10.59765625" bestFit="1" customWidth="1"/>
    <col min="256" max="256" width="14.3984375" bestFit="1" customWidth="1"/>
    <col min="257" max="257" width="14.265625" bestFit="1" customWidth="1"/>
    <col min="258" max="258" width="15.59765625" bestFit="1" customWidth="1"/>
    <col min="259" max="261" width="10.59765625" bestFit="1" customWidth="1"/>
    <col min="262" max="262" width="16.6640625" bestFit="1" customWidth="1"/>
    <col min="263" max="263" width="16.53125" bestFit="1" customWidth="1"/>
    <col min="264" max="264" width="17.9296875" bestFit="1" customWidth="1"/>
    <col min="265" max="267" width="10.59765625" bestFit="1" customWidth="1"/>
    <col min="268" max="268" width="16.06640625" bestFit="1" customWidth="1"/>
    <col min="269" max="269" width="15.9296875" bestFit="1" customWidth="1"/>
    <col min="270" max="270" width="17.33203125" bestFit="1" customWidth="1"/>
    <col min="271" max="273" width="10.59765625" bestFit="1" customWidth="1"/>
    <col min="274" max="274" width="16.1328125" bestFit="1" customWidth="1"/>
    <col min="275" max="275" width="16" bestFit="1" customWidth="1"/>
    <col min="276" max="276" width="17.3984375" bestFit="1" customWidth="1"/>
    <col min="277" max="279" width="10.59765625" bestFit="1" customWidth="1"/>
    <col min="280" max="280" width="17.53125" bestFit="1" customWidth="1"/>
    <col min="281" max="281" width="17.3984375" bestFit="1" customWidth="1"/>
    <col min="282" max="282" width="18.73046875" bestFit="1" customWidth="1"/>
    <col min="283" max="285" width="10.59765625" bestFit="1" customWidth="1"/>
    <col min="286" max="286" width="15.59765625" bestFit="1" customWidth="1"/>
    <col min="287" max="287" width="15.46484375" bestFit="1" customWidth="1"/>
    <col min="288" max="288" width="16.86328125" bestFit="1" customWidth="1"/>
    <col min="289" max="289" width="15.59765625" bestFit="1" customWidth="1"/>
    <col min="290" max="290" width="15.46484375" bestFit="1" customWidth="1"/>
    <col min="291" max="291" width="16.86328125" bestFit="1" customWidth="1"/>
    <col min="292" max="292" width="15.59765625" bestFit="1" customWidth="1"/>
    <col min="293" max="293" width="15.46484375" bestFit="1" customWidth="1"/>
    <col min="294" max="294" width="16.86328125" bestFit="1" customWidth="1"/>
    <col min="295" max="295" width="14" bestFit="1" customWidth="1"/>
    <col min="296" max="296" width="13.86328125" bestFit="1" customWidth="1"/>
    <col min="297" max="297" width="15.19921875" bestFit="1" customWidth="1"/>
  </cols>
  <sheetData>
    <row r="2" spans="13:19" x14ac:dyDescent="0.45">
      <c r="M2" s="27" t="s">
        <v>149</v>
      </c>
      <c r="N2" s="27" t="s">
        <v>220</v>
      </c>
      <c r="O2" s="27" t="s">
        <v>221</v>
      </c>
      <c r="P2" s="27" t="s">
        <v>222</v>
      </c>
    </row>
    <row r="3" spans="13:19" x14ac:dyDescent="0.45">
      <c r="M3" s="1" t="s">
        <v>80</v>
      </c>
      <c r="O3" s="19"/>
      <c r="P3" s="19">
        <f>tPositionMatrix[[#Totals],[MVP]]</f>
        <v>70</v>
      </c>
      <c r="R3" s="14"/>
      <c r="S3" s="14"/>
    </row>
    <row r="4" spans="13:19" x14ac:dyDescent="0.45">
      <c r="M4" s="29" t="s">
        <v>34</v>
      </c>
      <c r="N4" s="12" cm="1">
        <f t="array" ref="N4:O4">tPositionMatrix[[#Totals],[D]:[D2]]</f>
        <v>22</v>
      </c>
      <c r="O4" s="19">
        <v>1</v>
      </c>
      <c r="P4" s="19"/>
      <c r="Q4" s="19"/>
      <c r="R4" s="3"/>
      <c r="S4" s="5"/>
    </row>
    <row r="5" spans="13:19" x14ac:dyDescent="0.45">
      <c r="M5" s="29" t="s">
        <v>35</v>
      </c>
      <c r="N5" s="12" cm="1">
        <f t="array" ref="N5:O5">tPositionMatrix[[#Totals],[K]:[K2]]</f>
        <v>29</v>
      </c>
      <c r="O5" s="19">
        <v>2</v>
      </c>
      <c r="P5" s="19"/>
      <c r="Q5" s="19"/>
      <c r="R5" s="14"/>
      <c r="S5" s="5"/>
    </row>
    <row r="6" spans="13:19" x14ac:dyDescent="0.45">
      <c r="M6" s="29" t="s">
        <v>28</v>
      </c>
      <c r="N6" s="12" cm="1">
        <f t="array" ref="N6:O6">tPositionMatrix[[#Totals],[QB]:[QB2]]</f>
        <v>61</v>
      </c>
      <c r="O6" s="19">
        <v>25</v>
      </c>
      <c r="P6" s="19"/>
      <c r="Q6" s="19"/>
      <c r="R6" s="14"/>
      <c r="S6" s="5"/>
    </row>
    <row r="7" spans="13:19" x14ac:dyDescent="0.45">
      <c r="M7" s="29" t="s">
        <v>29</v>
      </c>
      <c r="N7" s="12" cm="1">
        <f t="array" ref="N7:P7">tPositionMatrix[[#Totals],[RB]:[RB3]]</f>
        <v>55</v>
      </c>
      <c r="O7" s="19">
        <v>27</v>
      </c>
      <c r="P7" s="19">
        <v>1</v>
      </c>
      <c r="Q7" s="19"/>
      <c r="R7" s="14"/>
      <c r="S7" s="5"/>
    </row>
    <row r="8" spans="13:19" x14ac:dyDescent="0.45">
      <c r="M8" s="29" t="s">
        <v>30</v>
      </c>
      <c r="N8" s="12" cm="1">
        <f t="array" ref="N8:O8">tPositionMatrix[[#Totals],[TE]:[TE2]]</f>
        <v>27</v>
      </c>
      <c r="O8" s="19">
        <v>0</v>
      </c>
      <c r="P8" s="19"/>
      <c r="Q8" s="19"/>
    </row>
    <row r="9" spans="13:19" x14ac:dyDescent="0.45">
      <c r="M9" s="29" t="s">
        <v>31</v>
      </c>
      <c r="N9" s="12" cm="1">
        <f t="array" ref="N9:O9">tPositionMatrix[[#Totals],[WR1]:[WR12]]</f>
        <v>41</v>
      </c>
      <c r="O9" s="19">
        <v>7</v>
      </c>
      <c r="P9" s="19"/>
      <c r="Q9" s="19"/>
    </row>
    <row r="10" spans="13:19" x14ac:dyDescent="0.45">
      <c r="M10" s="29" t="s">
        <v>32</v>
      </c>
      <c r="N10" s="12" cm="1">
        <f t="array" ref="N10:O10">tPositionMatrix[[#Totals],[WR2]:[WR22]]</f>
        <v>27</v>
      </c>
      <c r="O10" s="19">
        <v>1</v>
      </c>
      <c r="P10" s="19"/>
      <c r="Q10" s="19"/>
    </row>
    <row r="11" spans="13:19" x14ac:dyDescent="0.45">
      <c r="M11" s="29" t="s">
        <v>33</v>
      </c>
      <c r="N11" s="12" cm="1">
        <f t="array" ref="N11:O11">tPositionMatrix[[#Totals],[WR3]:[WR32]]</f>
        <v>14</v>
      </c>
      <c r="O11" s="19">
        <v>2</v>
      </c>
      <c r="P11" s="19"/>
      <c r="Q11" s="19"/>
    </row>
    <row r="12" spans="13:19" x14ac:dyDescent="0.45">
      <c r="M12" s="29" t="s">
        <v>81</v>
      </c>
      <c r="N12" s="12">
        <f>tPositionMatrix[[#Totals],[WR4]]</f>
        <v>8</v>
      </c>
      <c r="O12" s="19"/>
      <c r="P12" s="19"/>
      <c r="Q12" s="19"/>
    </row>
    <row r="13" spans="13:19" x14ac:dyDescent="0.45">
      <c r="M13" s="28"/>
      <c r="O13" s="24"/>
      <c r="P13" s="24"/>
      <c r="Q13" s="24"/>
    </row>
  </sheetData>
  <autoFilter ref="M2:M12" xr:uid="{00000000-0001-0000-0100-00000000000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/>
  <dimension ref="G2:T42"/>
  <sheetViews>
    <sheetView workbookViewId="0">
      <selection activeCell="K23" sqref="K23"/>
    </sheetView>
  </sheetViews>
  <sheetFormatPr defaultColWidth="10.3984375" defaultRowHeight="14.25" x14ac:dyDescent="0.45"/>
  <cols>
    <col min="2" max="5" width="12.59765625" customWidth="1"/>
    <col min="6" max="6" width="2.59765625" customWidth="1"/>
    <col min="7" max="7" width="12.73046875" bestFit="1" customWidth="1"/>
    <col min="8" max="8" width="5.796875" bestFit="1" customWidth="1"/>
    <col min="9" max="9" width="2.59765625" customWidth="1"/>
    <col min="10" max="15" width="12.59765625" customWidth="1"/>
    <col min="16" max="16" width="12.46484375" customWidth="1"/>
    <col min="17" max="17" width="2.59765625" customWidth="1"/>
    <col min="18" max="18" width="10.59765625" bestFit="1" customWidth="1"/>
    <col min="19" max="19" width="7.53125" bestFit="1" customWidth="1"/>
    <col min="20" max="21" width="5.796875" bestFit="1" customWidth="1"/>
  </cols>
  <sheetData>
    <row r="2" spans="7:20" x14ac:dyDescent="0.45">
      <c r="G2" s="25" t="s">
        <v>148</v>
      </c>
      <c r="H2" t="s">
        <v>219</v>
      </c>
      <c r="R2" s="25" t="s">
        <v>225</v>
      </c>
      <c r="S2" s="25" t="s">
        <v>229</v>
      </c>
      <c r="T2" t="s">
        <v>219</v>
      </c>
    </row>
    <row r="3" spans="7:20" x14ac:dyDescent="0.45">
      <c r="G3" s="26">
        <v>1</v>
      </c>
      <c r="H3" s="22">
        <v>18</v>
      </c>
      <c r="R3" s="24">
        <v>1</v>
      </c>
      <c r="S3" s="24">
        <v>12</v>
      </c>
      <c r="T3" s="22">
        <v>5</v>
      </c>
    </row>
    <row r="4" spans="7:20" x14ac:dyDescent="0.45">
      <c r="G4" s="26">
        <v>2</v>
      </c>
      <c r="H4" s="22">
        <v>16</v>
      </c>
      <c r="S4" s="24">
        <v>13</v>
      </c>
      <c r="T4" s="22">
        <v>2</v>
      </c>
    </row>
    <row r="5" spans="7:20" x14ac:dyDescent="0.45">
      <c r="G5" s="26">
        <v>3</v>
      </c>
      <c r="H5" s="22">
        <v>6</v>
      </c>
      <c r="S5" s="24">
        <v>14</v>
      </c>
      <c r="T5" s="22">
        <v>1</v>
      </c>
    </row>
    <row r="6" spans="7:20" x14ac:dyDescent="0.45">
      <c r="G6" s="26">
        <v>4</v>
      </c>
      <c r="H6" s="22">
        <v>11</v>
      </c>
      <c r="S6" s="24">
        <v>1</v>
      </c>
      <c r="T6" s="22">
        <v>9</v>
      </c>
    </row>
    <row r="7" spans="7:20" x14ac:dyDescent="0.45">
      <c r="G7" s="26">
        <v>5</v>
      </c>
      <c r="H7" s="22">
        <v>4</v>
      </c>
      <c r="S7" s="24">
        <v>15</v>
      </c>
      <c r="T7" s="22">
        <v>1</v>
      </c>
    </row>
    <row r="8" spans="7:20" x14ac:dyDescent="0.45">
      <c r="G8" s="26">
        <v>6</v>
      </c>
      <c r="H8" s="22">
        <v>3</v>
      </c>
      <c r="R8" s="24">
        <v>2</v>
      </c>
      <c r="S8" s="24">
        <v>12</v>
      </c>
      <c r="T8" s="22">
        <v>4</v>
      </c>
    </row>
    <row r="9" spans="7:20" x14ac:dyDescent="0.45">
      <c r="G9" s="26">
        <v>8</v>
      </c>
      <c r="H9" s="22">
        <v>1</v>
      </c>
      <c r="S9" s="24">
        <v>23</v>
      </c>
      <c r="T9" s="22">
        <v>5</v>
      </c>
    </row>
    <row r="10" spans="7:20" x14ac:dyDescent="0.45">
      <c r="G10" s="26">
        <v>9</v>
      </c>
      <c r="H10" s="22">
        <v>1</v>
      </c>
      <c r="S10" s="24">
        <v>2</v>
      </c>
      <c r="T10" s="22">
        <v>6</v>
      </c>
    </row>
    <row r="11" spans="7:20" x14ac:dyDescent="0.45">
      <c r="G11" s="26">
        <v>12</v>
      </c>
      <c r="H11" s="22">
        <v>3</v>
      </c>
      <c r="S11" s="24">
        <v>1</v>
      </c>
      <c r="T11" s="22">
        <v>1</v>
      </c>
    </row>
    <row r="12" spans="7:20" x14ac:dyDescent="0.45">
      <c r="G12" s="26">
        <v>7</v>
      </c>
      <c r="H12" s="22">
        <v>3</v>
      </c>
      <c r="R12" s="24">
        <v>3</v>
      </c>
      <c r="S12" s="24">
        <v>13</v>
      </c>
      <c r="T12" s="22">
        <v>1</v>
      </c>
    </row>
    <row r="13" spans="7:20" x14ac:dyDescent="0.45">
      <c r="G13" s="26">
        <v>11</v>
      </c>
      <c r="H13" s="22">
        <v>3</v>
      </c>
      <c r="S13" s="24">
        <v>2</v>
      </c>
      <c r="T13" s="22">
        <v>2</v>
      </c>
    </row>
    <row r="14" spans="7:20" x14ac:dyDescent="0.45">
      <c r="G14" s="26">
        <v>14</v>
      </c>
      <c r="H14" s="22">
        <v>1</v>
      </c>
      <c r="S14" s="24">
        <v>1</v>
      </c>
      <c r="T14" s="22">
        <v>2</v>
      </c>
    </row>
    <row r="15" spans="7:20" x14ac:dyDescent="0.45">
      <c r="G15" s="26" t="s">
        <v>179</v>
      </c>
      <c r="H15" s="22">
        <v>70</v>
      </c>
      <c r="S15" s="24">
        <v>35</v>
      </c>
      <c r="T15" s="22">
        <v>1</v>
      </c>
    </row>
    <row r="16" spans="7:20" x14ac:dyDescent="0.45">
      <c r="R16" s="24">
        <v>4</v>
      </c>
      <c r="S16" s="24">
        <v>14</v>
      </c>
      <c r="T16" s="22">
        <v>1</v>
      </c>
    </row>
    <row r="17" spans="7:20" x14ac:dyDescent="0.45">
      <c r="S17" s="24">
        <v>24</v>
      </c>
      <c r="T17" s="22">
        <v>1</v>
      </c>
    </row>
    <row r="18" spans="7:20" x14ac:dyDescent="0.45">
      <c r="S18" s="24">
        <v>34</v>
      </c>
      <c r="T18" s="22">
        <v>1</v>
      </c>
    </row>
    <row r="19" spans="7:20" x14ac:dyDescent="0.45">
      <c r="G19" s="25" t="s">
        <v>227</v>
      </c>
      <c r="H19" t="s">
        <v>219</v>
      </c>
      <c r="S19" s="24">
        <v>2</v>
      </c>
      <c r="T19" s="22">
        <v>2</v>
      </c>
    </row>
    <row r="20" spans="7:20" x14ac:dyDescent="0.45">
      <c r="G20" s="26" t="s">
        <v>690</v>
      </c>
      <c r="H20" s="22"/>
      <c r="S20" s="24">
        <v>3</v>
      </c>
      <c r="T20" s="22">
        <v>1</v>
      </c>
    </row>
    <row r="21" spans="7:20" x14ac:dyDescent="0.45">
      <c r="G21" s="26" t="s">
        <v>179</v>
      </c>
      <c r="H21" s="22"/>
      <c r="S21" s="24">
        <v>4</v>
      </c>
      <c r="T21" s="22">
        <v>1</v>
      </c>
    </row>
    <row r="22" spans="7:20" x14ac:dyDescent="0.45">
      <c r="S22" s="24">
        <v>1</v>
      </c>
      <c r="T22" s="22">
        <v>4</v>
      </c>
    </row>
    <row r="23" spans="7:20" x14ac:dyDescent="0.45">
      <c r="R23" s="24">
        <v>5</v>
      </c>
      <c r="S23" s="24">
        <v>13</v>
      </c>
      <c r="T23" s="22">
        <v>1</v>
      </c>
    </row>
    <row r="24" spans="7:20" x14ac:dyDescent="0.45">
      <c r="S24" s="24">
        <v>34</v>
      </c>
      <c r="T24" s="22">
        <v>1</v>
      </c>
    </row>
    <row r="25" spans="7:20" x14ac:dyDescent="0.45">
      <c r="S25" s="24">
        <v>2</v>
      </c>
      <c r="T25" s="22">
        <v>1</v>
      </c>
    </row>
    <row r="26" spans="7:20" x14ac:dyDescent="0.45">
      <c r="S26" s="24">
        <v>1</v>
      </c>
      <c r="T26" s="22">
        <v>1</v>
      </c>
    </row>
    <row r="27" spans="7:20" x14ac:dyDescent="0.45">
      <c r="R27" s="24">
        <v>6</v>
      </c>
      <c r="S27" s="24">
        <v>23</v>
      </c>
      <c r="T27" s="22">
        <v>1</v>
      </c>
    </row>
    <row r="28" spans="7:20" x14ac:dyDescent="0.45">
      <c r="S28" s="24">
        <v>4</v>
      </c>
      <c r="T28" s="22">
        <v>1</v>
      </c>
    </row>
    <row r="29" spans="7:20" x14ac:dyDescent="0.45">
      <c r="S29" s="24">
        <v>1</v>
      </c>
      <c r="T29" s="22">
        <v>1</v>
      </c>
    </row>
    <row r="30" spans="7:20" x14ac:dyDescent="0.45">
      <c r="R30" s="24">
        <v>8</v>
      </c>
      <c r="S30" s="24">
        <v>4</v>
      </c>
      <c r="T30" s="22">
        <v>1</v>
      </c>
    </row>
    <row r="31" spans="7:20" x14ac:dyDescent="0.45">
      <c r="R31" s="24">
        <v>9</v>
      </c>
      <c r="S31" s="24">
        <v>1</v>
      </c>
      <c r="T31" s="22">
        <v>1</v>
      </c>
    </row>
    <row r="32" spans="7:20" x14ac:dyDescent="0.45">
      <c r="R32" s="24">
        <v>12</v>
      </c>
      <c r="S32" s="24">
        <v>14</v>
      </c>
      <c r="T32" s="22">
        <v>1</v>
      </c>
    </row>
    <row r="33" spans="18:20" x14ac:dyDescent="0.45">
      <c r="S33" s="24">
        <v>3</v>
      </c>
      <c r="T33" s="22">
        <v>1</v>
      </c>
    </row>
    <row r="34" spans="18:20" x14ac:dyDescent="0.45">
      <c r="S34" s="24">
        <v>1</v>
      </c>
      <c r="T34" s="22">
        <v>1</v>
      </c>
    </row>
    <row r="35" spans="18:20" x14ac:dyDescent="0.45">
      <c r="R35" s="24">
        <v>7</v>
      </c>
      <c r="S35" s="24">
        <v>2</v>
      </c>
      <c r="T35" s="22">
        <v>1</v>
      </c>
    </row>
    <row r="36" spans="18:20" x14ac:dyDescent="0.45">
      <c r="S36" s="24">
        <v>4</v>
      </c>
      <c r="T36" s="22">
        <v>1</v>
      </c>
    </row>
    <row r="37" spans="18:20" x14ac:dyDescent="0.45">
      <c r="S37" s="24">
        <v>25</v>
      </c>
      <c r="T37" s="22">
        <v>1</v>
      </c>
    </row>
    <row r="38" spans="18:20" x14ac:dyDescent="0.45">
      <c r="R38" s="24">
        <v>11</v>
      </c>
      <c r="S38" s="24">
        <v>12</v>
      </c>
      <c r="T38" s="22">
        <v>1</v>
      </c>
    </row>
    <row r="39" spans="18:20" x14ac:dyDescent="0.45">
      <c r="S39" s="24">
        <v>27</v>
      </c>
      <c r="T39" s="22">
        <v>1</v>
      </c>
    </row>
    <row r="40" spans="18:20" x14ac:dyDescent="0.45">
      <c r="S40" s="24">
        <v>2</v>
      </c>
      <c r="T40" s="22">
        <v>1</v>
      </c>
    </row>
    <row r="41" spans="18:20" x14ac:dyDescent="0.45">
      <c r="R41" s="24">
        <v>14</v>
      </c>
      <c r="S41" s="24">
        <v>34</v>
      </c>
      <c r="T41" s="22">
        <v>1</v>
      </c>
    </row>
    <row r="42" spans="18:20" x14ac:dyDescent="0.45">
      <c r="R42" s="24" t="s">
        <v>179</v>
      </c>
      <c r="T42" s="22">
        <v>70</v>
      </c>
    </row>
  </sheetData>
  <pageMargins left="0.7" right="0.7" top="0.75" bottom="0.75" header="0.3" footer="0.3"/>
  <pageSetup orientation="portrait" horizontalDpi="0" verticalDpi="0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2:Q69"/>
  <sheetViews>
    <sheetView workbookViewId="0">
      <selection activeCell="O5" sqref="O5"/>
    </sheetView>
  </sheetViews>
  <sheetFormatPr defaultRowHeight="14.25" x14ac:dyDescent="0.45"/>
  <cols>
    <col min="4" max="4" width="11" bestFit="1" customWidth="1"/>
    <col min="7" max="7" width="5.3984375" bestFit="1" customWidth="1"/>
    <col min="11" max="11" width="10.19921875" bestFit="1" customWidth="1"/>
    <col min="13" max="13" width="11" bestFit="1" customWidth="1"/>
    <col min="14" max="14" width="12.06640625" bestFit="1" customWidth="1"/>
    <col min="15" max="16" width="14.46484375" bestFit="1" customWidth="1"/>
    <col min="17" max="17" width="19.9296875" bestFit="1" customWidth="1"/>
    <col min="18" max="18" width="5.796875" bestFit="1" customWidth="1"/>
  </cols>
  <sheetData>
    <row r="2" spans="11:17" x14ac:dyDescent="0.45">
      <c r="K2" s="27"/>
      <c r="L2" s="27"/>
      <c r="M2" s="20"/>
      <c r="O2" s="25" t="s">
        <v>27</v>
      </c>
      <c r="P2" s="25" t="s">
        <v>223</v>
      </c>
      <c r="Q2" t="s">
        <v>232</v>
      </c>
    </row>
    <row r="3" spans="11:17" x14ac:dyDescent="0.45">
      <c r="K3" s="7"/>
      <c r="L3" s="12"/>
      <c r="M3" s="20"/>
      <c r="O3" s="24" t="s">
        <v>34</v>
      </c>
      <c r="Q3" s="22">
        <v>3</v>
      </c>
    </row>
    <row r="4" spans="11:17" x14ac:dyDescent="0.45">
      <c r="K4" s="7"/>
      <c r="L4" s="12"/>
      <c r="M4" s="20"/>
      <c r="O4" s="24" t="s">
        <v>35</v>
      </c>
      <c r="Q4" s="22">
        <v>4</v>
      </c>
    </row>
    <row r="5" spans="11:17" x14ac:dyDescent="0.45">
      <c r="K5" s="7"/>
      <c r="L5" s="12"/>
      <c r="M5" s="20"/>
      <c r="O5" s="24" t="s">
        <v>28</v>
      </c>
      <c r="Q5" s="22">
        <v>21</v>
      </c>
    </row>
    <row r="6" spans="11:17" x14ac:dyDescent="0.45">
      <c r="K6" s="7"/>
      <c r="L6" s="12"/>
      <c r="M6" s="20"/>
      <c r="O6" s="24" t="s">
        <v>29</v>
      </c>
      <c r="Q6" s="22">
        <v>24</v>
      </c>
    </row>
    <row r="7" spans="11:17" x14ac:dyDescent="0.45">
      <c r="K7" s="7"/>
      <c r="L7" s="12"/>
      <c r="M7" s="20"/>
      <c r="O7" s="24" t="s">
        <v>30</v>
      </c>
      <c r="Q7" s="22">
        <v>1</v>
      </c>
    </row>
    <row r="8" spans="11:17" x14ac:dyDescent="0.45">
      <c r="K8" s="7"/>
      <c r="L8" s="12"/>
      <c r="M8" s="20"/>
      <c r="O8" s="24" t="s">
        <v>31</v>
      </c>
      <c r="Q8" s="22">
        <v>15</v>
      </c>
    </row>
    <row r="9" spans="11:17" x14ac:dyDescent="0.45">
      <c r="K9" s="7"/>
      <c r="L9" s="12"/>
      <c r="M9" s="20"/>
      <c r="O9" s="24" t="s">
        <v>32</v>
      </c>
      <c r="Q9" s="22">
        <v>2</v>
      </c>
    </row>
    <row r="10" spans="11:17" x14ac:dyDescent="0.45">
      <c r="K10" s="7"/>
      <c r="L10" s="12"/>
      <c r="M10" s="20"/>
      <c r="O10" s="24" t="s">
        <v>179</v>
      </c>
      <c r="Q10" s="22">
        <v>70</v>
      </c>
    </row>
    <row r="11" spans="11:17" x14ac:dyDescent="0.45">
      <c r="K11" s="7"/>
      <c r="L11" s="12"/>
      <c r="M11" s="20"/>
    </row>
    <row r="12" spans="11:17" x14ac:dyDescent="0.45">
      <c r="K12" s="27"/>
      <c r="L12" s="27"/>
      <c r="M12" s="11"/>
    </row>
    <row r="16" spans="11:17" x14ac:dyDescent="0.45">
      <c r="K16" s="24"/>
      <c r="L16" s="24"/>
      <c r="M16" s="24"/>
    </row>
    <row r="30" spans="1:3" x14ac:dyDescent="0.45">
      <c r="A30" s="3"/>
    </row>
    <row r="31" spans="1:3" x14ac:dyDescent="0.45">
      <c r="A31" s="3"/>
    </row>
    <row r="32" spans="1:3" x14ac:dyDescent="0.45">
      <c r="A32" s="3"/>
      <c r="C32" s="15"/>
    </row>
    <row r="33" spans="1:1" x14ac:dyDescent="0.45">
      <c r="A33" s="3"/>
    </row>
    <row r="34" spans="1:1" x14ac:dyDescent="0.45">
      <c r="A34" s="3"/>
    </row>
    <row r="35" spans="1:1" x14ac:dyDescent="0.45">
      <c r="A35" s="3"/>
    </row>
    <row r="36" spans="1:1" x14ac:dyDescent="0.45">
      <c r="A36" s="3"/>
    </row>
    <row r="37" spans="1:1" x14ac:dyDescent="0.45">
      <c r="A37" s="3"/>
    </row>
    <row r="38" spans="1:1" x14ac:dyDescent="0.45">
      <c r="A38" s="3"/>
    </row>
    <row r="39" spans="1:1" x14ac:dyDescent="0.45">
      <c r="A39" s="3"/>
    </row>
    <row r="40" spans="1:1" x14ac:dyDescent="0.45">
      <c r="A40" s="3"/>
    </row>
    <row r="41" spans="1:1" x14ac:dyDescent="0.45">
      <c r="A41" s="3"/>
    </row>
    <row r="42" spans="1:1" x14ac:dyDescent="0.45">
      <c r="A42" s="3"/>
    </row>
    <row r="43" spans="1:1" x14ac:dyDescent="0.45">
      <c r="A43" s="3"/>
    </row>
    <row r="44" spans="1:1" x14ac:dyDescent="0.45">
      <c r="A44" s="3"/>
    </row>
    <row r="45" spans="1:1" x14ac:dyDescent="0.45">
      <c r="A45" s="3"/>
    </row>
    <row r="46" spans="1:1" x14ac:dyDescent="0.45">
      <c r="A46" s="3"/>
    </row>
    <row r="47" spans="1:1" x14ac:dyDescent="0.45">
      <c r="A47" s="3"/>
    </row>
    <row r="48" spans="1:1" x14ac:dyDescent="0.45">
      <c r="A48" s="3"/>
    </row>
    <row r="49" spans="1:1" x14ac:dyDescent="0.45">
      <c r="A49" s="3"/>
    </row>
    <row r="50" spans="1:1" x14ac:dyDescent="0.45">
      <c r="A50" s="3"/>
    </row>
    <row r="51" spans="1:1" x14ac:dyDescent="0.45">
      <c r="A51" s="3"/>
    </row>
    <row r="52" spans="1:1" x14ac:dyDescent="0.45">
      <c r="A52" s="3"/>
    </row>
    <row r="53" spans="1:1" x14ac:dyDescent="0.45">
      <c r="A53" s="3"/>
    </row>
    <row r="54" spans="1:1" x14ac:dyDescent="0.45">
      <c r="A54" s="3"/>
    </row>
    <row r="55" spans="1:1" x14ac:dyDescent="0.45">
      <c r="A55" s="3"/>
    </row>
    <row r="56" spans="1:1" x14ac:dyDescent="0.45">
      <c r="A56" s="3"/>
    </row>
    <row r="57" spans="1:1" x14ac:dyDescent="0.45">
      <c r="A57" s="3"/>
    </row>
    <row r="58" spans="1:1" x14ac:dyDescent="0.45">
      <c r="A58" s="3"/>
    </row>
    <row r="59" spans="1:1" x14ac:dyDescent="0.45">
      <c r="A59" s="3"/>
    </row>
    <row r="60" spans="1:1" x14ac:dyDescent="0.45">
      <c r="A60" s="3"/>
    </row>
    <row r="61" spans="1:1" x14ac:dyDescent="0.45">
      <c r="A61" s="3"/>
    </row>
    <row r="62" spans="1:1" x14ac:dyDescent="0.45">
      <c r="A62" s="3"/>
    </row>
    <row r="63" spans="1:1" x14ac:dyDescent="0.45">
      <c r="A63" s="3"/>
    </row>
    <row r="64" spans="1:1" x14ac:dyDescent="0.45">
      <c r="A64" s="3"/>
    </row>
    <row r="65" spans="1:1" x14ac:dyDescent="0.45">
      <c r="A65" s="3"/>
    </row>
    <row r="66" spans="1:1" x14ac:dyDescent="0.45">
      <c r="A66" s="3"/>
    </row>
    <row r="67" spans="1:1" x14ac:dyDescent="0.45">
      <c r="A67" s="3"/>
    </row>
    <row r="68" spans="1:1" x14ac:dyDescent="0.45">
      <c r="A68" s="3"/>
    </row>
    <row r="69" spans="1:1" x14ac:dyDescent="0.45">
      <c r="A69" s="3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2:V72"/>
  <sheetViews>
    <sheetView tabSelected="1" workbookViewId="0">
      <selection activeCell="R2" sqref="R2"/>
    </sheetView>
  </sheetViews>
  <sheetFormatPr defaultRowHeight="14.25" x14ac:dyDescent="0.45"/>
  <cols>
    <col min="1" max="1" width="9.1328125" style="6"/>
    <col min="3" max="3" width="6.265625" bestFit="1" customWidth="1"/>
    <col min="4" max="4" width="12.06640625" bestFit="1" customWidth="1"/>
    <col min="5" max="5" width="15.9296875" bestFit="1" customWidth="1"/>
    <col min="17" max="17" width="11" bestFit="1" customWidth="1"/>
    <col min="18" max="18" width="16.46484375" bestFit="1" customWidth="1"/>
    <col min="19" max="20" width="5.796875" bestFit="1" customWidth="1"/>
  </cols>
  <sheetData>
    <row r="2" spans="18:22" x14ac:dyDescent="0.45">
      <c r="R2" s="25" t="s">
        <v>67</v>
      </c>
      <c r="S2" t="s">
        <v>231</v>
      </c>
      <c r="U2" s="2"/>
      <c r="V2" s="2"/>
    </row>
    <row r="3" spans="18:22" x14ac:dyDescent="0.45">
      <c r="R3" s="24" t="s">
        <v>90</v>
      </c>
      <c r="S3" s="22">
        <v>1</v>
      </c>
    </row>
    <row r="4" spans="18:22" x14ac:dyDescent="0.45">
      <c r="R4" s="24" t="s">
        <v>89</v>
      </c>
      <c r="S4" s="22">
        <v>1</v>
      </c>
    </row>
    <row r="5" spans="18:22" x14ac:dyDescent="0.45">
      <c r="R5" s="24" t="s">
        <v>595</v>
      </c>
      <c r="S5" s="22">
        <v>1</v>
      </c>
    </row>
    <row r="6" spans="18:22" x14ac:dyDescent="0.45">
      <c r="R6" s="24" t="s">
        <v>46</v>
      </c>
      <c r="S6" s="22">
        <v>1</v>
      </c>
    </row>
    <row r="7" spans="18:22" x14ac:dyDescent="0.45">
      <c r="R7" s="24" t="s">
        <v>460</v>
      </c>
      <c r="S7" s="22">
        <v>1</v>
      </c>
    </row>
    <row r="8" spans="18:22" x14ac:dyDescent="0.45">
      <c r="R8" s="24" t="s">
        <v>22</v>
      </c>
      <c r="S8" s="22">
        <v>1</v>
      </c>
    </row>
    <row r="9" spans="18:22" x14ac:dyDescent="0.45">
      <c r="R9" s="24" t="s">
        <v>340</v>
      </c>
      <c r="S9" s="22">
        <v>1</v>
      </c>
      <c r="U9" s="3"/>
      <c r="V9" s="10"/>
    </row>
    <row r="10" spans="18:22" x14ac:dyDescent="0.45">
      <c r="R10" s="24" t="s">
        <v>44</v>
      </c>
      <c r="S10" s="22">
        <v>1</v>
      </c>
      <c r="U10" s="3"/>
      <c r="V10" s="13"/>
    </row>
    <row r="11" spans="18:22" x14ac:dyDescent="0.45">
      <c r="R11" s="24" t="s">
        <v>12</v>
      </c>
      <c r="S11" s="22">
        <v>4</v>
      </c>
      <c r="U11" s="3"/>
      <c r="V11" s="13"/>
    </row>
    <row r="12" spans="18:22" x14ac:dyDescent="0.45">
      <c r="R12" s="24" t="s">
        <v>25</v>
      </c>
      <c r="S12" s="22">
        <v>2</v>
      </c>
      <c r="U12" s="3"/>
      <c r="V12" s="13"/>
    </row>
    <row r="13" spans="18:22" x14ac:dyDescent="0.45">
      <c r="R13" s="24" t="s">
        <v>48</v>
      </c>
      <c r="S13" s="22">
        <v>2</v>
      </c>
      <c r="U13" s="3"/>
      <c r="V13" s="13"/>
    </row>
    <row r="14" spans="18:22" x14ac:dyDescent="0.45">
      <c r="R14" s="24" t="s">
        <v>57</v>
      </c>
      <c r="S14" s="22">
        <v>1</v>
      </c>
      <c r="U14" s="3"/>
      <c r="V14" s="13"/>
    </row>
    <row r="15" spans="18:22" x14ac:dyDescent="0.45">
      <c r="R15" s="24" t="s">
        <v>45</v>
      </c>
      <c r="S15" s="22">
        <v>1</v>
      </c>
      <c r="U15" s="3"/>
      <c r="V15" s="13"/>
    </row>
    <row r="16" spans="18:22" x14ac:dyDescent="0.45">
      <c r="R16" s="24" t="s">
        <v>565</v>
      </c>
      <c r="S16" s="22">
        <v>1</v>
      </c>
      <c r="U16" s="9"/>
      <c r="V16" s="13"/>
    </row>
    <row r="17" spans="1:22" x14ac:dyDescent="0.45">
      <c r="R17" s="24" t="s">
        <v>21</v>
      </c>
      <c r="S17" s="22">
        <v>1</v>
      </c>
      <c r="U17" s="13"/>
      <c r="V17" s="13"/>
    </row>
    <row r="18" spans="1:22" x14ac:dyDescent="0.45">
      <c r="R18" s="24" t="s">
        <v>341</v>
      </c>
      <c r="S18" s="22">
        <v>1</v>
      </c>
      <c r="U18" s="3"/>
      <c r="V18" s="13"/>
    </row>
    <row r="19" spans="1:22" x14ac:dyDescent="0.45">
      <c r="R19" s="24" t="s">
        <v>304</v>
      </c>
      <c r="S19" s="22">
        <v>1</v>
      </c>
      <c r="U19" s="3"/>
      <c r="V19" s="13"/>
    </row>
    <row r="20" spans="1:22" x14ac:dyDescent="0.45">
      <c r="R20" s="24" t="s">
        <v>43</v>
      </c>
      <c r="S20" s="22">
        <v>1</v>
      </c>
      <c r="U20" s="3"/>
      <c r="V20" s="13"/>
    </row>
    <row r="21" spans="1:22" x14ac:dyDescent="0.45">
      <c r="R21" s="24" t="s">
        <v>60</v>
      </c>
      <c r="S21" s="22">
        <v>1</v>
      </c>
      <c r="U21" s="3"/>
      <c r="V21" s="13"/>
    </row>
    <row r="22" spans="1:22" x14ac:dyDescent="0.45">
      <c r="R22" s="24" t="s">
        <v>36</v>
      </c>
      <c r="S22" s="22">
        <v>1</v>
      </c>
      <c r="U22" s="3"/>
      <c r="V22" s="13"/>
    </row>
    <row r="23" spans="1:22" x14ac:dyDescent="0.45">
      <c r="R23" s="24" t="s">
        <v>49</v>
      </c>
      <c r="S23" s="22">
        <v>1</v>
      </c>
      <c r="U23" s="3"/>
      <c r="V23" s="13"/>
    </row>
    <row r="24" spans="1:22" x14ac:dyDescent="0.45">
      <c r="R24" s="24" t="s">
        <v>606</v>
      </c>
      <c r="S24" s="22">
        <v>1</v>
      </c>
      <c r="U24" s="3"/>
      <c r="V24" s="13"/>
    </row>
    <row r="25" spans="1:22" x14ac:dyDescent="0.45">
      <c r="R25" s="24" t="s">
        <v>636</v>
      </c>
      <c r="S25" s="22">
        <v>1</v>
      </c>
      <c r="U25" s="3"/>
      <c r="V25" s="13"/>
    </row>
    <row r="26" spans="1:22" x14ac:dyDescent="0.45">
      <c r="R26" s="24" t="s">
        <v>52</v>
      </c>
      <c r="S26" s="22">
        <v>1</v>
      </c>
      <c r="U26" s="3"/>
      <c r="V26" s="13"/>
    </row>
    <row r="27" spans="1:22" x14ac:dyDescent="0.45">
      <c r="R27" s="24" t="s">
        <v>24</v>
      </c>
      <c r="S27" s="22">
        <v>1</v>
      </c>
      <c r="U27" s="3"/>
      <c r="V27" s="13"/>
    </row>
    <row r="28" spans="1:22" x14ac:dyDescent="0.45">
      <c r="R28" s="24" t="s">
        <v>11</v>
      </c>
      <c r="S28" s="22">
        <v>1</v>
      </c>
      <c r="U28" s="10"/>
      <c r="V28" s="13"/>
    </row>
    <row r="29" spans="1:22" x14ac:dyDescent="0.45">
      <c r="R29" s="24" t="s">
        <v>15</v>
      </c>
      <c r="S29" s="22">
        <v>1</v>
      </c>
      <c r="U29" s="3"/>
      <c r="V29" s="13"/>
    </row>
    <row r="30" spans="1:22" x14ac:dyDescent="0.45">
      <c r="A30" s="3"/>
      <c r="G30" s="3"/>
      <c r="R30" s="24" t="s">
        <v>54</v>
      </c>
      <c r="S30" s="22">
        <v>2</v>
      </c>
      <c r="U30" s="3"/>
      <c r="V30" s="13"/>
    </row>
    <row r="31" spans="1:22" x14ac:dyDescent="0.45">
      <c r="A31" s="3"/>
      <c r="G31" s="3"/>
      <c r="R31" s="24" t="s">
        <v>217</v>
      </c>
      <c r="S31" s="22">
        <v>2</v>
      </c>
      <c r="U31" s="3"/>
      <c r="V31" s="13"/>
    </row>
    <row r="32" spans="1:22" x14ac:dyDescent="0.45">
      <c r="A32" s="3"/>
      <c r="G32" s="3"/>
      <c r="R32" s="24" t="s">
        <v>490</v>
      </c>
      <c r="S32" s="22">
        <v>1</v>
      </c>
      <c r="U32" s="3"/>
      <c r="V32" s="13"/>
    </row>
    <row r="33" spans="1:22" x14ac:dyDescent="0.45">
      <c r="A33" s="3"/>
      <c r="G33" s="3"/>
      <c r="R33" s="24" t="s">
        <v>156</v>
      </c>
      <c r="S33" s="22">
        <v>1</v>
      </c>
      <c r="U33" s="3"/>
      <c r="V33" s="13"/>
    </row>
    <row r="34" spans="1:22" x14ac:dyDescent="0.45">
      <c r="A34" s="3"/>
      <c r="G34" s="3"/>
      <c r="R34" s="24" t="s">
        <v>18</v>
      </c>
      <c r="S34" s="22">
        <v>2</v>
      </c>
      <c r="U34" s="3"/>
      <c r="V34" s="13"/>
    </row>
    <row r="35" spans="1:22" x14ac:dyDescent="0.45">
      <c r="A35" s="3"/>
      <c r="G35" s="3"/>
      <c r="R35" s="24" t="s">
        <v>157</v>
      </c>
      <c r="S35" s="22">
        <v>1</v>
      </c>
      <c r="U35" s="3"/>
      <c r="V35" s="13"/>
    </row>
    <row r="36" spans="1:22" x14ac:dyDescent="0.45">
      <c r="A36" s="3"/>
      <c r="G36" s="3"/>
      <c r="R36" s="24" t="s">
        <v>525</v>
      </c>
      <c r="S36" s="22">
        <v>1</v>
      </c>
    </row>
    <row r="37" spans="1:22" x14ac:dyDescent="0.45">
      <c r="A37" s="3"/>
      <c r="G37" s="14"/>
      <c r="R37" s="24" t="s">
        <v>175</v>
      </c>
      <c r="S37" s="22">
        <v>2</v>
      </c>
    </row>
    <row r="38" spans="1:22" s="13" customFormat="1" x14ac:dyDescent="0.45">
      <c r="A38" s="3"/>
      <c r="F38"/>
      <c r="G38" s="14"/>
      <c r="R38" s="24" t="s">
        <v>88</v>
      </c>
      <c r="S38" s="22">
        <v>1</v>
      </c>
      <c r="T38"/>
    </row>
    <row r="39" spans="1:22" x14ac:dyDescent="0.45">
      <c r="A39" s="3"/>
      <c r="G39" s="3"/>
      <c r="R39" s="24" t="s">
        <v>173</v>
      </c>
      <c r="S39" s="22">
        <v>1</v>
      </c>
    </row>
    <row r="40" spans="1:22" x14ac:dyDescent="0.45">
      <c r="A40" s="3"/>
      <c r="G40" s="3"/>
      <c r="R40" s="24" t="s">
        <v>305</v>
      </c>
      <c r="S40" s="22">
        <v>1</v>
      </c>
    </row>
    <row r="41" spans="1:22" x14ac:dyDescent="0.45">
      <c r="A41" s="3"/>
      <c r="F41" s="14"/>
      <c r="G41" s="3"/>
      <c r="R41" s="24" t="s">
        <v>236</v>
      </c>
      <c r="S41" s="22">
        <v>4</v>
      </c>
    </row>
    <row r="42" spans="1:22" x14ac:dyDescent="0.45">
      <c r="A42" s="3"/>
      <c r="F42" s="14"/>
      <c r="G42" s="3"/>
      <c r="R42" s="24" t="s">
        <v>73</v>
      </c>
      <c r="S42" s="22">
        <v>1</v>
      </c>
    </row>
    <row r="43" spans="1:22" x14ac:dyDescent="0.45">
      <c r="A43" s="3"/>
      <c r="F43" s="14"/>
      <c r="G43" s="3"/>
      <c r="R43" s="24" t="s">
        <v>171</v>
      </c>
      <c r="S43" s="22">
        <v>1</v>
      </c>
    </row>
    <row r="44" spans="1:22" x14ac:dyDescent="0.45">
      <c r="A44" s="3"/>
      <c r="F44" s="14"/>
      <c r="G44" s="3"/>
      <c r="R44" s="24" t="s">
        <v>47</v>
      </c>
      <c r="S44" s="22">
        <v>4</v>
      </c>
    </row>
    <row r="45" spans="1:22" x14ac:dyDescent="0.45">
      <c r="A45" s="3"/>
      <c r="F45" s="14"/>
      <c r="G45" s="3"/>
      <c r="R45" s="24" t="s">
        <v>517</v>
      </c>
      <c r="S45" s="22">
        <v>1</v>
      </c>
    </row>
    <row r="46" spans="1:22" x14ac:dyDescent="0.45">
      <c r="A46" s="3"/>
      <c r="F46" s="14"/>
      <c r="G46" s="3"/>
      <c r="R46" s="24" t="s">
        <v>51</v>
      </c>
      <c r="S46" s="22">
        <v>2</v>
      </c>
    </row>
    <row r="47" spans="1:22" x14ac:dyDescent="0.45">
      <c r="A47" s="3"/>
      <c r="F47" s="14"/>
      <c r="G47" s="3"/>
      <c r="R47" s="24" t="s">
        <v>13</v>
      </c>
      <c r="S47" s="22">
        <v>2</v>
      </c>
    </row>
    <row r="48" spans="1:22" x14ac:dyDescent="0.45">
      <c r="A48" s="3"/>
      <c r="F48" s="14"/>
      <c r="G48" s="3"/>
      <c r="R48" s="24" t="s">
        <v>234</v>
      </c>
      <c r="S48" s="22">
        <v>1</v>
      </c>
    </row>
    <row r="49" spans="1:20" s="10" customFormat="1" x14ac:dyDescent="0.45">
      <c r="A49" s="3"/>
      <c r="F49" s="14"/>
      <c r="G49" s="14"/>
      <c r="R49" s="24" t="s">
        <v>19</v>
      </c>
      <c r="S49" s="22">
        <v>1</v>
      </c>
      <c r="T49"/>
    </row>
    <row r="50" spans="1:20" x14ac:dyDescent="0.45">
      <c r="A50" s="3"/>
      <c r="F50" s="14"/>
      <c r="G50" s="3"/>
      <c r="R50" s="24" t="s">
        <v>72</v>
      </c>
      <c r="S50" s="22">
        <v>1</v>
      </c>
    </row>
    <row r="51" spans="1:20" x14ac:dyDescent="0.45">
      <c r="A51" s="3"/>
      <c r="F51" s="14"/>
      <c r="G51" s="3"/>
      <c r="R51" s="24" t="s">
        <v>162</v>
      </c>
      <c r="S51" s="22">
        <v>1</v>
      </c>
    </row>
    <row r="52" spans="1:20" x14ac:dyDescent="0.45">
      <c r="A52" s="3"/>
      <c r="F52" s="14"/>
      <c r="G52" s="3"/>
      <c r="R52" s="24" t="s">
        <v>367</v>
      </c>
      <c r="S52" s="22">
        <v>2</v>
      </c>
    </row>
    <row r="53" spans="1:20" x14ac:dyDescent="0.45">
      <c r="A53" s="3"/>
      <c r="F53" s="14"/>
      <c r="G53" s="3"/>
      <c r="R53" s="24" t="s">
        <v>284</v>
      </c>
      <c r="S53" s="22">
        <v>1</v>
      </c>
    </row>
    <row r="54" spans="1:20" x14ac:dyDescent="0.45">
      <c r="A54" s="3"/>
      <c r="F54" s="14"/>
      <c r="G54" s="3"/>
      <c r="R54" s="24" t="s">
        <v>14</v>
      </c>
      <c r="S54" s="22">
        <v>1</v>
      </c>
    </row>
    <row r="55" spans="1:20" x14ac:dyDescent="0.45">
      <c r="A55" s="3"/>
      <c r="F55" s="14"/>
      <c r="G55" s="3"/>
      <c r="R55" s="24" t="s">
        <v>179</v>
      </c>
      <c r="S55" s="22">
        <v>70</v>
      </c>
    </row>
    <row r="56" spans="1:20" x14ac:dyDescent="0.45">
      <c r="A56" s="3"/>
      <c r="F56" s="14"/>
      <c r="G56" s="3"/>
    </row>
    <row r="57" spans="1:20" x14ac:dyDescent="0.45">
      <c r="A57" s="3"/>
      <c r="B57" s="3"/>
      <c r="C57" s="13"/>
      <c r="F57" s="14"/>
      <c r="G57" s="3"/>
    </row>
    <row r="58" spans="1:20" x14ac:dyDescent="0.45">
      <c r="A58" s="3"/>
      <c r="B58" s="3"/>
      <c r="C58" s="13"/>
      <c r="F58" s="14"/>
      <c r="G58" s="3"/>
    </row>
    <row r="59" spans="1:20" x14ac:dyDescent="0.45">
      <c r="A59" s="3"/>
      <c r="B59" s="3"/>
      <c r="C59" s="13"/>
      <c r="F59" s="14"/>
      <c r="G59" s="3"/>
    </row>
    <row r="60" spans="1:20" x14ac:dyDescent="0.45">
      <c r="A60" s="3"/>
      <c r="B60" s="3"/>
      <c r="C60" s="13"/>
      <c r="F60" s="14"/>
      <c r="G60" s="3"/>
    </row>
    <row r="61" spans="1:20" x14ac:dyDescent="0.45">
      <c r="A61" s="3"/>
      <c r="B61" s="3"/>
      <c r="C61" s="13"/>
      <c r="F61" s="14"/>
      <c r="G61" s="3"/>
    </row>
    <row r="62" spans="1:20" x14ac:dyDescent="0.45">
      <c r="A62" s="3"/>
      <c r="B62" s="3"/>
      <c r="C62" s="13"/>
      <c r="F62" s="14"/>
      <c r="G62" s="3"/>
    </row>
    <row r="72" spans="1:1" x14ac:dyDescent="0.45">
      <c r="A72" s="3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B2:J20"/>
  <sheetViews>
    <sheetView workbookViewId="0">
      <selection activeCell="B15" sqref="B15"/>
    </sheetView>
  </sheetViews>
  <sheetFormatPr defaultRowHeight="14.25" x14ac:dyDescent="0.45"/>
  <cols>
    <col min="1" max="1" width="11.59765625" bestFit="1" customWidth="1"/>
    <col min="2" max="2" width="13" bestFit="1" customWidth="1"/>
    <col min="3" max="3" width="5.796875" bestFit="1" customWidth="1"/>
    <col min="7" max="8" width="11.59765625" bestFit="1" customWidth="1"/>
    <col min="9" max="9" width="12" bestFit="1" customWidth="1"/>
    <col min="10" max="10" width="11" bestFit="1" customWidth="1"/>
  </cols>
  <sheetData>
    <row r="2" spans="2:10" x14ac:dyDescent="0.45">
      <c r="H2" s="21"/>
      <c r="I2" s="21"/>
      <c r="J2" s="21"/>
    </row>
    <row r="3" spans="2:10" x14ac:dyDescent="0.45">
      <c r="J3" s="11"/>
    </row>
    <row r="4" spans="2:10" x14ac:dyDescent="0.45">
      <c r="J4" s="11"/>
    </row>
    <row r="5" spans="2:10" x14ac:dyDescent="0.45">
      <c r="J5" s="11"/>
    </row>
    <row r="6" spans="2:10" x14ac:dyDescent="0.45">
      <c r="J6" s="11"/>
    </row>
    <row r="7" spans="2:10" x14ac:dyDescent="0.45">
      <c r="J7" s="11"/>
    </row>
    <row r="15" spans="2:10" x14ac:dyDescent="0.45">
      <c r="B15" s="25" t="s">
        <v>218</v>
      </c>
      <c r="C15" t="s">
        <v>219</v>
      </c>
    </row>
    <row r="16" spans="2:10" x14ac:dyDescent="0.45">
      <c r="B16" s="26">
        <v>1</v>
      </c>
      <c r="C16" s="22">
        <v>6</v>
      </c>
    </row>
    <row r="17" spans="2:3" x14ac:dyDescent="0.45">
      <c r="B17" s="26">
        <v>2</v>
      </c>
      <c r="C17" s="22">
        <v>22</v>
      </c>
    </row>
    <row r="18" spans="2:3" x14ac:dyDescent="0.45">
      <c r="B18" s="26">
        <v>3</v>
      </c>
      <c r="C18" s="22">
        <v>23</v>
      </c>
    </row>
    <row r="19" spans="2:3" x14ac:dyDescent="0.45">
      <c r="B19" s="26">
        <v>4</v>
      </c>
      <c r="C19" s="22">
        <v>19</v>
      </c>
    </row>
    <row r="20" spans="2:3" x14ac:dyDescent="0.45">
      <c r="B20" s="26" t="s">
        <v>179</v>
      </c>
      <c r="C20" s="22">
        <v>70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AH71"/>
  <sheetViews>
    <sheetView topLeftCell="E1" zoomScaleNormal="100" workbookViewId="0">
      <pane ySplit="1" topLeftCell="A2" activePane="bottomLeft" state="frozenSplit"/>
      <selection pane="bottomLeft" activeCell="O58" sqref="O58"/>
    </sheetView>
  </sheetViews>
  <sheetFormatPr defaultColWidth="6.46484375" defaultRowHeight="14.25" x14ac:dyDescent="0.45"/>
  <cols>
    <col min="1" max="1" width="11" style="3" bestFit="1" customWidth="1"/>
    <col min="2" max="2" width="10.19921875" style="3" bestFit="1" customWidth="1"/>
    <col min="3" max="3" width="7.53125" style="3" bestFit="1" customWidth="1"/>
    <col min="4" max="4" width="12.33203125" style="3" bestFit="1" customWidth="1"/>
    <col min="5" max="5" width="11.1328125" style="3" bestFit="1" customWidth="1"/>
    <col min="6" max="6" width="11.3984375" style="3" bestFit="1" customWidth="1"/>
    <col min="7" max="7" width="14.59765625" style="24" bestFit="1" customWidth="1"/>
    <col min="8" max="8" width="14.46484375" style="3" bestFit="1" customWidth="1"/>
    <col min="9" max="9" width="6.19921875" style="3" bestFit="1" customWidth="1"/>
    <col min="10" max="10" width="5.73046875" style="3" bestFit="1" customWidth="1"/>
    <col min="11" max="11" width="10.1328125" style="3" customWidth="1"/>
    <col min="12" max="12" width="7.53125" style="3" bestFit="1" customWidth="1"/>
    <col min="13" max="13" width="10.59765625" style="3" bestFit="1" customWidth="1"/>
    <col min="14" max="14" width="9.796875" style="3" bestFit="1" customWidth="1"/>
    <col min="15" max="15" width="11" style="3" bestFit="1" customWidth="1"/>
    <col min="16" max="16" width="9" style="3" bestFit="1" customWidth="1"/>
    <col min="17" max="17" width="9.796875" style="3" bestFit="1" customWidth="1"/>
    <col min="18" max="19" width="9" style="3" bestFit="1" customWidth="1"/>
    <col min="20" max="20" width="10.33203125" style="3" bestFit="1" customWidth="1"/>
    <col min="21" max="21" width="8.06640625" style="3" bestFit="1" customWidth="1"/>
    <col min="22" max="22" width="10.86328125" style="3" bestFit="1" customWidth="1"/>
    <col min="23" max="23" width="12.73046875" style="3" bestFit="1" customWidth="1"/>
    <col min="24" max="24" width="11.6640625" style="3" bestFit="1" customWidth="1"/>
    <col min="25" max="25" width="11.53125" style="3" bestFit="1" customWidth="1"/>
    <col min="26" max="26" width="11.1328125" style="3" bestFit="1" customWidth="1"/>
    <col min="27" max="28" width="29.796875" style="3" bestFit="1" customWidth="1"/>
    <col min="29" max="29" width="29.265625" style="3" bestFit="1" customWidth="1"/>
    <col min="30" max="30" width="32.73046875" style="3" bestFit="1" customWidth="1"/>
    <col min="31" max="31" width="28.73046875" style="3" bestFit="1" customWidth="1"/>
    <col min="32" max="32" width="30.33203125" style="3" bestFit="1" customWidth="1"/>
    <col min="35" max="16384" width="6.46484375" style="3"/>
  </cols>
  <sheetData>
    <row r="1" spans="1:34" s="18" customFormat="1" x14ac:dyDescent="0.45">
      <c r="A1" s="21" t="s">
        <v>134</v>
      </c>
      <c r="B1" s="21" t="s">
        <v>135</v>
      </c>
      <c r="C1" s="21" t="s">
        <v>230</v>
      </c>
      <c r="D1" s="21" t="s">
        <v>239</v>
      </c>
      <c r="E1" s="21" t="s">
        <v>240</v>
      </c>
      <c r="F1" s="21" t="s">
        <v>241</v>
      </c>
      <c r="G1" s="21" t="s">
        <v>224</v>
      </c>
      <c r="H1" s="21" t="s">
        <v>223</v>
      </c>
      <c r="I1" s="21" t="s">
        <v>148</v>
      </c>
      <c r="J1" s="21" t="s">
        <v>86</v>
      </c>
      <c r="K1" s="21" t="s">
        <v>242</v>
      </c>
      <c r="L1" s="21" t="s">
        <v>229</v>
      </c>
      <c r="M1" s="21" t="s">
        <v>225</v>
      </c>
      <c r="N1" s="21" t="s">
        <v>226</v>
      </c>
      <c r="O1" s="21" t="s">
        <v>67</v>
      </c>
      <c r="P1" s="21" t="s">
        <v>0</v>
      </c>
      <c r="Q1" s="21" t="s">
        <v>1</v>
      </c>
      <c r="R1" s="21" t="s">
        <v>2</v>
      </c>
      <c r="S1" s="21" t="s">
        <v>3</v>
      </c>
      <c r="T1" s="21" t="s">
        <v>105</v>
      </c>
      <c r="U1" s="21" t="s">
        <v>68</v>
      </c>
      <c r="V1" s="21" t="s">
        <v>69</v>
      </c>
      <c r="W1" s="21" t="s">
        <v>8</v>
      </c>
      <c r="X1" s="21" t="s">
        <v>9</v>
      </c>
      <c r="Y1" s="21" t="s">
        <v>26</v>
      </c>
      <c r="Z1" s="21" t="s">
        <v>243</v>
      </c>
      <c r="AA1" s="21" t="s">
        <v>4</v>
      </c>
      <c r="AB1" s="21" t="s">
        <v>244</v>
      </c>
      <c r="AC1" s="21" t="s">
        <v>5</v>
      </c>
      <c r="AD1" s="21" t="s">
        <v>6</v>
      </c>
      <c r="AE1" s="21" t="s">
        <v>7</v>
      </c>
      <c r="AF1" s="21" t="s">
        <v>106</v>
      </c>
    </row>
    <row r="2" spans="1:34" x14ac:dyDescent="0.45">
      <c r="A2" s="33"/>
      <c r="B2" s="24"/>
      <c r="C2" s="24"/>
      <c r="D2" s="24"/>
      <c r="E2" s="24">
        <f>COUNTIFS(Retro!$I2,1,Retro!$M2,1)</f>
        <v>0</v>
      </c>
      <c r="F2" s="24">
        <f>COUNTIFS(Retro!$I2,1,Retro!$M2,"&lt;&gt;1")</f>
        <v>0</v>
      </c>
      <c r="G2" s="34"/>
      <c r="H2" s="35" t="str">
        <f>MID(Retro!$O2,1,FIND(":",Retro!$O2)-1)</f>
        <v>QB</v>
      </c>
      <c r="I2" s="24">
        <f>INT(MID(Retro!$L2,1,1))</f>
        <v>2</v>
      </c>
      <c r="J2" s="24">
        <v>21341</v>
      </c>
      <c r="K2" s="24">
        <v>4269</v>
      </c>
      <c r="L2" s="24">
        <v>2</v>
      </c>
      <c r="M2" s="24">
        <v>2</v>
      </c>
      <c r="N2" s="24">
        <v>17</v>
      </c>
      <c r="O2" s="24" t="s">
        <v>12</v>
      </c>
      <c r="P2" s="24" t="s">
        <v>11</v>
      </c>
      <c r="Q2" s="24" t="s">
        <v>13</v>
      </c>
      <c r="R2" s="24" t="s">
        <v>14</v>
      </c>
      <c r="S2" s="24" t="s">
        <v>10</v>
      </c>
      <c r="T2" s="24"/>
      <c r="U2" s="24"/>
      <c r="V2" s="24">
        <v>2</v>
      </c>
      <c r="W2" s="24">
        <v>56000</v>
      </c>
      <c r="X2" s="24">
        <v>52.94</v>
      </c>
      <c r="Y2" s="24">
        <v>15</v>
      </c>
      <c r="Z2" s="24">
        <v>118.18</v>
      </c>
      <c r="AA2" s="24" t="s">
        <v>245</v>
      </c>
      <c r="AB2" s="24" t="s">
        <v>246</v>
      </c>
      <c r="AC2" s="24" t="s">
        <v>247</v>
      </c>
      <c r="AD2" s="24" t="s">
        <v>248</v>
      </c>
      <c r="AE2" s="24" t="s">
        <v>249</v>
      </c>
      <c r="AF2" s="24"/>
      <c r="AG2" s="3"/>
      <c r="AH2" s="3"/>
    </row>
    <row r="3" spans="1:34" x14ac:dyDescent="0.45">
      <c r="A3" s="24"/>
      <c r="B3" s="24"/>
      <c r="C3" s="24"/>
      <c r="D3" s="24"/>
      <c r="E3" s="24">
        <f>COUNTIFS(Retro!$I3,1,Retro!$M3,1)</f>
        <v>0</v>
      </c>
      <c r="F3" s="24">
        <f>COUNTIFS(Retro!$I3,1,Retro!$M3,"&lt;&gt;1")</f>
        <v>0</v>
      </c>
      <c r="H3" s="24" t="str">
        <f>MID(Retro!$O3,1,FIND(":",Retro!$O3)-1)</f>
        <v>RB</v>
      </c>
      <c r="I3" s="24">
        <f>INT(MID(Retro!$L3,1,1))</f>
        <v>3</v>
      </c>
      <c r="J3" s="24">
        <v>18307</v>
      </c>
      <c r="K3" s="24">
        <v>3662</v>
      </c>
      <c r="L3" s="24">
        <v>3</v>
      </c>
      <c r="M3" s="24">
        <v>4</v>
      </c>
      <c r="N3" s="24">
        <v>15</v>
      </c>
      <c r="O3" s="24" t="s">
        <v>15</v>
      </c>
      <c r="P3" s="24" t="s">
        <v>250</v>
      </c>
      <c r="Q3" s="24" t="s">
        <v>235</v>
      </c>
      <c r="R3" s="24" t="s">
        <v>251</v>
      </c>
      <c r="S3" s="24" t="s">
        <v>16</v>
      </c>
      <c r="T3" s="24"/>
      <c r="U3" s="24"/>
      <c r="V3" s="24">
        <v>3</v>
      </c>
      <c r="W3" s="24">
        <v>57500</v>
      </c>
      <c r="X3" s="24">
        <v>51.15</v>
      </c>
      <c r="Y3" s="24">
        <v>59.95</v>
      </c>
      <c r="Z3" s="24">
        <v>133.19999999999999</v>
      </c>
      <c r="AA3" s="24" t="s">
        <v>252</v>
      </c>
      <c r="AB3" s="24" t="s">
        <v>253</v>
      </c>
      <c r="AC3" s="24" t="s">
        <v>254</v>
      </c>
      <c r="AD3" s="24" t="s">
        <v>255</v>
      </c>
      <c r="AE3" s="24" t="s">
        <v>256</v>
      </c>
      <c r="AF3" s="24"/>
      <c r="AG3" s="3"/>
      <c r="AH3" s="3"/>
    </row>
    <row r="4" spans="1:34" x14ac:dyDescent="0.45">
      <c r="A4" s="24"/>
      <c r="B4" s="24"/>
      <c r="C4" s="24"/>
      <c r="D4" s="24"/>
      <c r="E4" s="24">
        <f>COUNTIFS(Retro!$I4,1,Retro!$M4,1)</f>
        <v>0</v>
      </c>
      <c r="F4" s="24">
        <f>COUNTIFS(Retro!$I4,1,Retro!$M4,"&lt;&gt;1")</f>
        <v>0</v>
      </c>
      <c r="H4" s="24" t="str">
        <f>MID(Retro!$O4,1,FIND(":",Retro!$O4)-1)</f>
        <v>WR1</v>
      </c>
      <c r="I4" s="24">
        <f>INT(MID(Retro!$L4,1,1))</f>
        <v>4</v>
      </c>
      <c r="J4" s="24">
        <v>46488</v>
      </c>
      <c r="K4" s="24">
        <v>9298</v>
      </c>
      <c r="L4" s="24">
        <v>4</v>
      </c>
      <c r="M4" s="24">
        <v>8</v>
      </c>
      <c r="N4" s="24">
        <v>10</v>
      </c>
      <c r="O4" s="24" t="s">
        <v>19</v>
      </c>
      <c r="P4" s="24" t="s">
        <v>21</v>
      </c>
      <c r="Q4" s="24" t="s">
        <v>20</v>
      </c>
      <c r="R4" s="24" t="s">
        <v>17</v>
      </c>
      <c r="S4" s="24" t="s">
        <v>18</v>
      </c>
      <c r="T4" s="24"/>
      <c r="U4" s="24"/>
      <c r="V4" s="24">
        <v>2</v>
      </c>
      <c r="W4" s="24">
        <v>54000</v>
      </c>
      <c r="X4" s="24">
        <v>61.11</v>
      </c>
      <c r="Y4" s="24">
        <v>61.11</v>
      </c>
      <c r="Z4" s="24">
        <v>116.78</v>
      </c>
      <c r="AA4" s="24" t="s">
        <v>257</v>
      </c>
      <c r="AB4" s="24" t="s">
        <v>258</v>
      </c>
      <c r="AC4" s="24" t="s">
        <v>259</v>
      </c>
      <c r="AD4" s="24" t="s">
        <v>260</v>
      </c>
      <c r="AE4" s="24" t="s">
        <v>261</v>
      </c>
      <c r="AF4" s="24"/>
      <c r="AG4" s="3"/>
      <c r="AH4" s="3"/>
    </row>
    <row r="5" spans="1:34" x14ac:dyDescent="0.45">
      <c r="A5" s="24"/>
      <c r="B5" s="24"/>
      <c r="C5" s="24"/>
      <c r="D5" s="24"/>
      <c r="E5" s="24">
        <f>COUNTIFS(Retro!$I5,1,Retro!$M5,1)</f>
        <v>0</v>
      </c>
      <c r="F5" s="24">
        <f>COUNTIFS(Retro!$I5,1,Retro!$M5,"&lt;&gt;1")</f>
        <v>1</v>
      </c>
      <c r="H5" s="24" t="str">
        <f>MID(Retro!$O5,1,FIND(":",Retro!$O5)-1)</f>
        <v>K</v>
      </c>
      <c r="I5" s="24">
        <f>INT(MID(Retro!$L5,1,1))</f>
        <v>1</v>
      </c>
      <c r="J5" s="24">
        <v>7478</v>
      </c>
      <c r="K5" s="24">
        <v>1496</v>
      </c>
      <c r="L5" s="24">
        <v>1</v>
      </c>
      <c r="M5" s="24">
        <v>12</v>
      </c>
      <c r="N5" s="24">
        <v>16</v>
      </c>
      <c r="O5" s="24" t="s">
        <v>22</v>
      </c>
      <c r="P5" s="24" t="s">
        <v>262</v>
      </c>
      <c r="Q5" s="24" t="s">
        <v>23</v>
      </c>
      <c r="R5" s="24" t="s">
        <v>263</v>
      </c>
      <c r="S5" s="24" t="s">
        <v>264</v>
      </c>
      <c r="T5" s="24"/>
      <c r="U5" s="24"/>
      <c r="V5" s="24">
        <v>2</v>
      </c>
      <c r="W5" s="24">
        <v>49500</v>
      </c>
      <c r="X5" s="24">
        <v>42.83</v>
      </c>
      <c r="Y5" s="24">
        <v>42.83</v>
      </c>
      <c r="Z5" s="24">
        <v>119.6</v>
      </c>
      <c r="AA5" s="24" t="s">
        <v>265</v>
      </c>
      <c r="AB5" s="24" t="s">
        <v>266</v>
      </c>
      <c r="AC5" s="24" t="s">
        <v>267</v>
      </c>
      <c r="AD5" s="24" t="s">
        <v>268</v>
      </c>
      <c r="AE5" s="24" t="s">
        <v>269</v>
      </c>
      <c r="AF5" s="24"/>
      <c r="AG5" s="3"/>
      <c r="AH5" s="3"/>
    </row>
    <row r="6" spans="1:34" x14ac:dyDescent="0.45">
      <c r="A6" s="24"/>
      <c r="B6" s="24"/>
      <c r="C6" s="24"/>
      <c r="D6" s="24"/>
      <c r="E6" s="24">
        <f>COUNTIFS(Retro!$I6,1,Retro!$M6,1)</f>
        <v>1</v>
      </c>
      <c r="F6" s="24">
        <f>COUNTIFS(Retro!$I6,1,Retro!$M6,"&lt;&gt;1")</f>
        <v>0</v>
      </c>
      <c r="H6" s="24" t="str">
        <f>MID(Retro!$O6,1,FIND(":",Retro!$O6)-1)</f>
        <v>QB</v>
      </c>
      <c r="I6" s="24">
        <f>INT(MID(Retro!$L6,1,1))</f>
        <v>1</v>
      </c>
      <c r="J6" s="24">
        <v>1876</v>
      </c>
      <c r="K6" s="24">
        <v>376</v>
      </c>
      <c r="L6" s="24">
        <v>1</v>
      </c>
      <c r="M6" s="24">
        <v>1</v>
      </c>
      <c r="N6" s="24">
        <v>13</v>
      </c>
      <c r="O6" s="24" t="s">
        <v>43</v>
      </c>
      <c r="P6" s="24" t="s">
        <v>44</v>
      </c>
      <c r="Q6" s="24" t="s">
        <v>250</v>
      </c>
      <c r="R6" s="24" t="s">
        <v>42</v>
      </c>
      <c r="S6" s="24" t="s">
        <v>270</v>
      </c>
      <c r="T6" s="24"/>
      <c r="U6" s="24"/>
      <c r="V6" s="24">
        <v>2</v>
      </c>
      <c r="W6" s="24">
        <v>59500</v>
      </c>
      <c r="X6" s="24">
        <v>44.52</v>
      </c>
      <c r="Y6" s="24">
        <v>44.52</v>
      </c>
      <c r="Z6" s="24">
        <v>98.17</v>
      </c>
      <c r="AA6" s="24" t="s">
        <v>271</v>
      </c>
      <c r="AB6" s="24" t="s">
        <v>272</v>
      </c>
      <c r="AC6" s="24" t="s">
        <v>273</v>
      </c>
      <c r="AD6" s="24" t="s">
        <v>274</v>
      </c>
      <c r="AE6" s="24" t="s">
        <v>275</v>
      </c>
      <c r="AF6" s="24"/>
      <c r="AG6" s="3"/>
      <c r="AH6" s="3"/>
    </row>
    <row r="7" spans="1:34" x14ac:dyDescent="0.45">
      <c r="A7" s="24"/>
      <c r="B7" s="24"/>
      <c r="C7" s="24"/>
      <c r="D7" s="24"/>
      <c r="E7" s="24">
        <f>COUNTIFS(Retro!$I7,1,Retro!$M7,1)</f>
        <v>0</v>
      </c>
      <c r="F7" s="24">
        <f>COUNTIFS(Retro!$I7,1,Retro!$M7,"&lt;&gt;1")</f>
        <v>1</v>
      </c>
      <c r="H7" s="24" t="str">
        <f>MID(Retro!$O7,1,FIND(":",Retro!$O7)-1)</f>
        <v>RB</v>
      </c>
      <c r="I7" s="24">
        <f>INT(MID(Retro!$L7,1,1))</f>
        <v>1</v>
      </c>
      <c r="J7" s="24">
        <v>8763</v>
      </c>
      <c r="K7" s="24">
        <v>1753</v>
      </c>
      <c r="L7" s="24">
        <v>1</v>
      </c>
      <c r="M7" s="24">
        <v>5</v>
      </c>
      <c r="N7" s="24">
        <v>16</v>
      </c>
      <c r="O7" s="24" t="s">
        <v>24</v>
      </c>
      <c r="P7" s="24" t="s">
        <v>25</v>
      </c>
      <c r="Q7" s="24" t="s">
        <v>276</v>
      </c>
      <c r="R7" s="24" t="s">
        <v>277</v>
      </c>
      <c r="S7" s="24" t="s">
        <v>278</v>
      </c>
      <c r="T7" s="24"/>
      <c r="U7" s="24"/>
      <c r="V7" s="24">
        <v>3</v>
      </c>
      <c r="W7" s="24">
        <v>57500</v>
      </c>
      <c r="X7" s="24">
        <v>69.680000000000007</v>
      </c>
      <c r="Y7" s="24">
        <v>38</v>
      </c>
      <c r="Z7" s="24">
        <v>104.06</v>
      </c>
      <c r="AA7" s="24" t="s">
        <v>279</v>
      </c>
      <c r="AB7" s="24" t="s">
        <v>280</v>
      </c>
      <c r="AC7" s="24" t="s">
        <v>281</v>
      </c>
      <c r="AD7" s="24" t="s">
        <v>282</v>
      </c>
      <c r="AE7" s="24" t="s">
        <v>283</v>
      </c>
      <c r="AF7" s="24"/>
      <c r="AG7" s="3"/>
      <c r="AH7" s="3"/>
    </row>
    <row r="8" spans="1:34" x14ac:dyDescent="0.45">
      <c r="A8" s="24"/>
      <c r="B8" s="24"/>
      <c r="C8" s="24"/>
      <c r="D8" s="24"/>
      <c r="E8" s="24">
        <f>COUNTIFS(Retro!$I8,1,Retro!$M8,1)</f>
        <v>0</v>
      </c>
      <c r="F8" s="24">
        <f>COUNTIFS(Retro!$I8,1,Retro!$M8,"&lt;&gt;1")</f>
        <v>1</v>
      </c>
      <c r="H8" s="24" t="str">
        <f>MID(Retro!$O8,1,FIND(":",Retro!$O8)-1)</f>
        <v>WR2</v>
      </c>
      <c r="I8" s="24">
        <f>INT(MID(Retro!$L8,1,1))</f>
        <v>1</v>
      </c>
      <c r="J8" s="24">
        <v>7957</v>
      </c>
      <c r="K8" s="24">
        <v>1592</v>
      </c>
      <c r="L8" s="24">
        <v>1</v>
      </c>
      <c r="M8" s="24">
        <v>3</v>
      </c>
      <c r="N8" s="24">
        <v>14</v>
      </c>
      <c r="O8" s="24" t="s">
        <v>284</v>
      </c>
      <c r="P8" s="24" t="s">
        <v>38</v>
      </c>
      <c r="Q8" s="24" t="s">
        <v>39</v>
      </c>
      <c r="R8" s="24" t="s">
        <v>285</v>
      </c>
      <c r="S8" s="24" t="s">
        <v>40</v>
      </c>
      <c r="T8" s="24"/>
      <c r="U8" s="24"/>
      <c r="V8" s="24">
        <v>4</v>
      </c>
      <c r="W8" s="24">
        <v>56000</v>
      </c>
      <c r="X8" s="24">
        <v>70.36</v>
      </c>
      <c r="Y8" s="24">
        <v>104.3</v>
      </c>
      <c r="Z8" s="24">
        <v>100.05</v>
      </c>
      <c r="AA8" s="24" t="s">
        <v>286</v>
      </c>
      <c r="AB8" s="24" t="s">
        <v>287</v>
      </c>
      <c r="AC8" s="24" t="s">
        <v>288</v>
      </c>
      <c r="AD8" s="24" t="s">
        <v>289</v>
      </c>
      <c r="AE8" s="24" t="s">
        <v>290</v>
      </c>
      <c r="AF8" s="24"/>
      <c r="AG8" s="3"/>
      <c r="AH8" s="3"/>
    </row>
    <row r="9" spans="1:34" x14ac:dyDescent="0.45">
      <c r="A9" s="24"/>
      <c r="B9" s="24"/>
      <c r="C9" s="24"/>
      <c r="D9" s="24"/>
      <c r="E9" s="24">
        <f>COUNTIFS(Retro!$I9,1,Retro!$M9,1)</f>
        <v>1</v>
      </c>
      <c r="F9" s="24">
        <f>COUNTIFS(Retro!$I9,1,Retro!$M9,"&lt;&gt;1")</f>
        <v>0</v>
      </c>
      <c r="H9" s="24" t="str">
        <f>MID(Retro!$O9,1,FIND(":",Retro!$O9)-1)</f>
        <v>QB</v>
      </c>
      <c r="I9" s="24">
        <f>INT(MID(Retro!$L9,1,1))</f>
        <v>1</v>
      </c>
      <c r="J9" s="24">
        <v>2556</v>
      </c>
      <c r="K9" s="24">
        <v>512</v>
      </c>
      <c r="L9" s="24">
        <v>1</v>
      </c>
      <c r="M9" s="24">
        <v>1</v>
      </c>
      <c r="N9" s="24">
        <v>22</v>
      </c>
      <c r="O9" s="24" t="s">
        <v>25</v>
      </c>
      <c r="P9" s="24" t="s">
        <v>24</v>
      </c>
      <c r="Q9" s="24" t="s">
        <v>291</v>
      </c>
      <c r="R9" s="24" t="s">
        <v>292</v>
      </c>
      <c r="S9" s="24" t="s">
        <v>293</v>
      </c>
      <c r="T9" s="24"/>
      <c r="U9" s="24"/>
      <c r="V9" s="24">
        <v>4</v>
      </c>
      <c r="W9" s="24">
        <v>59000</v>
      </c>
      <c r="X9" s="24">
        <v>54.42</v>
      </c>
      <c r="Y9" s="24">
        <v>108.8</v>
      </c>
      <c r="Z9" s="24">
        <v>103.28</v>
      </c>
      <c r="AA9" s="24" t="s">
        <v>294</v>
      </c>
      <c r="AB9" s="24" t="s">
        <v>295</v>
      </c>
      <c r="AC9" s="24" t="s">
        <v>296</v>
      </c>
      <c r="AD9" s="24" t="s">
        <v>297</v>
      </c>
      <c r="AE9" s="24" t="s">
        <v>298</v>
      </c>
      <c r="AF9" s="24"/>
      <c r="AG9" s="3"/>
      <c r="AH9" s="3"/>
    </row>
    <row r="10" spans="1:34" x14ac:dyDescent="0.45">
      <c r="A10" s="24"/>
      <c r="B10" s="24"/>
      <c r="C10" s="24"/>
      <c r="D10" s="24"/>
      <c r="E10" s="24">
        <f>COUNTIFS(Retro!$I10,1,Retro!$M10,1)</f>
        <v>0</v>
      </c>
      <c r="F10" s="24">
        <f>COUNTIFS(Retro!$I10,1,Retro!$M10,"&lt;&gt;1")</f>
        <v>1</v>
      </c>
      <c r="H10" s="24" t="str">
        <f>MID(Retro!$O10,1,FIND(":",Retro!$O10)-1)</f>
        <v>WR1</v>
      </c>
      <c r="I10" s="24">
        <f>INT(MID(Retro!$L10,1,1))</f>
        <v>1</v>
      </c>
      <c r="J10" s="24">
        <v>3812</v>
      </c>
      <c r="K10" s="24">
        <v>763</v>
      </c>
      <c r="L10" s="24">
        <v>1</v>
      </c>
      <c r="M10" s="24">
        <v>4</v>
      </c>
      <c r="N10" s="24">
        <v>11</v>
      </c>
      <c r="O10" s="24" t="s">
        <v>13</v>
      </c>
      <c r="P10" s="24" t="s">
        <v>45</v>
      </c>
      <c r="Q10" s="24" t="s">
        <v>41</v>
      </c>
      <c r="R10" s="24" t="s">
        <v>270</v>
      </c>
      <c r="S10" s="24" t="s">
        <v>46</v>
      </c>
      <c r="T10" s="24"/>
      <c r="U10" s="24"/>
      <c r="V10" s="24">
        <v>3</v>
      </c>
      <c r="W10" s="24">
        <v>60000</v>
      </c>
      <c r="X10" s="24">
        <v>58.79</v>
      </c>
      <c r="Y10" s="24">
        <v>114.6</v>
      </c>
      <c r="Z10" s="24">
        <v>95.83</v>
      </c>
      <c r="AA10" s="24" t="s">
        <v>299</v>
      </c>
      <c r="AB10" s="24" t="s">
        <v>300</v>
      </c>
      <c r="AC10" s="24" t="s">
        <v>301</v>
      </c>
      <c r="AD10" s="24" t="s">
        <v>302</v>
      </c>
      <c r="AE10" s="24" t="s">
        <v>303</v>
      </c>
      <c r="AF10" s="24"/>
      <c r="AG10" s="3"/>
      <c r="AH10" s="3"/>
    </row>
    <row r="11" spans="1:34" x14ac:dyDescent="0.45">
      <c r="A11" s="24"/>
      <c r="B11" s="24"/>
      <c r="C11" s="24"/>
      <c r="D11" s="24"/>
      <c r="E11" s="24">
        <f>COUNTIFS(Retro!$I11,1,Retro!$M11,1)</f>
        <v>0</v>
      </c>
      <c r="F11" s="24">
        <f>COUNTIFS(Retro!$I11,1,Retro!$M11,"&lt;&gt;1")</f>
        <v>1</v>
      </c>
      <c r="H11" s="24" t="str">
        <f>MID(Retro!$O11,1,FIND(":",Retro!$O11)-1)</f>
        <v>QB</v>
      </c>
      <c r="I11" s="24">
        <f>INT(MID(Retro!$L11,1,1))</f>
        <v>1</v>
      </c>
      <c r="J11" s="24">
        <v>8492</v>
      </c>
      <c r="K11" s="24">
        <v>1699</v>
      </c>
      <c r="L11" s="24">
        <v>1</v>
      </c>
      <c r="M11" s="24">
        <v>3</v>
      </c>
      <c r="N11" s="24">
        <v>18</v>
      </c>
      <c r="O11" s="24" t="s">
        <v>304</v>
      </c>
      <c r="P11" s="24" t="s">
        <v>305</v>
      </c>
      <c r="Q11" s="24" t="s">
        <v>306</v>
      </c>
      <c r="R11" s="24" t="s">
        <v>307</v>
      </c>
      <c r="S11" s="24" t="s">
        <v>308</v>
      </c>
      <c r="T11" s="24"/>
      <c r="U11" s="24"/>
      <c r="V11" s="24">
        <v>4</v>
      </c>
      <c r="W11" s="24">
        <v>56500</v>
      </c>
      <c r="X11" s="24">
        <v>52.41</v>
      </c>
      <c r="Y11" s="24">
        <v>83.1</v>
      </c>
      <c r="Z11" s="24">
        <v>87.46</v>
      </c>
      <c r="AA11" s="24" t="s">
        <v>309</v>
      </c>
      <c r="AB11" s="24" t="s">
        <v>310</v>
      </c>
      <c r="AC11" s="24" t="s">
        <v>311</v>
      </c>
      <c r="AD11" s="24" t="s">
        <v>312</v>
      </c>
      <c r="AE11" s="24" t="s">
        <v>313</v>
      </c>
      <c r="AF11" s="24"/>
      <c r="AG11" s="3"/>
      <c r="AH11" s="3"/>
    </row>
    <row r="12" spans="1:34" x14ac:dyDescent="0.45">
      <c r="A12" s="24"/>
      <c r="B12" s="24"/>
      <c r="C12" s="24"/>
      <c r="D12" s="24"/>
      <c r="E12" s="24">
        <f>COUNTIFS(Retro!$I12,1,Retro!$M12,1)</f>
        <v>1</v>
      </c>
      <c r="F12" s="24">
        <f>COUNTIFS(Retro!$I12,1,Retro!$M12,"&lt;&gt;1")</f>
        <v>0</v>
      </c>
      <c r="H12" s="24" t="str">
        <f>MID(Retro!$O12,1,FIND(":",Retro!$O12)-1)</f>
        <v>WR1</v>
      </c>
      <c r="I12" s="24">
        <f>INT(MID(Retro!$L12,1,1))</f>
        <v>1</v>
      </c>
      <c r="J12" s="24">
        <v>1</v>
      </c>
      <c r="K12" s="24">
        <v>1</v>
      </c>
      <c r="L12" s="24">
        <v>1</v>
      </c>
      <c r="M12" s="24">
        <v>1</v>
      </c>
      <c r="N12" s="24">
        <v>21</v>
      </c>
      <c r="O12" s="24" t="s">
        <v>47</v>
      </c>
      <c r="P12" s="24" t="s">
        <v>49</v>
      </c>
      <c r="Q12" s="24" t="s">
        <v>48</v>
      </c>
      <c r="R12" s="24" t="s">
        <v>314</v>
      </c>
      <c r="S12" s="24" t="s">
        <v>172</v>
      </c>
      <c r="T12" s="24"/>
      <c r="U12" s="24"/>
      <c r="V12" s="24">
        <v>2</v>
      </c>
      <c r="W12" s="24">
        <v>60000</v>
      </c>
      <c r="X12" s="24">
        <v>44.74</v>
      </c>
      <c r="Y12" s="24">
        <v>82.8</v>
      </c>
      <c r="Z12" s="24">
        <v>122.22</v>
      </c>
      <c r="AA12" s="24" t="s">
        <v>315</v>
      </c>
      <c r="AB12" s="24" t="s">
        <v>316</v>
      </c>
      <c r="AC12" s="24" t="s">
        <v>317</v>
      </c>
      <c r="AD12" s="24" t="s">
        <v>318</v>
      </c>
      <c r="AE12" s="24" t="s">
        <v>319</v>
      </c>
      <c r="AF12" s="24"/>
      <c r="AG12" s="3"/>
      <c r="AH12" s="3"/>
    </row>
    <row r="13" spans="1:34" x14ac:dyDescent="0.45">
      <c r="A13" s="24"/>
      <c r="B13" s="24"/>
      <c r="C13" s="24"/>
      <c r="D13" s="24"/>
      <c r="E13" s="24">
        <f>COUNTIFS(Retro!$I13,1,Retro!$M13,1)</f>
        <v>0</v>
      </c>
      <c r="F13" s="24">
        <f>COUNTIFS(Retro!$I13,1,Retro!$M13,"&lt;&gt;1")</f>
        <v>0</v>
      </c>
      <c r="H13" s="24" t="str">
        <f>MID(Retro!$O13,1,FIND(":",Retro!$O13)-1)</f>
        <v>RB</v>
      </c>
      <c r="I13" s="24">
        <f>INT(MID(Retro!$L13,1,1))</f>
        <v>2</v>
      </c>
      <c r="J13" s="24">
        <v>32747</v>
      </c>
      <c r="K13" s="24">
        <v>6550</v>
      </c>
      <c r="L13" s="24">
        <v>2</v>
      </c>
      <c r="M13" s="24">
        <v>3</v>
      </c>
      <c r="N13" s="24">
        <v>11</v>
      </c>
      <c r="O13" s="24" t="s">
        <v>52</v>
      </c>
      <c r="P13" s="24" t="s">
        <v>12</v>
      </c>
      <c r="Q13" s="24" t="s">
        <v>103</v>
      </c>
      <c r="R13" s="24" t="s">
        <v>53</v>
      </c>
      <c r="S13" s="24" t="s">
        <v>52</v>
      </c>
      <c r="T13" s="24"/>
      <c r="U13" s="24"/>
      <c r="V13" s="24">
        <v>4</v>
      </c>
      <c r="W13" s="24">
        <v>58500</v>
      </c>
      <c r="X13" s="24">
        <v>67.39</v>
      </c>
      <c r="Y13" s="24">
        <v>67.39</v>
      </c>
      <c r="Z13" s="24">
        <v>115.54</v>
      </c>
      <c r="AA13" s="24" t="s">
        <v>320</v>
      </c>
      <c r="AB13" s="24" t="s">
        <v>321</v>
      </c>
      <c r="AC13" s="24" t="s">
        <v>322</v>
      </c>
      <c r="AD13" s="24" t="s">
        <v>323</v>
      </c>
      <c r="AE13" s="24" t="s">
        <v>324</v>
      </c>
      <c r="AF13" s="24"/>
      <c r="AG13" s="3"/>
      <c r="AH13" s="3"/>
    </row>
    <row r="14" spans="1:34" x14ac:dyDescent="0.45">
      <c r="A14" s="24"/>
      <c r="B14" s="24"/>
      <c r="C14" s="24"/>
      <c r="D14" s="24"/>
      <c r="E14" s="24">
        <f>COUNTIFS(Retro!$I14,1,Retro!$M14,1)</f>
        <v>0</v>
      </c>
      <c r="F14" s="24">
        <f>COUNTIFS(Retro!$I14,1,Retro!$M14,"&lt;&gt;1")</f>
        <v>0</v>
      </c>
      <c r="H14" s="24" t="str">
        <f>MID(Retro!$O14,1,FIND(":",Retro!$O14)-1)</f>
        <v>WR1</v>
      </c>
      <c r="I14" s="24">
        <f>INT(MID(Retro!$L14,1,1))</f>
        <v>2</v>
      </c>
      <c r="J14" s="24">
        <v>14371</v>
      </c>
      <c r="K14" s="24">
        <v>2875</v>
      </c>
      <c r="L14" s="24">
        <v>2</v>
      </c>
      <c r="M14" s="24">
        <v>2</v>
      </c>
      <c r="N14" s="24">
        <v>15</v>
      </c>
      <c r="O14" s="24" t="s">
        <v>162</v>
      </c>
      <c r="P14" s="24" t="s">
        <v>51</v>
      </c>
      <c r="Q14" s="24" t="s">
        <v>325</v>
      </c>
      <c r="R14" s="24" t="s">
        <v>326</v>
      </c>
      <c r="S14" s="24" t="s">
        <v>50</v>
      </c>
      <c r="T14" s="24"/>
      <c r="U14" s="24"/>
      <c r="V14" s="24">
        <v>3</v>
      </c>
      <c r="W14" s="24">
        <v>56000</v>
      </c>
      <c r="X14" s="24">
        <v>49.9</v>
      </c>
      <c r="Y14" s="24">
        <v>140.69999999999999</v>
      </c>
      <c r="Z14" s="24">
        <v>94.45</v>
      </c>
      <c r="AA14" s="24" t="s">
        <v>327</v>
      </c>
      <c r="AB14" s="24" t="s">
        <v>328</v>
      </c>
      <c r="AC14" s="24" t="s">
        <v>329</v>
      </c>
      <c r="AD14" s="24" t="s">
        <v>330</v>
      </c>
      <c r="AE14" s="24" t="s">
        <v>331</v>
      </c>
      <c r="AF14" s="24"/>
      <c r="AG14" s="3"/>
      <c r="AH14" s="3"/>
    </row>
    <row r="15" spans="1:34" x14ac:dyDescent="0.45">
      <c r="A15" s="24"/>
      <c r="B15" s="24"/>
      <c r="C15" s="24"/>
      <c r="D15" s="24"/>
      <c r="E15" s="24">
        <f>COUNTIFS(Retro!$I15,1,Retro!$M15,1)</f>
        <v>0</v>
      </c>
      <c r="F15" s="24">
        <f>COUNTIFS(Retro!$I15,1,Retro!$M15,"&lt;&gt;1")</f>
        <v>0</v>
      </c>
      <c r="H15" s="24" t="str">
        <f>MID(Retro!$O15,1,FIND(":",Retro!$O15)-1)</f>
        <v>WR1</v>
      </c>
      <c r="I15" s="24">
        <f>INT(MID(Retro!$L15,1,1))</f>
        <v>2</v>
      </c>
      <c r="J15" s="24">
        <v>14372</v>
      </c>
      <c r="K15" s="24">
        <v>2875</v>
      </c>
      <c r="L15" s="24">
        <v>2</v>
      </c>
      <c r="M15" s="24">
        <v>3</v>
      </c>
      <c r="N15" s="24">
        <v>15</v>
      </c>
      <c r="O15" s="24" t="s">
        <v>51</v>
      </c>
      <c r="P15" s="24" t="s">
        <v>162</v>
      </c>
      <c r="Q15" s="24" t="s">
        <v>325</v>
      </c>
      <c r="R15" s="24" t="s">
        <v>326</v>
      </c>
      <c r="S15" s="24" t="s">
        <v>50</v>
      </c>
      <c r="T15" s="24"/>
      <c r="U15" s="24"/>
      <c r="V15" s="24">
        <v>3</v>
      </c>
      <c r="W15" s="24">
        <v>56000</v>
      </c>
      <c r="X15" s="24">
        <v>49.9</v>
      </c>
      <c r="Y15" s="24">
        <v>140.69999999999999</v>
      </c>
      <c r="Z15" s="24">
        <v>94.45</v>
      </c>
      <c r="AA15" s="24" t="s">
        <v>328</v>
      </c>
      <c r="AB15" s="24" t="s">
        <v>327</v>
      </c>
      <c r="AC15" s="24" t="s">
        <v>329</v>
      </c>
      <c r="AD15" s="24" t="s">
        <v>330</v>
      </c>
      <c r="AE15" s="24" t="s">
        <v>331</v>
      </c>
      <c r="AF15" s="24"/>
      <c r="AG15" s="3"/>
      <c r="AH15" s="3"/>
    </row>
    <row r="16" spans="1:34" x14ac:dyDescent="0.45">
      <c r="A16" s="24"/>
      <c r="B16" s="24"/>
      <c r="C16" s="24"/>
      <c r="D16" s="24"/>
      <c r="E16" s="24">
        <f>COUNTIFS(Retro!$I16,1,Retro!$M16,1)</f>
        <v>0</v>
      </c>
      <c r="F16" s="24">
        <f>COUNTIFS(Retro!$I16,1,Retro!$M16,"&lt;&gt;1")</f>
        <v>0</v>
      </c>
      <c r="H16" s="24" t="str">
        <f>MID(Retro!$O16,1,FIND(":",Retro!$O16)-1)</f>
        <v>RB</v>
      </c>
      <c r="I16" s="24">
        <f>INT(MID(Retro!$L16,1,1))</f>
        <v>2</v>
      </c>
      <c r="J16" s="24">
        <v>47949</v>
      </c>
      <c r="K16" s="24">
        <v>9590</v>
      </c>
      <c r="L16" s="24">
        <v>2</v>
      </c>
      <c r="M16" s="24">
        <v>7</v>
      </c>
      <c r="N16" s="24">
        <v>16</v>
      </c>
      <c r="O16" s="24" t="s">
        <v>54</v>
      </c>
      <c r="P16" s="24" t="s">
        <v>332</v>
      </c>
      <c r="Q16" s="24" t="s">
        <v>56</v>
      </c>
      <c r="R16" s="24" t="s">
        <v>55</v>
      </c>
      <c r="S16" s="24" t="s">
        <v>70</v>
      </c>
      <c r="T16" s="24"/>
      <c r="U16" s="24"/>
      <c r="V16" s="24">
        <v>2</v>
      </c>
      <c r="W16" s="24">
        <v>57500</v>
      </c>
      <c r="X16" s="24">
        <v>70.569999999999993</v>
      </c>
      <c r="Y16" s="24">
        <v>155.30000000000001</v>
      </c>
      <c r="Z16" s="24">
        <v>129.18</v>
      </c>
      <c r="AA16" s="24" t="s">
        <v>333</v>
      </c>
      <c r="AB16" s="24" t="s">
        <v>334</v>
      </c>
      <c r="AC16" s="24" t="s">
        <v>335</v>
      </c>
      <c r="AD16" s="24" t="s">
        <v>336</v>
      </c>
      <c r="AE16" s="24" t="s">
        <v>337</v>
      </c>
      <c r="AF16" s="24"/>
      <c r="AG16" s="3"/>
      <c r="AH16" s="3"/>
    </row>
    <row r="17" spans="1:34" x14ac:dyDescent="0.45">
      <c r="A17" s="24"/>
      <c r="B17" s="24"/>
      <c r="C17" s="24"/>
      <c r="D17" s="24"/>
      <c r="E17" s="24">
        <f>COUNTIFS(Retro!$I17,1,Retro!$M17,1)</f>
        <v>0</v>
      </c>
      <c r="F17" s="24">
        <f>COUNTIFS(Retro!$I17,1,Retro!$M17,"&lt;&gt;1")</f>
        <v>0</v>
      </c>
      <c r="H17" s="24" t="str">
        <f>MID(Retro!$O17,1,FIND(":",Retro!$O17)-1)</f>
        <v>RB</v>
      </c>
      <c r="I17" s="24">
        <f>INT(MID(Retro!$L17,1,1))</f>
        <v>4</v>
      </c>
      <c r="J17" s="24">
        <v>104479</v>
      </c>
      <c r="K17" s="24">
        <v>20896</v>
      </c>
      <c r="L17" s="24">
        <v>4</v>
      </c>
      <c r="M17" s="24">
        <v>7</v>
      </c>
      <c r="N17" s="24">
        <v>8</v>
      </c>
      <c r="O17" s="24" t="s">
        <v>54</v>
      </c>
      <c r="P17" s="24" t="s">
        <v>56</v>
      </c>
      <c r="Q17" s="24" t="s">
        <v>55</v>
      </c>
      <c r="R17" s="24" t="s">
        <v>332</v>
      </c>
      <c r="S17" s="24" t="s">
        <v>17</v>
      </c>
      <c r="T17" s="24"/>
      <c r="U17" s="24"/>
      <c r="V17" s="24">
        <v>2</v>
      </c>
      <c r="W17" s="24">
        <v>59500</v>
      </c>
      <c r="X17" s="24">
        <v>82.83</v>
      </c>
      <c r="Y17" s="24">
        <v>191.7</v>
      </c>
      <c r="Z17" s="24">
        <v>129.18</v>
      </c>
      <c r="AA17" s="24" t="s">
        <v>333</v>
      </c>
      <c r="AB17" s="24" t="s">
        <v>335</v>
      </c>
      <c r="AC17" s="24" t="s">
        <v>336</v>
      </c>
      <c r="AD17" s="24" t="s">
        <v>338</v>
      </c>
      <c r="AE17" s="24" t="s">
        <v>339</v>
      </c>
      <c r="AF17" s="24"/>
      <c r="AG17" s="3"/>
      <c r="AH17" s="3"/>
    </row>
    <row r="18" spans="1:34" x14ac:dyDescent="0.45">
      <c r="A18" s="24"/>
      <c r="B18" s="24"/>
      <c r="C18" s="24"/>
      <c r="D18" s="24"/>
      <c r="E18" s="24">
        <f>COUNTIFS(Retro!$I18,1,Retro!$M18,1)</f>
        <v>0</v>
      </c>
      <c r="F18" s="24">
        <f>COUNTIFS(Retro!$I18,1,Retro!$M18,"&lt;&gt;1")</f>
        <v>0</v>
      </c>
      <c r="H18" s="24" t="str">
        <f>MID(Retro!$O18,1,FIND(":",Retro!$O18)-1)</f>
        <v>K</v>
      </c>
      <c r="I18" s="24">
        <f>INT(MID(Retro!$L18,1,1))</f>
        <v>3</v>
      </c>
      <c r="J18" s="24">
        <v>46009</v>
      </c>
      <c r="K18" s="24">
        <v>9202</v>
      </c>
      <c r="L18" s="24">
        <v>3</v>
      </c>
      <c r="M18" s="24">
        <v>12</v>
      </c>
      <c r="N18" s="24">
        <v>17</v>
      </c>
      <c r="O18" s="24" t="s">
        <v>340</v>
      </c>
      <c r="P18" s="24" t="s">
        <v>341</v>
      </c>
      <c r="Q18" s="24" t="s">
        <v>342</v>
      </c>
      <c r="R18" s="24" t="s">
        <v>343</v>
      </c>
      <c r="S18" s="24" t="s">
        <v>342</v>
      </c>
      <c r="T18" s="24"/>
      <c r="U18" s="24"/>
      <c r="V18" s="24">
        <v>1</v>
      </c>
      <c r="W18" s="24">
        <v>53000</v>
      </c>
      <c r="X18" s="24">
        <v>29.79</v>
      </c>
      <c r="Y18" s="24">
        <v>86.3</v>
      </c>
      <c r="Z18" s="24">
        <v>86.54</v>
      </c>
      <c r="AA18" s="24" t="s">
        <v>344</v>
      </c>
      <c r="AB18" s="24" t="s">
        <v>345</v>
      </c>
      <c r="AC18" s="24" t="s">
        <v>346</v>
      </c>
      <c r="AD18" s="24" t="s">
        <v>347</v>
      </c>
      <c r="AE18" s="24" t="s">
        <v>348</v>
      </c>
      <c r="AF18" s="24"/>
      <c r="AG18" s="3"/>
      <c r="AH18" s="3"/>
    </row>
    <row r="19" spans="1:34" x14ac:dyDescent="0.45">
      <c r="A19" s="24"/>
      <c r="B19" s="24"/>
      <c r="C19" s="24"/>
      <c r="D19" s="24"/>
      <c r="E19" s="24">
        <f>COUNTIFS(Retro!$I19,1,Retro!$M19,1)</f>
        <v>0</v>
      </c>
      <c r="F19" s="24">
        <f>COUNTIFS(Retro!$I19,1,Retro!$M19,"&lt;&gt;1")</f>
        <v>0</v>
      </c>
      <c r="H19" s="24" t="str">
        <f>MID(Retro!$O19,1,FIND(":",Retro!$O19)-1)</f>
        <v>QB</v>
      </c>
      <c r="I19" s="24">
        <f>INT(MID(Retro!$L19,1,1))</f>
        <v>2</v>
      </c>
      <c r="J19" s="24">
        <v>70436</v>
      </c>
      <c r="K19" s="24">
        <v>14088</v>
      </c>
      <c r="L19" s="24">
        <v>2</v>
      </c>
      <c r="M19" s="24">
        <v>2</v>
      </c>
      <c r="N19" s="24">
        <v>22</v>
      </c>
      <c r="O19" s="24" t="s">
        <v>57</v>
      </c>
      <c r="P19" s="24" t="s">
        <v>58</v>
      </c>
      <c r="Q19" s="24" t="s">
        <v>50</v>
      </c>
      <c r="R19" s="24" t="s">
        <v>349</v>
      </c>
      <c r="S19" s="24" t="s">
        <v>350</v>
      </c>
      <c r="T19" s="24"/>
      <c r="U19" s="24"/>
      <c r="V19" s="24">
        <v>3</v>
      </c>
      <c r="W19" s="24">
        <v>57500</v>
      </c>
      <c r="X19" s="24">
        <v>54.07</v>
      </c>
      <c r="Y19" s="24">
        <v>208.2</v>
      </c>
      <c r="Z19" s="24">
        <v>93.91</v>
      </c>
      <c r="AA19" s="24" t="s">
        <v>351</v>
      </c>
      <c r="AB19" s="24" t="s">
        <v>352</v>
      </c>
      <c r="AC19" s="24" t="s">
        <v>353</v>
      </c>
      <c r="AD19" s="24" t="s">
        <v>354</v>
      </c>
      <c r="AE19" s="24" t="s">
        <v>355</v>
      </c>
      <c r="AF19" s="24"/>
      <c r="AG19" s="3"/>
      <c r="AH19" s="3"/>
    </row>
    <row r="20" spans="1:34" x14ac:dyDescent="0.45">
      <c r="A20" s="24"/>
      <c r="B20" s="24"/>
      <c r="C20" s="24"/>
      <c r="D20" s="24"/>
      <c r="E20" s="24">
        <f>COUNTIFS(Retro!$I20,1,Retro!$M20,1)</f>
        <v>0</v>
      </c>
      <c r="F20" s="24">
        <f>COUNTIFS(Retro!$I20,1,Retro!$M20,"&lt;&gt;1")</f>
        <v>0</v>
      </c>
      <c r="H20" s="24" t="str">
        <f>MID(Retro!$O20,1,FIND(":",Retro!$O20)-1)</f>
        <v>RB</v>
      </c>
      <c r="I20" s="24">
        <f>INT(MID(Retro!$L20,1,1))</f>
        <v>2</v>
      </c>
      <c r="J20" s="24">
        <v>45697</v>
      </c>
      <c r="K20" s="24">
        <v>9140</v>
      </c>
      <c r="L20" s="24">
        <v>2</v>
      </c>
      <c r="M20" s="24">
        <v>5</v>
      </c>
      <c r="N20" s="24">
        <v>13</v>
      </c>
      <c r="O20" s="24" t="s">
        <v>11</v>
      </c>
      <c r="P20" s="24" t="s">
        <v>45</v>
      </c>
      <c r="Q20" s="24" t="s">
        <v>356</v>
      </c>
      <c r="R20" s="24" t="s">
        <v>46</v>
      </c>
      <c r="S20" s="24" t="s">
        <v>59</v>
      </c>
      <c r="T20" s="24"/>
      <c r="U20" s="24"/>
      <c r="V20" s="24">
        <v>4</v>
      </c>
      <c r="W20" s="24">
        <v>54000</v>
      </c>
      <c r="X20" s="24">
        <v>49.94</v>
      </c>
      <c r="Y20" s="24">
        <v>162.6</v>
      </c>
      <c r="Z20" s="24">
        <v>99.34</v>
      </c>
      <c r="AA20" s="24" t="s">
        <v>357</v>
      </c>
      <c r="AB20" s="24" t="s">
        <v>358</v>
      </c>
      <c r="AC20" s="24" t="s">
        <v>359</v>
      </c>
      <c r="AD20" s="24" t="s">
        <v>360</v>
      </c>
      <c r="AE20" s="24" t="s">
        <v>361</v>
      </c>
      <c r="AF20" s="24"/>
      <c r="AG20" s="3"/>
      <c r="AH20" s="3"/>
    </row>
    <row r="21" spans="1:34" x14ac:dyDescent="0.45">
      <c r="A21" s="24"/>
      <c r="B21" s="24"/>
      <c r="C21" s="24"/>
      <c r="D21" s="24"/>
      <c r="E21" s="24">
        <f>COUNTIFS(Retro!$I21,1,Retro!$M21,1)</f>
        <v>0</v>
      </c>
      <c r="F21" s="24">
        <f>COUNTIFS(Retro!$I21,1,Retro!$M21,"&lt;&gt;1")</f>
        <v>1</v>
      </c>
      <c r="H21" s="24" t="str">
        <f>MID(Retro!$O21,1,FIND(":",Retro!$O21)-1)</f>
        <v>QB</v>
      </c>
      <c r="I21" s="24">
        <f>INT(MID(Retro!$L21,1,1))</f>
        <v>1</v>
      </c>
      <c r="J21" s="24">
        <v>4612</v>
      </c>
      <c r="K21" s="24">
        <v>923</v>
      </c>
      <c r="L21" s="24">
        <v>1</v>
      </c>
      <c r="M21" s="24">
        <v>4</v>
      </c>
      <c r="N21" s="24">
        <v>15</v>
      </c>
      <c r="O21" s="24" t="s">
        <v>44</v>
      </c>
      <c r="P21" s="24" t="s">
        <v>36</v>
      </c>
      <c r="Q21" s="24" t="s">
        <v>41</v>
      </c>
      <c r="R21" s="24" t="s">
        <v>42</v>
      </c>
      <c r="S21" s="24" t="s">
        <v>270</v>
      </c>
      <c r="T21" s="24"/>
      <c r="U21" s="24"/>
      <c r="V21" s="24">
        <v>1</v>
      </c>
      <c r="W21" s="24">
        <v>58500</v>
      </c>
      <c r="X21" s="24">
        <v>64.06</v>
      </c>
      <c r="Y21" s="24">
        <v>253.3</v>
      </c>
      <c r="Z21" s="24">
        <v>158.34</v>
      </c>
      <c r="AA21" s="24" t="s">
        <v>362</v>
      </c>
      <c r="AB21" s="24" t="s">
        <v>363</v>
      </c>
      <c r="AC21" s="24" t="s">
        <v>364</v>
      </c>
      <c r="AD21" s="24" t="s">
        <v>365</v>
      </c>
      <c r="AE21" s="24" t="s">
        <v>366</v>
      </c>
      <c r="AF21" s="24"/>
      <c r="AG21" s="3"/>
      <c r="AH21" s="3"/>
    </row>
    <row r="22" spans="1:34" x14ac:dyDescent="0.45">
      <c r="A22" s="24"/>
      <c r="B22" s="24"/>
      <c r="C22" s="24"/>
      <c r="D22" s="24"/>
      <c r="E22" s="24">
        <f>COUNTIFS(Retro!$I22,1,Retro!$M22,1)</f>
        <v>0</v>
      </c>
      <c r="F22" s="24">
        <f>COUNTIFS(Retro!$I22,1,Retro!$M22,"&lt;&gt;1")</f>
        <v>0</v>
      </c>
      <c r="H22" s="24" t="str">
        <f>MID(Retro!$O22,1,FIND(":",Retro!$O22)-1)</f>
        <v>WR1</v>
      </c>
      <c r="I22" s="24">
        <f>INT(MID(Retro!$L22,1,1))</f>
        <v>2</v>
      </c>
      <c r="J22" s="24">
        <v>16841</v>
      </c>
      <c r="K22" s="24">
        <v>3369</v>
      </c>
      <c r="L22" s="24">
        <v>2</v>
      </c>
      <c r="M22" s="24">
        <v>2</v>
      </c>
      <c r="N22" s="24">
        <v>21</v>
      </c>
      <c r="O22" s="24" t="s">
        <v>367</v>
      </c>
      <c r="P22" s="24" t="s">
        <v>305</v>
      </c>
      <c r="Q22" s="24" t="s">
        <v>304</v>
      </c>
      <c r="R22" s="24" t="s">
        <v>306</v>
      </c>
      <c r="S22" s="24" t="s">
        <v>293</v>
      </c>
      <c r="T22" s="24"/>
      <c r="U22" s="24"/>
      <c r="V22" s="24">
        <v>4</v>
      </c>
      <c r="W22" s="24">
        <v>58500</v>
      </c>
      <c r="X22" s="24">
        <v>53.52</v>
      </c>
      <c r="Y22" s="24">
        <v>264.60000000000002</v>
      </c>
      <c r="Z22" s="24">
        <v>116.81</v>
      </c>
      <c r="AA22" s="24" t="s">
        <v>368</v>
      </c>
      <c r="AB22" s="24" t="s">
        <v>369</v>
      </c>
      <c r="AC22" s="24" t="s">
        <v>370</v>
      </c>
      <c r="AD22" s="24" t="s">
        <v>371</v>
      </c>
      <c r="AE22" s="24" t="s">
        <v>372</v>
      </c>
      <c r="AF22" s="24"/>
      <c r="AG22" s="3"/>
      <c r="AH22" s="3"/>
    </row>
    <row r="23" spans="1:34" x14ac:dyDescent="0.45">
      <c r="A23" s="24"/>
      <c r="B23" s="24"/>
      <c r="C23" s="24"/>
      <c r="D23" s="24"/>
      <c r="E23" s="24">
        <f>COUNTIFS(Retro!$I23,1,Retro!$M23,1)</f>
        <v>0</v>
      </c>
      <c r="F23" s="24">
        <f>COUNTIFS(Retro!$I23,1,Retro!$M23,"&lt;&gt;1")</f>
        <v>0</v>
      </c>
      <c r="H23" s="24" t="str">
        <f>MID(Retro!$O23,1,FIND(":",Retro!$O23)-1)</f>
        <v>QB</v>
      </c>
      <c r="I23" s="24">
        <f>INT(MID(Retro!$L23,1,1))</f>
        <v>2</v>
      </c>
      <c r="J23" s="24">
        <v>11066</v>
      </c>
      <c r="K23" s="24">
        <v>2214</v>
      </c>
      <c r="L23" s="24">
        <v>2</v>
      </c>
      <c r="M23" s="24">
        <v>2</v>
      </c>
      <c r="N23" s="24">
        <v>9</v>
      </c>
      <c r="O23" s="24" t="s">
        <v>48</v>
      </c>
      <c r="P23" s="24" t="s">
        <v>373</v>
      </c>
      <c r="Q23" s="24" t="s">
        <v>374</v>
      </c>
      <c r="R23" s="24" t="s">
        <v>375</v>
      </c>
      <c r="S23" s="24" t="s">
        <v>325</v>
      </c>
      <c r="T23" s="24"/>
      <c r="U23" s="24"/>
      <c r="V23" s="24">
        <v>2</v>
      </c>
      <c r="W23" s="24">
        <v>58500</v>
      </c>
      <c r="X23" s="24">
        <v>61.16</v>
      </c>
      <c r="Y23" s="24">
        <v>293.8</v>
      </c>
      <c r="Z23" s="24">
        <v>84.33</v>
      </c>
      <c r="AA23" s="24" t="s">
        <v>376</v>
      </c>
      <c r="AB23" s="24" t="s">
        <v>377</v>
      </c>
      <c r="AC23" s="24" t="s">
        <v>378</v>
      </c>
      <c r="AD23" s="24" t="s">
        <v>379</v>
      </c>
      <c r="AE23" s="24" t="s">
        <v>380</v>
      </c>
      <c r="AF23" s="24"/>
      <c r="AG23" s="3"/>
      <c r="AH23" s="3"/>
    </row>
    <row r="24" spans="1:34" x14ac:dyDescent="0.45">
      <c r="A24" s="24"/>
      <c r="B24" s="24"/>
      <c r="C24" s="24"/>
      <c r="D24" s="24"/>
      <c r="E24" s="24">
        <f>COUNTIFS(Retro!$I24,1,Retro!$M24,1)</f>
        <v>0</v>
      </c>
      <c r="F24" s="24">
        <f>COUNTIFS(Retro!$I24,1,Retro!$M24,"&lt;&gt;1")</f>
        <v>0</v>
      </c>
      <c r="H24" s="24" t="str">
        <f>MID(Retro!$O24,1,FIND(":",Retro!$O24)-1)</f>
        <v>QB</v>
      </c>
      <c r="I24" s="24">
        <f>INT(MID(Retro!$L24,1,1))</f>
        <v>2</v>
      </c>
      <c r="J24" s="24">
        <v>38122</v>
      </c>
      <c r="K24" s="24">
        <v>7625</v>
      </c>
      <c r="L24" s="24">
        <v>2</v>
      </c>
      <c r="M24" s="24">
        <v>4</v>
      </c>
      <c r="N24" s="24">
        <v>10</v>
      </c>
      <c r="O24" s="24" t="s">
        <v>60</v>
      </c>
      <c r="P24" s="24" t="s">
        <v>56</v>
      </c>
      <c r="Q24" s="24" t="s">
        <v>23</v>
      </c>
      <c r="R24" s="24" t="s">
        <v>381</v>
      </c>
      <c r="S24" s="24" t="s">
        <v>382</v>
      </c>
      <c r="T24" s="24"/>
      <c r="U24" s="24"/>
      <c r="V24" s="24">
        <v>2</v>
      </c>
      <c r="W24" s="24">
        <v>60000</v>
      </c>
      <c r="X24" s="24">
        <v>68.98</v>
      </c>
      <c r="Y24" s="24">
        <v>308.8</v>
      </c>
      <c r="Z24" s="24">
        <v>110.63</v>
      </c>
      <c r="AA24" s="24" t="s">
        <v>383</v>
      </c>
      <c r="AB24" s="24" t="s">
        <v>384</v>
      </c>
      <c r="AC24" s="24" t="s">
        <v>385</v>
      </c>
      <c r="AD24" s="24" t="s">
        <v>386</v>
      </c>
      <c r="AE24" s="24" t="s">
        <v>387</v>
      </c>
      <c r="AF24" s="24"/>
      <c r="AG24" s="3"/>
      <c r="AH24" s="3"/>
    </row>
    <row r="25" spans="1:34" x14ac:dyDescent="0.45">
      <c r="A25" s="24"/>
      <c r="B25" s="24"/>
      <c r="C25" s="24"/>
      <c r="D25" s="24"/>
      <c r="E25" s="24">
        <f>COUNTIFS(Retro!$I25,1,Retro!$M25,1)</f>
        <v>1</v>
      </c>
      <c r="F25" s="24">
        <f>COUNTIFS(Retro!$I25,1,Retro!$M25,"&lt;&gt;1")</f>
        <v>0</v>
      </c>
      <c r="H25" s="24" t="str">
        <f>MID(Retro!$O25,1,FIND(":",Retro!$O25)-1)</f>
        <v>QB</v>
      </c>
      <c r="I25" s="24">
        <f>INT(MID(Retro!$L25,1,1))</f>
        <v>1</v>
      </c>
      <c r="J25" s="24">
        <v>3466</v>
      </c>
      <c r="K25" s="24">
        <v>694</v>
      </c>
      <c r="L25" s="24">
        <v>1</v>
      </c>
      <c r="M25" s="24">
        <v>1</v>
      </c>
      <c r="N25" s="24">
        <v>17</v>
      </c>
      <c r="O25" s="24" t="s">
        <v>12</v>
      </c>
      <c r="P25" s="24" t="s">
        <v>36</v>
      </c>
      <c r="Q25" s="24" t="s">
        <v>388</v>
      </c>
      <c r="R25" s="24" t="s">
        <v>82</v>
      </c>
      <c r="S25" s="24" t="s">
        <v>65</v>
      </c>
      <c r="T25" s="24"/>
      <c r="U25" s="24"/>
      <c r="V25" s="24">
        <v>3</v>
      </c>
      <c r="W25" s="24">
        <v>58500</v>
      </c>
      <c r="X25" s="24">
        <v>71.23</v>
      </c>
      <c r="Y25" s="24">
        <v>404.5</v>
      </c>
      <c r="Z25" s="24">
        <v>150.9</v>
      </c>
      <c r="AA25" s="24" t="s">
        <v>389</v>
      </c>
      <c r="AB25" s="24" t="s">
        <v>390</v>
      </c>
      <c r="AC25" s="24" t="s">
        <v>391</v>
      </c>
      <c r="AD25" s="24" t="s">
        <v>392</v>
      </c>
      <c r="AE25" s="24" t="s">
        <v>393</v>
      </c>
      <c r="AF25" s="24"/>
      <c r="AG25" s="3"/>
      <c r="AH25" s="3"/>
    </row>
    <row r="26" spans="1:34" x14ac:dyDescent="0.45">
      <c r="A26" s="24"/>
      <c r="B26" s="24"/>
      <c r="C26" s="24"/>
      <c r="D26" s="24"/>
      <c r="E26" s="24">
        <f>COUNTIFS(Retro!$I26,1,Retro!$M26,1)</f>
        <v>0</v>
      </c>
      <c r="F26" s="24">
        <f>COUNTIFS(Retro!$I26,1,Retro!$M26,"&lt;&gt;1")</f>
        <v>0</v>
      </c>
      <c r="H26" s="24" t="str">
        <f>MID(Retro!$O26,1,FIND(":",Retro!$O26)-1)</f>
        <v>RB1</v>
      </c>
      <c r="I26" s="24">
        <f>INT(MID(Retro!$L26,1,1))</f>
        <v>2</v>
      </c>
      <c r="J26" s="24">
        <v>40347</v>
      </c>
      <c r="K26" s="24">
        <v>8070</v>
      </c>
      <c r="L26" s="24">
        <v>2</v>
      </c>
      <c r="M26" s="24">
        <v>4</v>
      </c>
      <c r="N26" s="24">
        <v>18</v>
      </c>
      <c r="O26" s="24" t="s">
        <v>156</v>
      </c>
      <c r="P26" s="24" t="s">
        <v>63</v>
      </c>
      <c r="Q26" s="24" t="s">
        <v>394</v>
      </c>
      <c r="R26" s="24" t="s">
        <v>228</v>
      </c>
      <c r="S26" s="24" t="s">
        <v>395</v>
      </c>
      <c r="T26" s="24"/>
      <c r="U26" s="24"/>
      <c r="V26" s="24">
        <v>4</v>
      </c>
      <c r="W26" s="24">
        <v>50500</v>
      </c>
      <c r="X26" s="24">
        <v>43.01</v>
      </c>
      <c r="Y26" s="24">
        <v>255.5</v>
      </c>
      <c r="Z26" s="24">
        <v>103.66</v>
      </c>
      <c r="AA26" s="24" t="s">
        <v>396</v>
      </c>
      <c r="AB26" s="24" t="s">
        <v>397</v>
      </c>
      <c r="AC26" s="24" t="s">
        <v>398</v>
      </c>
      <c r="AD26" s="24" t="s">
        <v>399</v>
      </c>
      <c r="AE26" s="24" t="s">
        <v>400</v>
      </c>
      <c r="AF26" s="24"/>
      <c r="AG26" s="3"/>
      <c r="AH26" s="3"/>
    </row>
    <row r="27" spans="1:34" x14ac:dyDescent="0.45">
      <c r="A27" s="24"/>
      <c r="B27" s="24"/>
      <c r="C27" s="24"/>
      <c r="D27" s="24"/>
      <c r="E27" s="24">
        <f>COUNTIFS(Retro!$I27,1,Retro!$M27,1)</f>
        <v>1</v>
      </c>
      <c r="F27" s="24">
        <f>COUNTIFS(Retro!$I27,1,Retro!$M27,"&lt;&gt;1")</f>
        <v>0</v>
      </c>
      <c r="H27" s="24" t="str">
        <f>MID(Retro!$O27,1,FIND(":",Retro!$O27)-1)</f>
        <v>RB1</v>
      </c>
      <c r="I27" s="24">
        <f>INT(MID(Retro!$L27,1,1))</f>
        <v>1</v>
      </c>
      <c r="J27" s="24">
        <v>3301</v>
      </c>
      <c r="K27" s="24">
        <v>661</v>
      </c>
      <c r="L27" s="24">
        <v>1</v>
      </c>
      <c r="M27" s="24">
        <v>1</v>
      </c>
      <c r="N27" s="24">
        <v>17</v>
      </c>
      <c r="O27" s="24" t="s">
        <v>305</v>
      </c>
      <c r="P27" s="24" t="s">
        <v>401</v>
      </c>
      <c r="Q27" s="24" t="s">
        <v>164</v>
      </c>
      <c r="R27" s="24" t="s">
        <v>402</v>
      </c>
      <c r="S27" s="24" t="s">
        <v>64</v>
      </c>
      <c r="T27" s="24"/>
      <c r="U27" s="24"/>
      <c r="V27" s="24">
        <v>1</v>
      </c>
      <c r="W27" s="24">
        <v>59500</v>
      </c>
      <c r="X27" s="24">
        <v>53.51</v>
      </c>
      <c r="Y27" s="24">
        <v>315.89999999999998</v>
      </c>
      <c r="Z27" s="24">
        <v>114.31</v>
      </c>
      <c r="AA27" s="24" t="s">
        <v>403</v>
      </c>
      <c r="AB27" s="24" t="s">
        <v>404</v>
      </c>
      <c r="AC27" s="24" t="s">
        <v>405</v>
      </c>
      <c r="AD27" s="24" t="s">
        <v>406</v>
      </c>
      <c r="AE27" s="24" t="s">
        <v>407</v>
      </c>
      <c r="AF27" s="24"/>
      <c r="AG27" s="3"/>
      <c r="AH27" s="3"/>
    </row>
    <row r="28" spans="1:34" x14ac:dyDescent="0.45">
      <c r="A28" s="24"/>
      <c r="B28" s="24"/>
      <c r="C28" s="24"/>
      <c r="D28" s="24"/>
      <c r="E28" s="24">
        <f>COUNTIFS(Retro!$I28,1,Retro!$M28,1)</f>
        <v>1</v>
      </c>
      <c r="F28" s="24">
        <f>COUNTIFS(Retro!$I28,1,Retro!$M28,"&lt;&gt;1")</f>
        <v>0</v>
      </c>
      <c r="H28" s="24" t="str">
        <f>MID(Retro!$O28,1,FIND(":",Retro!$O28)-1)</f>
        <v>WR1</v>
      </c>
      <c r="I28" s="24">
        <f>INT(MID(Retro!$L28,1,1))</f>
        <v>1</v>
      </c>
      <c r="J28" s="24">
        <v>3431</v>
      </c>
      <c r="K28" s="24">
        <v>687</v>
      </c>
      <c r="L28" s="24">
        <v>1</v>
      </c>
      <c r="M28" s="24">
        <v>1</v>
      </c>
      <c r="N28" s="24">
        <v>19</v>
      </c>
      <c r="O28" s="24" t="s">
        <v>51</v>
      </c>
      <c r="P28" s="24" t="s">
        <v>60</v>
      </c>
      <c r="Q28" s="24" t="s">
        <v>408</v>
      </c>
      <c r="R28" s="24" t="s">
        <v>22</v>
      </c>
      <c r="S28" s="24" t="s">
        <v>263</v>
      </c>
      <c r="T28" s="24"/>
      <c r="U28" s="24"/>
      <c r="V28" s="24">
        <v>1</v>
      </c>
      <c r="W28" s="24">
        <v>57000</v>
      </c>
      <c r="X28" s="24">
        <v>55.02</v>
      </c>
      <c r="Y28" s="24">
        <v>55</v>
      </c>
      <c r="Z28" s="24">
        <v>138.65</v>
      </c>
      <c r="AA28" s="24" t="s">
        <v>409</v>
      </c>
      <c r="AB28" s="24" t="s">
        <v>410</v>
      </c>
      <c r="AC28" s="24" t="s">
        <v>411</v>
      </c>
      <c r="AD28" s="24" t="s">
        <v>412</v>
      </c>
      <c r="AE28" s="24" t="s">
        <v>413</v>
      </c>
      <c r="AF28" s="24"/>
      <c r="AG28" s="3"/>
      <c r="AH28" s="3"/>
    </row>
    <row r="29" spans="1:34" x14ac:dyDescent="0.45">
      <c r="A29" s="24"/>
      <c r="B29" s="24"/>
      <c r="C29" s="24"/>
      <c r="D29" s="24"/>
      <c r="E29" s="24">
        <f>COUNTIFS(Retro!$I29,1,Retro!$M29,1)</f>
        <v>0</v>
      </c>
      <c r="F29" s="24">
        <f>COUNTIFS(Retro!$I29,1,Retro!$M29,"&lt;&gt;1")</f>
        <v>1</v>
      </c>
      <c r="H29" s="24" t="str">
        <f>MID(Retro!$O29,1,FIND(":",Retro!$O29)-1)</f>
        <v>QB</v>
      </c>
      <c r="I29" s="24">
        <f>INT(MID(Retro!$L29,1,1))</f>
        <v>1</v>
      </c>
      <c r="J29" s="24">
        <v>288</v>
      </c>
      <c r="K29" s="24">
        <v>58</v>
      </c>
      <c r="L29" s="24">
        <v>1</v>
      </c>
      <c r="M29" s="24">
        <v>4</v>
      </c>
      <c r="N29" s="24">
        <v>23</v>
      </c>
      <c r="O29" s="24" t="s">
        <v>21</v>
      </c>
      <c r="P29" s="24" t="s">
        <v>72</v>
      </c>
      <c r="Q29" s="24" t="s">
        <v>88</v>
      </c>
      <c r="R29" s="24" t="s">
        <v>414</v>
      </c>
      <c r="S29" s="24" t="s">
        <v>415</v>
      </c>
      <c r="T29" s="24"/>
      <c r="U29" s="24"/>
      <c r="V29" s="24">
        <v>1</v>
      </c>
      <c r="W29" s="24">
        <v>59000</v>
      </c>
      <c r="X29" s="24">
        <v>57.91</v>
      </c>
      <c r="Y29" s="24">
        <v>307.5</v>
      </c>
      <c r="Z29" s="24">
        <v>111.34</v>
      </c>
      <c r="AA29" s="24" t="s">
        <v>416</v>
      </c>
      <c r="AB29" s="24" t="s">
        <v>417</v>
      </c>
      <c r="AC29" s="24" t="s">
        <v>418</v>
      </c>
      <c r="AD29" s="24" t="s">
        <v>419</v>
      </c>
      <c r="AE29" s="24" t="s">
        <v>420</v>
      </c>
      <c r="AF29" s="24"/>
      <c r="AG29" s="3"/>
      <c r="AH29" s="3"/>
    </row>
    <row r="30" spans="1:34" x14ac:dyDescent="0.45">
      <c r="A30" s="24"/>
      <c r="B30" s="24"/>
      <c r="C30" s="24"/>
      <c r="D30" s="24"/>
      <c r="E30" s="24">
        <f>COUNTIFS(Retro!$I30,1,Retro!$M30,1)</f>
        <v>0</v>
      </c>
      <c r="F30" s="24">
        <f>COUNTIFS(Retro!$I30,1,Retro!$M30,"&lt;&gt;1")</f>
        <v>0</v>
      </c>
      <c r="H30" s="24" t="str">
        <f>MID(Retro!$O30,1,FIND(":",Retro!$O30)-1)</f>
        <v>RB2</v>
      </c>
      <c r="I30" s="24">
        <f>INT(MID(Retro!$L30,1,1))</f>
        <v>4</v>
      </c>
      <c r="J30" s="24">
        <v>57542</v>
      </c>
      <c r="K30" s="24">
        <v>11509</v>
      </c>
      <c r="L30" s="24">
        <v>4</v>
      </c>
      <c r="M30" s="24">
        <v>6</v>
      </c>
      <c r="N30" s="24">
        <v>16</v>
      </c>
      <c r="O30" s="24" t="s">
        <v>73</v>
      </c>
      <c r="P30" s="24" t="s">
        <v>164</v>
      </c>
      <c r="Q30" s="24" t="s">
        <v>421</v>
      </c>
      <c r="R30" s="24" t="s">
        <v>422</v>
      </c>
      <c r="S30" s="24" t="s">
        <v>64</v>
      </c>
      <c r="T30" s="24"/>
      <c r="U30" s="24"/>
      <c r="V30" s="24">
        <v>3</v>
      </c>
      <c r="W30" s="24">
        <v>49500</v>
      </c>
      <c r="X30" s="24">
        <v>41.24</v>
      </c>
      <c r="Y30" s="24">
        <v>41.24</v>
      </c>
      <c r="Z30" s="24">
        <v>104.8</v>
      </c>
      <c r="AA30" s="24" t="s">
        <v>423</v>
      </c>
      <c r="AB30" s="24" t="s">
        <v>424</v>
      </c>
      <c r="AC30" s="24" t="s">
        <v>425</v>
      </c>
      <c r="AD30" s="24" t="s">
        <v>426</v>
      </c>
      <c r="AE30" s="24" t="s">
        <v>427</v>
      </c>
      <c r="AF30" s="24"/>
      <c r="AG30" s="3"/>
      <c r="AH30" s="3"/>
    </row>
    <row r="31" spans="1:34" x14ac:dyDescent="0.45">
      <c r="A31" s="24"/>
      <c r="B31" s="24"/>
      <c r="C31" s="24"/>
      <c r="D31" s="24"/>
      <c r="E31" s="24">
        <f>COUNTIFS(Retro!$I31,1,Retro!$M31,1)</f>
        <v>0</v>
      </c>
      <c r="F31" s="24">
        <f>COUNTIFS(Retro!$I31,1,Retro!$M31,"&lt;&gt;1")</f>
        <v>0</v>
      </c>
      <c r="H31" s="24" t="str">
        <f>MID(Retro!$O31,1,FIND(":",Retro!$O31)-1)</f>
        <v>WR1</v>
      </c>
      <c r="I31" s="24">
        <f>INT(MID(Retro!$L31,1,1))</f>
        <v>4</v>
      </c>
      <c r="J31" s="24">
        <v>24881</v>
      </c>
      <c r="K31" s="24">
        <v>4977</v>
      </c>
      <c r="L31" s="24">
        <v>4</v>
      </c>
      <c r="M31" s="24">
        <v>4</v>
      </c>
      <c r="N31" s="24">
        <v>11</v>
      </c>
      <c r="O31" s="24" t="s">
        <v>367</v>
      </c>
      <c r="P31" s="24" t="s">
        <v>304</v>
      </c>
      <c r="Q31" s="24" t="s">
        <v>428</v>
      </c>
      <c r="R31" s="24" t="s">
        <v>306</v>
      </c>
      <c r="S31" s="24" t="s">
        <v>307</v>
      </c>
      <c r="T31" s="24"/>
      <c r="U31" s="24"/>
      <c r="V31" s="24">
        <v>4</v>
      </c>
      <c r="W31" s="24">
        <v>57500</v>
      </c>
      <c r="X31" s="24">
        <v>52.11</v>
      </c>
      <c r="Y31" s="24">
        <v>52.11</v>
      </c>
      <c r="Z31" s="24">
        <v>109.79</v>
      </c>
      <c r="AA31" s="24" t="s">
        <v>429</v>
      </c>
      <c r="AB31" s="24" t="s">
        <v>430</v>
      </c>
      <c r="AC31" s="24" t="s">
        <v>431</v>
      </c>
      <c r="AD31" s="24" t="s">
        <v>432</v>
      </c>
      <c r="AE31" s="24" t="s">
        <v>433</v>
      </c>
      <c r="AF31" s="24"/>
      <c r="AG31" s="3"/>
      <c r="AH31" s="3"/>
    </row>
    <row r="32" spans="1:34" x14ac:dyDescent="0.45">
      <c r="A32" s="24"/>
      <c r="B32" s="24"/>
      <c r="C32" s="24"/>
      <c r="D32" s="24"/>
      <c r="E32" s="24">
        <f>COUNTIFS(Retro!$I32,1,Retro!$M32,1)</f>
        <v>1</v>
      </c>
      <c r="F32" s="24">
        <f>COUNTIFS(Retro!$I32,1,Retro!$M32,"&lt;&gt;1")</f>
        <v>0</v>
      </c>
      <c r="H32" s="24" t="str">
        <f>MID(Retro!$O32,1,FIND(":",Retro!$O32)-1)</f>
        <v>WR1</v>
      </c>
      <c r="I32" s="24">
        <f>INT(MID(Retro!$L32,1,1))</f>
        <v>1</v>
      </c>
      <c r="J32" s="24">
        <v>6371</v>
      </c>
      <c r="K32" s="24">
        <v>1275</v>
      </c>
      <c r="L32" s="24">
        <v>1</v>
      </c>
      <c r="M32" s="24">
        <v>1</v>
      </c>
      <c r="N32" s="24">
        <v>15</v>
      </c>
      <c r="O32" s="24" t="s">
        <v>72</v>
      </c>
      <c r="P32" s="24" t="s">
        <v>74</v>
      </c>
      <c r="Q32" s="24" t="s">
        <v>75</v>
      </c>
      <c r="R32" s="24" t="s">
        <v>434</v>
      </c>
      <c r="S32" s="24" t="s">
        <v>435</v>
      </c>
      <c r="T32" s="24"/>
      <c r="U32" s="24"/>
      <c r="V32" s="24">
        <v>4</v>
      </c>
      <c r="W32" s="24">
        <v>56000</v>
      </c>
      <c r="X32" s="24">
        <v>53.37</v>
      </c>
      <c r="Y32" s="24">
        <v>53.37</v>
      </c>
      <c r="Z32" s="24">
        <v>96.52</v>
      </c>
      <c r="AA32" s="24" t="s">
        <v>436</v>
      </c>
      <c r="AB32" s="24" t="s">
        <v>437</v>
      </c>
      <c r="AC32" s="24" t="s">
        <v>438</v>
      </c>
      <c r="AD32" s="24" t="s">
        <v>439</v>
      </c>
      <c r="AE32" s="24" t="s">
        <v>440</v>
      </c>
      <c r="AF32" s="24"/>
    </row>
    <row r="33" spans="1:32" x14ac:dyDescent="0.45">
      <c r="A33" s="24"/>
      <c r="B33" s="24"/>
      <c r="C33" s="24"/>
      <c r="D33" s="24"/>
      <c r="E33" s="24">
        <f>COUNTIFS(Retro!$I33,1,Retro!$M33,1)</f>
        <v>0</v>
      </c>
      <c r="F33" s="24">
        <f>COUNTIFS(Retro!$I33,1,Retro!$M33,"&lt;&gt;1")</f>
        <v>1</v>
      </c>
      <c r="H33" s="24" t="str">
        <f>MID(Retro!$O33,1,FIND(":",Retro!$O33)-1)</f>
        <v>WR2</v>
      </c>
      <c r="I33" s="24">
        <f>INT(MID(Retro!$L33,1,1))</f>
        <v>1</v>
      </c>
      <c r="J33" s="24">
        <v>5964</v>
      </c>
      <c r="K33" s="24">
        <v>1193</v>
      </c>
      <c r="L33" s="24">
        <v>1</v>
      </c>
      <c r="M33" s="24">
        <v>9</v>
      </c>
      <c r="N33" s="24">
        <v>19</v>
      </c>
      <c r="O33" s="24" t="s">
        <v>14</v>
      </c>
      <c r="P33" s="24" t="s">
        <v>45</v>
      </c>
      <c r="Q33" s="24" t="s">
        <v>441</v>
      </c>
      <c r="R33" s="24" t="s">
        <v>442</v>
      </c>
      <c r="S33" s="24" t="s">
        <v>126</v>
      </c>
      <c r="T33" s="24"/>
      <c r="U33" s="24"/>
      <c r="V33" s="24">
        <v>4</v>
      </c>
      <c r="W33" s="24">
        <v>56500</v>
      </c>
      <c r="X33" s="24">
        <v>49.75</v>
      </c>
      <c r="Y33" s="24">
        <v>39</v>
      </c>
      <c r="Z33" s="24">
        <v>111.84</v>
      </c>
      <c r="AA33" s="24" t="s">
        <v>443</v>
      </c>
      <c r="AB33" s="24" t="s">
        <v>444</v>
      </c>
      <c r="AC33" s="24" t="s">
        <v>445</v>
      </c>
      <c r="AD33" s="24" t="s">
        <v>446</v>
      </c>
      <c r="AE33" s="24" t="s">
        <v>447</v>
      </c>
      <c r="AF33" s="24"/>
    </row>
    <row r="34" spans="1:32" x14ac:dyDescent="0.45">
      <c r="A34" s="24"/>
      <c r="B34" s="24"/>
      <c r="C34" s="24"/>
      <c r="D34" s="24"/>
      <c r="E34" s="24">
        <f>COUNTIFS(Retro!$I34,1,Retro!$M34,1)</f>
        <v>0</v>
      </c>
      <c r="F34" s="24">
        <f>COUNTIFS(Retro!$I34,1,Retro!$M34,"&lt;&gt;1")</f>
        <v>1</v>
      </c>
      <c r="H34" s="24" t="str">
        <f>MID(Retro!$O34,1,FIND(":",Retro!$O34)-1)</f>
        <v>WR1</v>
      </c>
      <c r="I34" s="24">
        <f>INT(MID(Retro!$L34,1,1))</f>
        <v>1</v>
      </c>
      <c r="J34" s="24">
        <v>3418</v>
      </c>
      <c r="K34" s="24">
        <v>684</v>
      </c>
      <c r="L34" s="24">
        <v>1</v>
      </c>
      <c r="M34" s="24">
        <v>4</v>
      </c>
      <c r="N34" s="24">
        <v>20</v>
      </c>
      <c r="O34" s="24" t="s">
        <v>47</v>
      </c>
      <c r="P34" s="24" t="s">
        <v>12</v>
      </c>
      <c r="Q34" s="24" t="s">
        <v>48</v>
      </c>
      <c r="R34" s="24" t="s">
        <v>82</v>
      </c>
      <c r="S34" s="24" t="s">
        <v>448</v>
      </c>
      <c r="T34" s="24"/>
      <c r="U34" s="24"/>
      <c r="V34" s="24">
        <v>3</v>
      </c>
      <c r="W34" s="24">
        <v>58500</v>
      </c>
      <c r="X34" s="24">
        <v>72.180000000000007</v>
      </c>
      <c r="Y34" s="24">
        <v>72.180000000000007</v>
      </c>
      <c r="Z34" s="24">
        <v>186.77</v>
      </c>
      <c r="AA34" s="24" t="s">
        <v>449</v>
      </c>
      <c r="AB34" s="24" t="s">
        <v>450</v>
      </c>
      <c r="AC34" s="24" t="s">
        <v>451</v>
      </c>
      <c r="AD34" s="24" t="s">
        <v>452</v>
      </c>
      <c r="AE34" s="24" t="s">
        <v>453</v>
      </c>
      <c r="AF34" s="24"/>
    </row>
    <row r="35" spans="1:32" s="10" customFormat="1" x14ac:dyDescent="0.45">
      <c r="A35" s="24"/>
      <c r="B35" s="24"/>
      <c r="C35" s="24"/>
      <c r="D35" s="24"/>
      <c r="E35" s="24">
        <f>COUNTIFS(Retro!$I35,1,Retro!$M35,1)</f>
        <v>0</v>
      </c>
      <c r="F35" s="24">
        <f>COUNTIFS(Retro!$I35,1,Retro!$M35,"&lt;&gt;1")</f>
        <v>1</v>
      </c>
      <c r="G35" s="24"/>
      <c r="H35" s="24" t="str">
        <f>MID(Retro!$O35,1,FIND(":",Retro!$O35)-1)</f>
        <v>RB1</v>
      </c>
      <c r="I35" s="24">
        <f>INT(MID(Retro!$L35,1,1))</f>
        <v>1</v>
      </c>
      <c r="J35" s="24">
        <v>2097</v>
      </c>
      <c r="K35" s="24">
        <v>420</v>
      </c>
      <c r="L35" s="24">
        <v>1</v>
      </c>
      <c r="M35" s="24">
        <v>2</v>
      </c>
      <c r="N35" s="24">
        <v>18</v>
      </c>
      <c r="O35" s="24" t="s">
        <v>175</v>
      </c>
      <c r="P35" s="24" t="s">
        <v>37</v>
      </c>
      <c r="Q35" s="24" t="s">
        <v>76</v>
      </c>
      <c r="R35" s="24" t="s">
        <v>285</v>
      </c>
      <c r="S35" s="24" t="s">
        <v>454</v>
      </c>
      <c r="T35" s="24"/>
      <c r="U35" s="24"/>
      <c r="V35" s="24">
        <v>2</v>
      </c>
      <c r="W35" s="24">
        <v>55500</v>
      </c>
      <c r="X35" s="24">
        <v>57.37</v>
      </c>
      <c r="Y35" s="24">
        <v>57.37</v>
      </c>
      <c r="Z35" s="24">
        <v>82</v>
      </c>
      <c r="AA35" s="24" t="s">
        <v>455</v>
      </c>
      <c r="AB35" s="24" t="s">
        <v>456</v>
      </c>
      <c r="AC35" s="24" t="s">
        <v>457</v>
      </c>
      <c r="AD35" s="24" t="s">
        <v>458</v>
      </c>
      <c r="AE35" s="24" t="s">
        <v>459</v>
      </c>
      <c r="AF35" s="24"/>
    </row>
    <row r="36" spans="1:32" x14ac:dyDescent="0.45">
      <c r="A36" s="24"/>
      <c r="B36" s="24"/>
      <c r="C36" s="24"/>
      <c r="D36" s="24"/>
      <c r="E36" s="24">
        <f>COUNTIFS(Retro!$I36,1,Retro!$M36,1)</f>
        <v>0</v>
      </c>
      <c r="F36" s="24">
        <f>COUNTIFS(Retro!$I36,1,Retro!$M36,"&lt;&gt;1")</f>
        <v>0</v>
      </c>
      <c r="H36" s="24" t="str">
        <f>MID(Retro!$O36,1,FIND(":",Retro!$O36)-1)</f>
        <v>K</v>
      </c>
      <c r="I36" s="24">
        <f>INT(MID(Retro!$L36,1,1))</f>
        <v>2</v>
      </c>
      <c r="J36" s="24">
        <v>39004</v>
      </c>
      <c r="K36" s="24">
        <v>7801</v>
      </c>
      <c r="L36" s="24">
        <v>2</v>
      </c>
      <c r="M36" s="24">
        <v>11</v>
      </c>
      <c r="N36" s="24">
        <v>12</v>
      </c>
      <c r="O36" s="24" t="s">
        <v>460</v>
      </c>
      <c r="P36" s="24" t="s">
        <v>19</v>
      </c>
      <c r="Q36" s="24" t="s">
        <v>461</v>
      </c>
      <c r="R36" s="24" t="s">
        <v>21</v>
      </c>
      <c r="S36" s="24" t="s">
        <v>462</v>
      </c>
      <c r="T36" s="24"/>
      <c r="U36" s="24"/>
      <c r="V36" s="24">
        <v>4</v>
      </c>
      <c r="W36" s="24">
        <v>58500</v>
      </c>
      <c r="X36" s="24">
        <v>52.65</v>
      </c>
      <c r="Y36" s="24">
        <v>35</v>
      </c>
      <c r="Z36" s="24">
        <v>80.02</v>
      </c>
      <c r="AA36" s="24" t="s">
        <v>463</v>
      </c>
      <c r="AB36" s="24" t="s">
        <v>464</v>
      </c>
      <c r="AC36" s="24" t="s">
        <v>465</v>
      </c>
      <c r="AD36" s="24" t="s">
        <v>466</v>
      </c>
      <c r="AE36" s="24" t="s">
        <v>467</v>
      </c>
      <c r="AF36" s="24"/>
    </row>
    <row r="37" spans="1:32" s="16" customFormat="1" x14ac:dyDescent="0.45">
      <c r="A37" s="24"/>
      <c r="B37" s="24"/>
      <c r="C37" s="24"/>
      <c r="D37" s="24"/>
      <c r="E37" s="24">
        <f>COUNTIFS(Retro!$I37,1,Retro!$M37,1)</f>
        <v>1</v>
      </c>
      <c r="F37" s="24">
        <f>COUNTIFS(Retro!$I37,1,Retro!$M37,"&lt;&gt;1")</f>
        <v>0</v>
      </c>
      <c r="G37" s="24"/>
      <c r="H37" s="24" t="str">
        <f>MID(Retro!$O37,1,FIND(":",Retro!$O37)-1)</f>
        <v>RB1</v>
      </c>
      <c r="I37" s="24">
        <f>INT(MID(Retro!$L37,1,1))</f>
        <v>1</v>
      </c>
      <c r="J37" s="24">
        <v>1221</v>
      </c>
      <c r="K37" s="24">
        <v>245</v>
      </c>
      <c r="L37" s="24">
        <v>1</v>
      </c>
      <c r="M37" s="24">
        <v>1</v>
      </c>
      <c r="N37" s="24">
        <v>13</v>
      </c>
      <c r="O37" s="24" t="s">
        <v>236</v>
      </c>
      <c r="P37" s="24" t="s">
        <v>43</v>
      </c>
      <c r="Q37" s="24" t="s">
        <v>468</v>
      </c>
      <c r="R37" s="24" t="s">
        <v>469</v>
      </c>
      <c r="S37" s="24" t="s">
        <v>470</v>
      </c>
      <c r="T37" s="24"/>
      <c r="U37" s="24"/>
      <c r="V37" s="24">
        <v>2</v>
      </c>
      <c r="W37" s="24">
        <v>59500</v>
      </c>
      <c r="X37" s="24">
        <v>76.239999999999995</v>
      </c>
      <c r="Y37" s="24">
        <v>76.239999999999995</v>
      </c>
      <c r="Z37" s="24">
        <v>115.44</v>
      </c>
      <c r="AA37" s="24" t="s">
        <v>471</v>
      </c>
      <c r="AB37" s="24" t="s">
        <v>472</v>
      </c>
      <c r="AC37" s="24" t="s">
        <v>473</v>
      </c>
      <c r="AD37" s="24" t="s">
        <v>474</v>
      </c>
      <c r="AE37" s="24" t="s">
        <v>475</v>
      </c>
      <c r="AF37" s="24"/>
    </row>
    <row r="38" spans="1:32" x14ac:dyDescent="0.45">
      <c r="A38" s="24"/>
      <c r="B38" s="24"/>
      <c r="C38" s="24"/>
      <c r="D38" s="24"/>
      <c r="E38" s="24">
        <f>COUNTIFS(Retro!$I38,1,Retro!$M38,1)</f>
        <v>0</v>
      </c>
      <c r="F38" s="24">
        <f>COUNTIFS(Retro!$I38,1,Retro!$M38,"&lt;&gt;1")</f>
        <v>0</v>
      </c>
      <c r="H38" s="24" t="str">
        <f>MID(Retro!$O38,1,FIND(":",Retro!$O38)-1)</f>
        <v>QB</v>
      </c>
      <c r="I38" s="24">
        <f>INT(MID(Retro!$L38,1,1))</f>
        <v>2</v>
      </c>
      <c r="J38" s="24">
        <v>27326</v>
      </c>
      <c r="K38" s="24">
        <v>5466</v>
      </c>
      <c r="L38" s="24">
        <v>2</v>
      </c>
      <c r="M38" s="24">
        <v>2</v>
      </c>
      <c r="N38" s="24">
        <v>17</v>
      </c>
      <c r="O38" s="24" t="s">
        <v>48</v>
      </c>
      <c r="P38" s="24" t="s">
        <v>78</v>
      </c>
      <c r="Q38" s="24" t="s">
        <v>476</v>
      </c>
      <c r="R38" s="24" t="s">
        <v>234</v>
      </c>
      <c r="S38" s="24" t="s">
        <v>477</v>
      </c>
      <c r="T38" s="24"/>
      <c r="U38" s="24"/>
      <c r="V38" s="24">
        <v>2</v>
      </c>
      <c r="W38" s="24">
        <v>59500</v>
      </c>
      <c r="X38" s="24">
        <v>66.37</v>
      </c>
      <c r="Y38" s="24">
        <v>66.37</v>
      </c>
      <c r="Z38" s="24">
        <v>135.04</v>
      </c>
      <c r="AA38" s="24" t="s">
        <v>478</v>
      </c>
      <c r="AB38" s="24" t="s">
        <v>479</v>
      </c>
      <c r="AC38" s="24" t="s">
        <v>480</v>
      </c>
      <c r="AD38" s="24" t="s">
        <v>481</v>
      </c>
      <c r="AE38" s="24" t="s">
        <v>482</v>
      </c>
      <c r="AF38" s="24"/>
    </row>
    <row r="39" spans="1:32" x14ac:dyDescent="0.45">
      <c r="A39" s="24"/>
      <c r="B39" s="24"/>
      <c r="C39" s="24"/>
      <c r="D39" s="24"/>
      <c r="E39" s="24">
        <f>COUNTIFS(Retro!$I39,1,Retro!$M39,1)</f>
        <v>1</v>
      </c>
      <c r="F39" s="24">
        <f>COUNTIFS(Retro!$I39,1,Retro!$M39,"&lt;&gt;1")</f>
        <v>0</v>
      </c>
      <c r="H39" s="24" t="str">
        <f>MID(Retro!$O39,1,FIND(":",Retro!$O39)-1)</f>
        <v>RB1</v>
      </c>
      <c r="I39" s="24">
        <f>INT(MID(Retro!$L39,1,1))</f>
        <v>1</v>
      </c>
      <c r="J39" s="24">
        <v>7371</v>
      </c>
      <c r="K39" s="24">
        <v>1475</v>
      </c>
      <c r="L39" s="24">
        <v>1</v>
      </c>
      <c r="M39" s="24">
        <v>1</v>
      </c>
      <c r="N39" s="24">
        <v>19</v>
      </c>
      <c r="O39" s="24" t="s">
        <v>175</v>
      </c>
      <c r="P39" s="24" t="s">
        <v>483</v>
      </c>
      <c r="Q39" s="24" t="s">
        <v>57</v>
      </c>
      <c r="R39" s="24" t="s">
        <v>40</v>
      </c>
      <c r="S39" s="24" t="s">
        <v>484</v>
      </c>
      <c r="T39" s="24"/>
      <c r="U39" s="24"/>
      <c r="V39" s="24">
        <v>2</v>
      </c>
      <c r="W39" s="24">
        <v>59500</v>
      </c>
      <c r="X39" s="24">
        <v>50.11</v>
      </c>
      <c r="Y39" s="24">
        <v>50.11</v>
      </c>
      <c r="Z39" s="24">
        <v>126.01</v>
      </c>
      <c r="AA39" s="24" t="s">
        <v>485</v>
      </c>
      <c r="AB39" s="24" t="s">
        <v>486</v>
      </c>
      <c r="AC39" s="24" t="s">
        <v>487</v>
      </c>
      <c r="AD39" s="24" t="s">
        <v>488</v>
      </c>
      <c r="AE39" s="24" t="s">
        <v>489</v>
      </c>
      <c r="AF39" s="24"/>
    </row>
    <row r="40" spans="1:32" s="17" customFormat="1" x14ac:dyDescent="0.45">
      <c r="A40" s="24"/>
      <c r="B40" s="24"/>
      <c r="C40" s="24"/>
      <c r="D40" s="24"/>
      <c r="E40" s="24">
        <f>COUNTIFS(Retro!$I40,1,Retro!$M40,1)</f>
        <v>0</v>
      </c>
      <c r="F40" s="24">
        <f>COUNTIFS(Retro!$I40,1,Retro!$M40,"&lt;&gt;1")</f>
        <v>1</v>
      </c>
      <c r="G40" s="24"/>
      <c r="H40" s="24" t="str">
        <f>MID(Retro!$O40,1,FIND(":",Retro!$O40)-1)</f>
        <v>RB1</v>
      </c>
      <c r="I40" s="24">
        <f>INT(MID(Retro!$L40,1,1))</f>
        <v>1</v>
      </c>
      <c r="J40" s="24">
        <v>1343</v>
      </c>
      <c r="K40" s="24">
        <v>269</v>
      </c>
      <c r="L40" s="24">
        <v>1</v>
      </c>
      <c r="M40" s="24">
        <v>6</v>
      </c>
      <c r="N40" s="24">
        <v>19</v>
      </c>
      <c r="O40" s="24" t="s">
        <v>490</v>
      </c>
      <c r="P40" s="24" t="s">
        <v>491</v>
      </c>
      <c r="Q40" s="24" t="s">
        <v>492</v>
      </c>
      <c r="R40" s="24" t="s">
        <v>493</v>
      </c>
      <c r="S40" s="24" t="s">
        <v>64</v>
      </c>
      <c r="T40" s="24"/>
      <c r="U40" s="24"/>
      <c r="V40" s="24">
        <v>3</v>
      </c>
      <c r="W40" s="24">
        <v>58500</v>
      </c>
      <c r="X40" s="24">
        <v>44.55</v>
      </c>
      <c r="Y40" s="24">
        <v>44.55</v>
      </c>
      <c r="Z40" s="24">
        <v>85.21</v>
      </c>
      <c r="AA40" s="24" t="s">
        <v>494</v>
      </c>
      <c r="AB40" s="24" t="s">
        <v>495</v>
      </c>
      <c r="AC40" s="24" t="s">
        <v>496</v>
      </c>
      <c r="AD40" s="24" t="s">
        <v>497</v>
      </c>
      <c r="AE40" s="24" t="s">
        <v>498</v>
      </c>
      <c r="AF40" s="24"/>
    </row>
    <row r="41" spans="1:32" x14ac:dyDescent="0.45">
      <c r="A41" s="24"/>
      <c r="B41" s="24"/>
      <c r="C41" s="24"/>
      <c r="D41" s="24"/>
      <c r="E41" s="24">
        <f>COUNTIFS(Retro!$I41,1,Retro!$M41,1)</f>
        <v>1</v>
      </c>
      <c r="F41" s="24">
        <f>COUNTIFS(Retro!$I41,1,Retro!$M41,"&lt;&gt;1")</f>
        <v>0</v>
      </c>
      <c r="H41" s="24" t="str">
        <f>MID(Retro!$O41,1,FIND(":",Retro!$O41)-1)</f>
        <v>RB1</v>
      </c>
      <c r="I41" s="24">
        <f>INT(MID(Retro!$L41,1,1))</f>
        <v>1</v>
      </c>
      <c r="J41" s="24">
        <v>5351</v>
      </c>
      <c r="K41" s="24">
        <v>1071</v>
      </c>
      <c r="L41" s="24">
        <v>15</v>
      </c>
      <c r="M41" s="24">
        <v>1</v>
      </c>
      <c r="N41" s="24">
        <v>11</v>
      </c>
      <c r="O41" s="24" t="s">
        <v>236</v>
      </c>
      <c r="P41" s="24" t="s">
        <v>250</v>
      </c>
      <c r="Q41" s="24" t="s">
        <v>21</v>
      </c>
      <c r="R41" s="24" t="s">
        <v>414</v>
      </c>
      <c r="S41" s="24" t="s">
        <v>499</v>
      </c>
      <c r="T41" s="24"/>
      <c r="U41" s="24"/>
      <c r="V41" s="24">
        <v>3</v>
      </c>
      <c r="W41" s="24">
        <v>59000</v>
      </c>
      <c r="X41" s="24">
        <v>67.31</v>
      </c>
      <c r="Y41" s="24">
        <v>67.31</v>
      </c>
      <c r="Z41" s="24">
        <v>134.41999999999999</v>
      </c>
      <c r="AA41" s="24" t="s">
        <v>500</v>
      </c>
      <c r="AB41" s="24" t="s">
        <v>501</v>
      </c>
      <c r="AC41" s="24" t="s">
        <v>502</v>
      </c>
      <c r="AD41" s="24" t="s">
        <v>503</v>
      </c>
      <c r="AE41" s="24" t="s">
        <v>504</v>
      </c>
      <c r="AF41" s="24"/>
    </row>
    <row r="42" spans="1:32" x14ac:dyDescent="0.45">
      <c r="A42" s="24"/>
      <c r="B42" s="24"/>
      <c r="C42" s="24"/>
      <c r="D42" s="24"/>
      <c r="E42" s="24">
        <f>COUNTIFS(Retro!$I42,1,Retro!$M42,1)</f>
        <v>0</v>
      </c>
      <c r="F42" s="24">
        <f>COUNTIFS(Retro!$I42,1,Retro!$M42,"&lt;&gt;1")</f>
        <v>0</v>
      </c>
      <c r="H42" s="24" t="str">
        <f>MID(Retro!$O42,1,FIND(":",Retro!$O42)-1)</f>
        <v>QB</v>
      </c>
      <c r="I42" s="24">
        <f>INT(MID(Retro!$L42,1,1))</f>
        <v>2</v>
      </c>
      <c r="J42" s="24">
        <v>24006</v>
      </c>
      <c r="K42" s="24">
        <v>4802</v>
      </c>
      <c r="L42" s="24">
        <v>23</v>
      </c>
      <c r="M42" s="24">
        <v>2</v>
      </c>
      <c r="N42" s="24">
        <v>20</v>
      </c>
      <c r="O42" s="24" t="s">
        <v>12</v>
      </c>
      <c r="P42" s="24" t="s">
        <v>78</v>
      </c>
      <c r="Q42" s="24" t="s">
        <v>82</v>
      </c>
      <c r="R42" s="24" t="s">
        <v>83</v>
      </c>
      <c r="S42" s="24" t="s">
        <v>505</v>
      </c>
      <c r="T42" s="24"/>
      <c r="U42" s="24"/>
      <c r="V42" s="24">
        <v>3</v>
      </c>
      <c r="W42" s="24">
        <v>54500</v>
      </c>
      <c r="X42" s="24">
        <v>65.95</v>
      </c>
      <c r="Y42" s="24">
        <v>65.95</v>
      </c>
      <c r="Z42" s="24">
        <v>93.79</v>
      </c>
      <c r="AA42" s="24" t="s">
        <v>506</v>
      </c>
      <c r="AB42" s="24" t="s">
        <v>507</v>
      </c>
      <c r="AC42" s="24" t="s">
        <v>508</v>
      </c>
      <c r="AD42" s="24" t="s">
        <v>509</v>
      </c>
      <c r="AE42" s="24" t="s">
        <v>510</v>
      </c>
      <c r="AF42" s="24"/>
    </row>
    <row r="43" spans="1:32" x14ac:dyDescent="0.45">
      <c r="A43" s="24"/>
      <c r="B43" s="24"/>
      <c r="C43" s="24"/>
      <c r="D43" s="24"/>
      <c r="E43" s="24">
        <f>COUNTIFS(Retro!$I43,1,Retro!$M43,1)</f>
        <v>0</v>
      </c>
      <c r="F43" s="24">
        <f>COUNTIFS(Retro!$I43,1,Retro!$M43,"&lt;&gt;1")</f>
        <v>0</v>
      </c>
      <c r="H43" s="24" t="str">
        <f>MID(Retro!$O43,1,FIND(":",Retro!$O43)-1)</f>
        <v>QB</v>
      </c>
      <c r="I43" s="24">
        <f>INT(MID(Retro!$L43,1,1))</f>
        <v>2</v>
      </c>
      <c r="J43" s="24">
        <v>22321</v>
      </c>
      <c r="K43" s="24">
        <v>4465</v>
      </c>
      <c r="L43" s="24">
        <v>23</v>
      </c>
      <c r="M43" s="24">
        <v>2</v>
      </c>
      <c r="N43" s="24">
        <v>12</v>
      </c>
      <c r="O43" s="24" t="s">
        <v>341</v>
      </c>
      <c r="P43" s="24" t="s">
        <v>157</v>
      </c>
      <c r="Q43" s="24" t="s">
        <v>85</v>
      </c>
      <c r="R43" s="24" t="s">
        <v>511</v>
      </c>
      <c r="S43" s="24" t="s">
        <v>16</v>
      </c>
      <c r="T43" s="24"/>
      <c r="U43" s="24"/>
      <c r="V43" s="24">
        <v>2</v>
      </c>
      <c r="W43" s="24">
        <v>59500</v>
      </c>
      <c r="X43" s="24">
        <v>70.010000000000005</v>
      </c>
      <c r="Y43" s="24">
        <v>70.010000000000005</v>
      </c>
      <c r="Z43" s="24">
        <v>113.26</v>
      </c>
      <c r="AA43" s="24" t="s">
        <v>512</v>
      </c>
      <c r="AB43" s="24" t="s">
        <v>513</v>
      </c>
      <c r="AC43" s="24" t="s">
        <v>514</v>
      </c>
      <c r="AD43" s="24" t="s">
        <v>515</v>
      </c>
      <c r="AE43" s="24" t="s">
        <v>516</v>
      </c>
      <c r="AF43" s="24"/>
    </row>
    <row r="44" spans="1:32" x14ac:dyDescent="0.45">
      <c r="A44" s="24"/>
      <c r="B44" s="24"/>
      <c r="C44" s="24"/>
      <c r="D44" s="24"/>
      <c r="E44" s="24">
        <f>COUNTIFS(Retro!$I44,1,Retro!$M44,1)</f>
        <v>0</v>
      </c>
      <c r="F44" s="24">
        <f>COUNTIFS(Retro!$I44,1,Retro!$M44,"&lt;&gt;1")</f>
        <v>0</v>
      </c>
      <c r="H44" s="24" t="str">
        <f>MID(Retro!$O44,1,FIND(":",Retro!$O44)-1)</f>
        <v>WR1</v>
      </c>
      <c r="I44" s="24">
        <f>INT(MID(Retro!$L44,1,1))</f>
        <v>2</v>
      </c>
      <c r="J44" s="24">
        <v>51703</v>
      </c>
      <c r="K44" s="24">
        <v>10341</v>
      </c>
      <c r="L44" s="24">
        <v>25</v>
      </c>
      <c r="M44" s="24">
        <v>7</v>
      </c>
      <c r="N44" s="24">
        <v>21</v>
      </c>
      <c r="O44" s="24" t="s">
        <v>517</v>
      </c>
      <c r="P44" s="24" t="s">
        <v>492</v>
      </c>
      <c r="Q44" s="24" t="s">
        <v>518</v>
      </c>
      <c r="R44" s="24" t="s">
        <v>228</v>
      </c>
      <c r="S44" s="24" t="s">
        <v>519</v>
      </c>
      <c r="T44" s="24"/>
      <c r="U44" s="24"/>
      <c r="V44" s="24">
        <v>3</v>
      </c>
      <c r="W44" s="24">
        <v>55000</v>
      </c>
      <c r="X44" s="24">
        <v>42.16</v>
      </c>
      <c r="Y44" s="24">
        <v>42.16</v>
      </c>
      <c r="Z44" s="24">
        <v>160.58000000000001</v>
      </c>
      <c r="AA44" s="24" t="s">
        <v>520</v>
      </c>
      <c r="AB44" s="24" t="s">
        <v>521</v>
      </c>
      <c r="AC44" s="24" t="s">
        <v>522</v>
      </c>
      <c r="AD44" s="24" t="s">
        <v>523</v>
      </c>
      <c r="AE44" s="24" t="s">
        <v>524</v>
      </c>
      <c r="AF44" s="24"/>
    </row>
    <row r="45" spans="1:32" x14ac:dyDescent="0.45">
      <c r="A45" s="24"/>
      <c r="B45" s="24"/>
      <c r="C45" s="24"/>
      <c r="D45" s="24"/>
      <c r="E45" s="24">
        <f>COUNTIFS(Retro!$I45,1,Retro!$M45,1)</f>
        <v>0</v>
      </c>
      <c r="F45" s="24">
        <f>COUNTIFS(Retro!$I45,1,Retro!$M45,"&lt;&gt;1")</f>
        <v>0</v>
      </c>
      <c r="H45" s="24" t="str">
        <f>MID(Retro!$O45,1,FIND(":",Retro!$O45)-1)</f>
        <v>RB1</v>
      </c>
      <c r="I45" s="24">
        <f>INT(MID(Retro!$L45,1,1))</f>
        <v>3</v>
      </c>
      <c r="J45" s="24">
        <v>25303</v>
      </c>
      <c r="K45" s="24">
        <v>5061</v>
      </c>
      <c r="L45" s="24">
        <v>34</v>
      </c>
      <c r="M45" s="24">
        <v>5</v>
      </c>
      <c r="N45" s="24">
        <v>17</v>
      </c>
      <c r="O45" s="24" t="s">
        <v>525</v>
      </c>
      <c r="P45" s="24" t="s">
        <v>85</v>
      </c>
      <c r="Q45" s="24" t="s">
        <v>55</v>
      </c>
      <c r="R45" s="24" t="s">
        <v>20</v>
      </c>
      <c r="S45" s="24" t="s">
        <v>526</v>
      </c>
      <c r="T45" s="24"/>
      <c r="U45" s="24"/>
      <c r="V45" s="24">
        <v>2</v>
      </c>
      <c r="W45" s="24">
        <v>59000</v>
      </c>
      <c r="X45" s="24">
        <v>73.03</v>
      </c>
      <c r="Y45" s="24">
        <v>73.03</v>
      </c>
      <c r="Z45" s="24">
        <v>110.66</v>
      </c>
      <c r="AA45" s="24" t="s">
        <v>527</v>
      </c>
      <c r="AB45" s="24" t="s">
        <v>528</v>
      </c>
      <c r="AC45" s="24" t="s">
        <v>529</v>
      </c>
      <c r="AD45" s="24" t="s">
        <v>530</v>
      </c>
      <c r="AE45" s="24" t="s">
        <v>531</v>
      </c>
      <c r="AF45" s="24"/>
    </row>
    <row r="46" spans="1:32" x14ac:dyDescent="0.45">
      <c r="A46" s="24"/>
      <c r="B46" s="24"/>
      <c r="C46" s="24"/>
      <c r="D46" s="24"/>
      <c r="E46" s="24">
        <f>COUNTIFS(Retro!$I46,1,Retro!$M46,1)</f>
        <v>0</v>
      </c>
      <c r="F46" s="24">
        <f>COUNTIFS(Retro!$I46,1,Retro!$M46,"&lt;&gt;1")</f>
        <v>1</v>
      </c>
      <c r="H46" s="24" t="str">
        <f>MID(Retro!$O46,1,FIND(":",Retro!$O46)-1)</f>
        <v>K</v>
      </c>
      <c r="I46" s="24">
        <f>INT(MID(Retro!$L46,1,1))</f>
        <v>1</v>
      </c>
      <c r="J46" s="24">
        <v>3015</v>
      </c>
      <c r="K46" s="24">
        <v>603</v>
      </c>
      <c r="L46" s="24">
        <v>12</v>
      </c>
      <c r="M46" s="24">
        <v>11</v>
      </c>
      <c r="N46" s="24">
        <v>11</v>
      </c>
      <c r="O46" s="24" t="s">
        <v>46</v>
      </c>
      <c r="P46" s="24" t="s">
        <v>45</v>
      </c>
      <c r="Q46" s="24" t="s">
        <v>532</v>
      </c>
      <c r="R46" s="24" t="s">
        <v>13</v>
      </c>
      <c r="S46" s="24" t="s">
        <v>234</v>
      </c>
      <c r="T46" s="24"/>
      <c r="U46" s="24"/>
      <c r="V46" s="24">
        <v>3</v>
      </c>
      <c r="W46" s="24">
        <v>59500</v>
      </c>
      <c r="X46" s="24">
        <v>64.11</v>
      </c>
      <c r="Y46" s="24">
        <v>64.11</v>
      </c>
      <c r="Z46" s="24">
        <v>76.319999999999993</v>
      </c>
      <c r="AA46" s="24" t="s">
        <v>533</v>
      </c>
      <c r="AB46" s="24" t="s">
        <v>534</v>
      </c>
      <c r="AC46" s="24" t="s">
        <v>535</v>
      </c>
      <c r="AD46" s="24" t="s">
        <v>536</v>
      </c>
      <c r="AE46" s="24" t="s">
        <v>537</v>
      </c>
      <c r="AF46" s="24"/>
    </row>
    <row r="47" spans="1:32" x14ac:dyDescent="0.45">
      <c r="A47" s="24"/>
      <c r="B47" s="24"/>
      <c r="C47" s="24"/>
      <c r="D47" s="24"/>
      <c r="E47" s="24">
        <f>COUNTIFS(Retro!$I47,1,Retro!$M47,1)</f>
        <v>1</v>
      </c>
      <c r="F47" s="24">
        <f>COUNTIFS(Retro!$I47,1,Retro!$M47,"&lt;&gt;1")</f>
        <v>0</v>
      </c>
      <c r="H47" s="24" t="str">
        <f>MID(Retro!$O47,1,FIND(":",Retro!$O47)-1)</f>
        <v>WR1</v>
      </c>
      <c r="I47" s="24">
        <f>INT(MID(Retro!$L47,1,1))</f>
        <v>1</v>
      </c>
      <c r="J47" s="24">
        <v>616</v>
      </c>
      <c r="K47" s="24">
        <v>124</v>
      </c>
      <c r="L47" s="24">
        <v>12</v>
      </c>
      <c r="M47" s="24">
        <v>1</v>
      </c>
      <c r="N47" s="24">
        <v>21</v>
      </c>
      <c r="O47" s="24" t="s">
        <v>47</v>
      </c>
      <c r="P47" s="24" t="s">
        <v>48</v>
      </c>
      <c r="Q47" s="24" t="s">
        <v>538</v>
      </c>
      <c r="R47" s="24" t="s">
        <v>539</v>
      </c>
      <c r="S47" s="24" t="s">
        <v>540</v>
      </c>
      <c r="T47" s="24"/>
      <c r="U47" s="24"/>
      <c r="V47" s="24">
        <v>4</v>
      </c>
      <c r="W47" s="24">
        <v>60000</v>
      </c>
      <c r="X47" s="24">
        <v>71.78</v>
      </c>
      <c r="Y47" s="24">
        <v>71.78</v>
      </c>
      <c r="Z47" s="24">
        <v>131.51</v>
      </c>
      <c r="AA47" s="24" t="s">
        <v>541</v>
      </c>
      <c r="AB47" s="24" t="s">
        <v>542</v>
      </c>
      <c r="AC47" s="24" t="s">
        <v>543</v>
      </c>
      <c r="AD47" s="24" t="s">
        <v>544</v>
      </c>
      <c r="AE47" s="24" t="s">
        <v>545</v>
      </c>
      <c r="AF47" s="24"/>
    </row>
    <row r="48" spans="1:32" x14ac:dyDescent="0.45">
      <c r="A48" s="24"/>
      <c r="B48" s="24"/>
      <c r="C48" s="24"/>
      <c r="D48" s="24"/>
      <c r="E48" s="24">
        <f>COUNTIFS(Retro!$I48,1,Retro!$M48,1)</f>
        <v>0</v>
      </c>
      <c r="F48" s="24">
        <f>COUNTIFS(Retro!$I48,1,Retro!$M48,"&lt;&gt;1")</f>
        <v>1</v>
      </c>
      <c r="H48" s="24" t="str">
        <f>MID(Retro!$O48,1,FIND(":",Retro!$O48)-1)</f>
        <v>RB1</v>
      </c>
      <c r="I48" s="24">
        <f>INT(MID(Retro!$L48,1,1))</f>
        <v>1</v>
      </c>
      <c r="J48" s="24">
        <v>597</v>
      </c>
      <c r="K48" s="24">
        <v>120</v>
      </c>
      <c r="L48" s="24">
        <v>12</v>
      </c>
      <c r="M48" s="24">
        <v>2</v>
      </c>
      <c r="N48" s="24">
        <v>15</v>
      </c>
      <c r="O48" s="24" t="s">
        <v>88</v>
      </c>
      <c r="P48" s="24" t="s">
        <v>19</v>
      </c>
      <c r="Q48" s="24" t="s">
        <v>546</v>
      </c>
      <c r="R48" s="24" t="s">
        <v>460</v>
      </c>
      <c r="S48" s="24" t="s">
        <v>89</v>
      </c>
      <c r="T48" s="24"/>
      <c r="U48" s="24"/>
      <c r="V48" s="24">
        <v>4</v>
      </c>
      <c r="W48" s="24">
        <v>57500</v>
      </c>
      <c r="X48" s="24">
        <v>52.16</v>
      </c>
      <c r="Y48" s="24">
        <v>52.16</v>
      </c>
      <c r="Z48" s="24">
        <v>71.599999999999994</v>
      </c>
      <c r="AA48" s="24" t="s">
        <v>547</v>
      </c>
      <c r="AB48" s="24" t="s">
        <v>548</v>
      </c>
      <c r="AC48" s="24" t="s">
        <v>549</v>
      </c>
      <c r="AD48" s="24" t="s">
        <v>550</v>
      </c>
      <c r="AE48" s="24" t="s">
        <v>551</v>
      </c>
      <c r="AF48" s="24"/>
    </row>
    <row r="49" spans="1:32" x14ac:dyDescent="0.45">
      <c r="A49" s="24"/>
      <c r="B49" s="24"/>
      <c r="C49" s="24"/>
      <c r="D49" s="24"/>
      <c r="E49" s="24">
        <f>COUNTIFS(Retro!$I49,1,Retro!$M49,1)</f>
        <v>0</v>
      </c>
      <c r="F49" s="24">
        <f>COUNTIFS(Retro!$I49,1,Retro!$M49,"&lt;&gt;1")</f>
        <v>1</v>
      </c>
      <c r="H49" s="24" t="str">
        <f>MID(Retro!$O49,1,FIND(":",Retro!$O49)-1)</f>
        <v>D</v>
      </c>
      <c r="I49" s="24">
        <f>INT(MID(Retro!$L49,1,1))</f>
        <v>1</v>
      </c>
      <c r="J49" s="24">
        <v>6114</v>
      </c>
      <c r="K49" s="24">
        <v>1223</v>
      </c>
      <c r="L49" s="24">
        <v>14</v>
      </c>
      <c r="M49" s="24">
        <v>12</v>
      </c>
      <c r="N49" s="24">
        <v>14</v>
      </c>
      <c r="O49" s="24" t="s">
        <v>90</v>
      </c>
      <c r="P49" s="24" t="s">
        <v>150</v>
      </c>
      <c r="Q49" s="24" t="s">
        <v>41</v>
      </c>
      <c r="R49" s="24" t="s">
        <v>552</v>
      </c>
      <c r="S49" s="24" t="s">
        <v>553</v>
      </c>
      <c r="T49" s="24"/>
      <c r="U49" s="24"/>
      <c r="V49" s="24">
        <v>3</v>
      </c>
      <c r="W49" s="24">
        <v>58000</v>
      </c>
      <c r="X49" s="24">
        <v>42.54</v>
      </c>
      <c r="Y49" s="24">
        <v>42.54</v>
      </c>
      <c r="Z49" s="24">
        <v>89.02</v>
      </c>
      <c r="AA49" s="24" t="s">
        <v>554</v>
      </c>
      <c r="AB49" s="24" t="s">
        <v>555</v>
      </c>
      <c r="AC49" s="24" t="s">
        <v>556</v>
      </c>
      <c r="AD49" s="24" t="s">
        <v>557</v>
      </c>
      <c r="AE49" s="24" t="s">
        <v>558</v>
      </c>
      <c r="AF49" s="24"/>
    </row>
    <row r="50" spans="1:32" x14ac:dyDescent="0.45">
      <c r="A50" s="24"/>
      <c r="B50" s="24"/>
      <c r="C50" s="24"/>
      <c r="D50" s="24"/>
      <c r="E50" s="24">
        <f>COUNTIFS(Retro!$I50,1,Retro!$M50,1)</f>
        <v>0</v>
      </c>
      <c r="F50" s="24">
        <f>COUNTIFS(Retro!$I50,1,Retro!$M50,"&lt;&gt;1")</f>
        <v>1</v>
      </c>
      <c r="H50" s="24" t="str">
        <f>MID(Retro!$O50,1,FIND(":",Retro!$O50)-1)</f>
        <v>RB1</v>
      </c>
      <c r="I50" s="24">
        <f>INT(MID(Retro!$L50,1,1))</f>
        <v>1</v>
      </c>
      <c r="J50" s="24">
        <v>8637</v>
      </c>
      <c r="K50" s="24">
        <v>1728</v>
      </c>
      <c r="L50" s="24">
        <v>14</v>
      </c>
      <c r="M50" s="24">
        <v>4</v>
      </c>
      <c r="N50" s="24">
        <v>12</v>
      </c>
      <c r="O50" s="24" t="s">
        <v>173</v>
      </c>
      <c r="P50" s="24" t="s">
        <v>72</v>
      </c>
      <c r="Q50" s="24" t="s">
        <v>93</v>
      </c>
      <c r="R50" s="24" t="s">
        <v>559</v>
      </c>
      <c r="S50" s="24" t="s">
        <v>94</v>
      </c>
      <c r="T50" s="24"/>
      <c r="U50" s="24"/>
      <c r="V50" s="24">
        <v>3</v>
      </c>
      <c r="W50" s="24">
        <v>59000</v>
      </c>
      <c r="X50" s="24">
        <v>59.9</v>
      </c>
      <c r="Y50" s="24">
        <v>59.9</v>
      </c>
      <c r="Z50" s="24">
        <v>84.8</v>
      </c>
      <c r="AA50" s="24" t="s">
        <v>560</v>
      </c>
      <c r="AB50" s="24" t="s">
        <v>561</v>
      </c>
      <c r="AC50" s="24" t="s">
        <v>562</v>
      </c>
      <c r="AD50" s="24" t="s">
        <v>563</v>
      </c>
      <c r="AE50" s="24" t="s">
        <v>564</v>
      </c>
      <c r="AF50" s="24"/>
    </row>
    <row r="51" spans="1:32" x14ac:dyDescent="0.45">
      <c r="A51" s="24"/>
      <c r="B51" s="24"/>
      <c r="C51" s="24"/>
      <c r="D51" s="24"/>
      <c r="E51" s="24">
        <f>COUNTIFS(Retro!$I51,1,Retro!$M51,1)</f>
        <v>0</v>
      </c>
      <c r="F51" s="24">
        <f>COUNTIFS(Retro!$I51,1,Retro!$M51,"&lt;&gt;1")</f>
        <v>1</v>
      </c>
      <c r="H51" s="24" t="str">
        <f>MID(Retro!$O51,1,FIND(":",Retro!$O51)-1)</f>
        <v>QB</v>
      </c>
      <c r="I51" s="24">
        <f>INT(MID(Retro!$L51,1,1))</f>
        <v>1</v>
      </c>
      <c r="J51" s="24">
        <v>1902</v>
      </c>
      <c r="K51" s="24">
        <v>381</v>
      </c>
      <c r="L51" s="24">
        <v>12</v>
      </c>
      <c r="M51" s="24">
        <v>2</v>
      </c>
      <c r="N51" s="24">
        <v>30</v>
      </c>
      <c r="O51" s="24" t="s">
        <v>565</v>
      </c>
      <c r="P51" s="24" t="s">
        <v>63</v>
      </c>
      <c r="Q51" s="24" t="s">
        <v>170</v>
      </c>
      <c r="R51" s="24" t="s">
        <v>394</v>
      </c>
      <c r="S51" s="24" t="s">
        <v>566</v>
      </c>
      <c r="T51" s="24"/>
      <c r="U51" s="24"/>
      <c r="V51" s="24">
        <v>2</v>
      </c>
      <c r="W51" s="24">
        <v>57000</v>
      </c>
      <c r="X51" s="24">
        <v>48.27</v>
      </c>
      <c r="Y51" s="24">
        <v>48.27</v>
      </c>
      <c r="Z51" s="24">
        <v>98.26</v>
      </c>
      <c r="AA51" s="24" t="s">
        <v>567</v>
      </c>
      <c r="AB51" s="24" t="s">
        <v>568</v>
      </c>
      <c r="AC51" s="24" t="s">
        <v>569</v>
      </c>
      <c r="AD51" s="24" t="s">
        <v>570</v>
      </c>
      <c r="AE51" s="24" t="s">
        <v>571</v>
      </c>
      <c r="AF51" s="24"/>
    </row>
    <row r="52" spans="1:32" x14ac:dyDescent="0.45">
      <c r="A52" s="24"/>
      <c r="B52" s="24"/>
      <c r="C52" s="24"/>
      <c r="D52" s="24"/>
      <c r="E52" s="24">
        <f>COUNTIFS(Retro!$I52,1,Retro!$M52,1)</f>
        <v>1</v>
      </c>
      <c r="F52" s="24">
        <f>COUNTIFS(Retro!$I52,1,Retro!$M52,"&lt;&gt;1")</f>
        <v>0</v>
      </c>
      <c r="H52" s="24" t="str">
        <f>MID(Retro!$O52,1,FIND(":",Retro!$O52)-1)</f>
        <v>RB1</v>
      </c>
      <c r="I52" s="24">
        <f>INT(MID(Retro!$L52,1,1))</f>
        <v>1</v>
      </c>
      <c r="J52" s="24">
        <v>561</v>
      </c>
      <c r="K52" s="24">
        <v>113</v>
      </c>
      <c r="L52" s="24">
        <v>12</v>
      </c>
      <c r="M52" s="24">
        <v>1</v>
      </c>
      <c r="N52" s="24">
        <v>19</v>
      </c>
      <c r="O52" s="24" t="s">
        <v>217</v>
      </c>
      <c r="P52" s="24" t="s">
        <v>12</v>
      </c>
      <c r="Q52" s="24" t="s">
        <v>95</v>
      </c>
      <c r="R52" s="24" t="s">
        <v>53</v>
      </c>
      <c r="S52" s="24" t="s">
        <v>493</v>
      </c>
      <c r="T52" s="24"/>
      <c r="U52" s="24"/>
      <c r="V52" s="24">
        <v>4</v>
      </c>
      <c r="W52" s="24">
        <v>59500</v>
      </c>
      <c r="X52" s="24">
        <v>69.319999999999993</v>
      </c>
      <c r="Y52" s="24">
        <v>69.319999999999993</v>
      </c>
      <c r="Z52" s="24">
        <v>97.33</v>
      </c>
      <c r="AA52" s="24" t="s">
        <v>572</v>
      </c>
      <c r="AB52" s="24" t="s">
        <v>573</v>
      </c>
      <c r="AC52" s="24" t="s">
        <v>574</v>
      </c>
      <c r="AD52" s="24" t="s">
        <v>575</v>
      </c>
      <c r="AE52" s="24" t="s">
        <v>576</v>
      </c>
      <c r="AF52" s="24"/>
    </row>
    <row r="53" spans="1:32" x14ac:dyDescent="0.45">
      <c r="A53" s="24"/>
      <c r="B53" s="24"/>
      <c r="C53" s="24"/>
      <c r="D53" s="24"/>
      <c r="E53" s="24">
        <f>COUNTIFS(Retro!$I53,1,Retro!$M53,1)</f>
        <v>0</v>
      </c>
      <c r="F53" s="24">
        <f>COUNTIFS(Retro!$I53,1,Retro!$M53,"&lt;&gt;1")</f>
        <v>0</v>
      </c>
      <c r="H53" s="24" t="str">
        <f>MID(Retro!$O53,1,FIND(":",Retro!$O53)-1)</f>
        <v>QB</v>
      </c>
      <c r="I53" s="24">
        <f>INT(MID(Retro!$L53,1,1))</f>
        <v>3</v>
      </c>
      <c r="J53" s="24">
        <v>80596</v>
      </c>
      <c r="K53" s="24">
        <v>16120</v>
      </c>
      <c r="L53" s="24">
        <v>35</v>
      </c>
      <c r="M53" s="24">
        <v>3</v>
      </c>
      <c r="N53" s="24">
        <v>10</v>
      </c>
      <c r="O53" s="24" t="s">
        <v>36</v>
      </c>
      <c r="P53" s="24" t="s">
        <v>96</v>
      </c>
      <c r="Q53" s="24" t="s">
        <v>57</v>
      </c>
      <c r="R53" s="24" t="s">
        <v>577</v>
      </c>
      <c r="S53" s="24" t="s">
        <v>97</v>
      </c>
      <c r="T53" s="24"/>
      <c r="U53" s="24"/>
      <c r="V53" s="24">
        <v>3</v>
      </c>
      <c r="W53" s="24">
        <v>58000</v>
      </c>
      <c r="X53" s="24">
        <v>61.92</v>
      </c>
      <c r="Y53" s="24">
        <v>61.92</v>
      </c>
      <c r="Z53" s="24">
        <v>106.66</v>
      </c>
      <c r="AA53" s="24" t="s">
        <v>578</v>
      </c>
      <c r="AB53" s="24" t="s">
        <v>579</v>
      </c>
      <c r="AC53" s="24" t="s">
        <v>580</v>
      </c>
      <c r="AD53" s="24" t="s">
        <v>581</v>
      </c>
      <c r="AE53" s="24" t="s">
        <v>582</v>
      </c>
      <c r="AF53" s="24"/>
    </row>
    <row r="54" spans="1:32" x14ac:dyDescent="0.45">
      <c r="A54" s="24"/>
      <c r="B54" s="24"/>
      <c r="C54" s="24"/>
      <c r="D54" s="24"/>
      <c r="E54" s="24">
        <f>COUNTIFS(Retro!$I54,1,Retro!$M54,1)</f>
        <v>1</v>
      </c>
      <c r="F54" s="24">
        <f>COUNTIFS(Retro!$I54,1,Retro!$M54,"&lt;&gt;1")</f>
        <v>0</v>
      </c>
      <c r="H54" s="24" t="str">
        <f>MID(Retro!$O54,1,FIND(":",Retro!$O54)-1)</f>
        <v>RB1</v>
      </c>
      <c r="I54" s="24">
        <f>INT(MID(Retro!$L54,1,1))</f>
        <v>1</v>
      </c>
      <c r="J54" s="24">
        <v>11486</v>
      </c>
      <c r="K54" s="24">
        <v>2298</v>
      </c>
      <c r="L54" s="24">
        <v>14</v>
      </c>
      <c r="M54" s="24">
        <v>1</v>
      </c>
      <c r="N54" s="24">
        <v>21</v>
      </c>
      <c r="O54" s="24" t="s">
        <v>157</v>
      </c>
      <c r="P54" s="24" t="s">
        <v>583</v>
      </c>
      <c r="Q54" s="24" t="s">
        <v>584</v>
      </c>
      <c r="R54" s="24" t="s">
        <v>16</v>
      </c>
      <c r="S54" s="24" t="s">
        <v>169</v>
      </c>
      <c r="T54" s="24"/>
      <c r="U54" s="24"/>
      <c r="V54" s="24">
        <v>4</v>
      </c>
      <c r="W54" s="24">
        <v>52000</v>
      </c>
      <c r="X54" s="24">
        <v>47.87</v>
      </c>
      <c r="Y54" s="24">
        <v>47.87</v>
      </c>
      <c r="Z54" s="24">
        <v>76.069999999999993</v>
      </c>
      <c r="AA54" s="24" t="s">
        <v>585</v>
      </c>
      <c r="AB54" s="24" t="s">
        <v>586</v>
      </c>
      <c r="AC54" s="24" t="s">
        <v>587</v>
      </c>
      <c r="AD54" s="24" t="s">
        <v>588</v>
      </c>
      <c r="AE54" s="24" t="s">
        <v>589</v>
      </c>
      <c r="AF54" s="24"/>
    </row>
    <row r="55" spans="1:32" x14ac:dyDescent="0.45">
      <c r="A55" s="24"/>
      <c r="B55" s="24"/>
      <c r="C55" s="24"/>
      <c r="D55" s="24"/>
      <c r="E55" s="24">
        <f>COUNTIFS(Retro!$I55,1,Retro!$M55,1)</f>
        <v>0</v>
      </c>
      <c r="F55" s="24">
        <f>COUNTIFS(Retro!$I55,1,Retro!$M55,"&lt;&gt;1")</f>
        <v>1</v>
      </c>
      <c r="H55" s="24" t="str">
        <f>MID(Retro!$O55,1,FIND(":",Retro!$O55)-1)</f>
        <v>QB</v>
      </c>
      <c r="I55" s="24">
        <f>INT(MID(Retro!$L55,1,1))</f>
        <v>1</v>
      </c>
      <c r="J55" s="24">
        <v>2927</v>
      </c>
      <c r="K55" s="24">
        <v>586</v>
      </c>
      <c r="L55" s="24">
        <v>12</v>
      </c>
      <c r="M55" s="24">
        <v>2</v>
      </c>
      <c r="N55" s="24">
        <v>15</v>
      </c>
      <c r="O55" s="24" t="s">
        <v>12</v>
      </c>
      <c r="P55" s="24" t="s">
        <v>217</v>
      </c>
      <c r="Q55" s="24" t="s">
        <v>82</v>
      </c>
      <c r="R55" s="24" t="s">
        <v>53</v>
      </c>
      <c r="S55" s="24" t="s">
        <v>454</v>
      </c>
      <c r="T55" s="24"/>
      <c r="U55" s="24"/>
      <c r="V55" s="24">
        <v>4</v>
      </c>
      <c r="W55" s="24">
        <v>57000</v>
      </c>
      <c r="X55" s="24">
        <v>64.58</v>
      </c>
      <c r="Y55" s="24">
        <v>64.58</v>
      </c>
      <c r="Z55" s="24">
        <v>108.73</v>
      </c>
      <c r="AA55" s="24" t="s">
        <v>590</v>
      </c>
      <c r="AB55" s="24" t="s">
        <v>591</v>
      </c>
      <c r="AC55" s="24" t="s">
        <v>592</v>
      </c>
      <c r="AD55" s="24" t="s">
        <v>593</v>
      </c>
      <c r="AE55" s="24" t="s">
        <v>594</v>
      </c>
      <c r="AF55" s="24"/>
    </row>
    <row r="56" spans="1:32" x14ac:dyDescent="0.45">
      <c r="A56" s="24"/>
      <c r="B56" s="24"/>
      <c r="C56" s="24"/>
      <c r="D56" s="24"/>
      <c r="E56" s="24">
        <f>COUNTIFS(Retro!$I56,1,Retro!$M56,1)</f>
        <v>0</v>
      </c>
      <c r="F56" s="24">
        <f>COUNTIFS(Retro!$I56,1,Retro!$M56,"&lt;&gt;1")</f>
        <v>0</v>
      </c>
      <c r="H56" s="24" t="str">
        <f>MID(Retro!$O56,1,FIND(":",Retro!$O56)-1)</f>
        <v>D</v>
      </c>
      <c r="I56" s="24">
        <f>INT(MID(Retro!$L56,1,1))</f>
        <v>2</v>
      </c>
      <c r="J56" s="24">
        <v>12744</v>
      </c>
      <c r="K56" s="24">
        <v>2549</v>
      </c>
      <c r="L56" s="24">
        <v>27</v>
      </c>
      <c r="M56" s="24">
        <v>11</v>
      </c>
      <c r="N56" s="24">
        <v>13</v>
      </c>
      <c r="O56" s="24" t="s">
        <v>595</v>
      </c>
      <c r="P56" s="24" t="s">
        <v>56</v>
      </c>
      <c r="Q56" s="24" t="s">
        <v>93</v>
      </c>
      <c r="R56" s="24" t="s">
        <v>160</v>
      </c>
      <c r="S56" s="24" t="s">
        <v>98</v>
      </c>
      <c r="T56" s="24"/>
      <c r="U56" s="24"/>
      <c r="V56" s="24">
        <v>2</v>
      </c>
      <c r="W56" s="24">
        <v>52500</v>
      </c>
      <c r="X56" s="24">
        <v>54.37</v>
      </c>
      <c r="Y56" s="24">
        <v>54.37</v>
      </c>
      <c r="Z56" s="24">
        <v>63.6</v>
      </c>
      <c r="AA56" s="24" t="s">
        <v>596</v>
      </c>
      <c r="AB56" s="24" t="s">
        <v>597</v>
      </c>
      <c r="AC56" s="24" t="s">
        <v>598</v>
      </c>
      <c r="AD56" s="24" t="s">
        <v>599</v>
      </c>
      <c r="AE56" s="24" t="s">
        <v>600</v>
      </c>
      <c r="AF56" s="24"/>
    </row>
    <row r="57" spans="1:32" x14ac:dyDescent="0.45">
      <c r="A57" s="24"/>
      <c r="B57" s="24"/>
      <c r="C57" s="24"/>
      <c r="D57" s="24"/>
      <c r="E57" s="24">
        <f>COUNTIFS(Retro!$I57,1,Retro!$M57,1)</f>
        <v>0</v>
      </c>
      <c r="F57" s="24">
        <f>COUNTIFS(Retro!$I57,1,Retro!$M57,"&lt;&gt;1")</f>
        <v>1</v>
      </c>
      <c r="H57" s="24" t="str">
        <f>MID(Retro!$O57,1,FIND(":",Retro!$O57)-1)</f>
        <v>QB</v>
      </c>
      <c r="I57" s="24">
        <f>INT(MID(Retro!$L57,1,1))</f>
        <v>1</v>
      </c>
      <c r="J57" s="24">
        <v>297</v>
      </c>
      <c r="K57" s="24">
        <v>60</v>
      </c>
      <c r="L57" s="24">
        <v>12</v>
      </c>
      <c r="M57" s="24">
        <v>2</v>
      </c>
      <c r="N57" s="24">
        <v>16</v>
      </c>
      <c r="O57" s="24" t="s">
        <v>49</v>
      </c>
      <c r="P57" s="24" t="s">
        <v>150</v>
      </c>
      <c r="Q57" s="24" t="s">
        <v>41</v>
      </c>
      <c r="R57" s="24" t="s">
        <v>470</v>
      </c>
      <c r="S57" s="24" t="s">
        <v>99</v>
      </c>
      <c r="T57" s="24"/>
      <c r="U57" s="24"/>
      <c r="V57" s="24">
        <v>2</v>
      </c>
      <c r="W57" s="24">
        <v>60000</v>
      </c>
      <c r="X57" s="24">
        <v>63.88</v>
      </c>
      <c r="Y57" s="24">
        <v>63.88</v>
      </c>
      <c r="Z57" s="24">
        <v>135.57</v>
      </c>
      <c r="AA57" s="24" t="s">
        <v>601</v>
      </c>
      <c r="AB57" s="24" t="s">
        <v>602</v>
      </c>
      <c r="AC57" s="24" t="s">
        <v>603</v>
      </c>
      <c r="AD57" s="24" t="s">
        <v>604</v>
      </c>
      <c r="AE57" s="24" t="s">
        <v>605</v>
      </c>
      <c r="AF57" s="24"/>
    </row>
    <row r="58" spans="1:32" x14ac:dyDescent="0.45">
      <c r="A58" s="24"/>
      <c r="B58" s="24"/>
      <c r="C58" s="24"/>
      <c r="D58" s="24"/>
      <c r="E58" s="24">
        <f>COUNTIFS(Retro!$I58,1,Retro!$M58,1)</f>
        <v>0</v>
      </c>
      <c r="F58" s="24">
        <f>COUNTIFS(Retro!$I58,1,Retro!$M58,"&lt;&gt;1")</f>
        <v>1</v>
      </c>
      <c r="H58" s="24" t="str">
        <f>MID(Retro!$O58,1,FIND(":",Retro!$O58)-1)</f>
        <v>QB1</v>
      </c>
      <c r="I58" s="24">
        <f>INT(MID(Retro!$L58,1,1))</f>
        <v>1</v>
      </c>
      <c r="J58" s="24">
        <v>3982</v>
      </c>
      <c r="K58" s="24">
        <v>797</v>
      </c>
      <c r="L58" s="24">
        <v>13</v>
      </c>
      <c r="M58" s="24">
        <v>3</v>
      </c>
      <c r="N58" s="24">
        <v>16</v>
      </c>
      <c r="O58" s="24" t="s">
        <v>606</v>
      </c>
      <c r="P58" s="24" t="s">
        <v>55</v>
      </c>
      <c r="Q58" s="24" t="s">
        <v>17</v>
      </c>
      <c r="R58" s="24" t="s">
        <v>76</v>
      </c>
      <c r="S58" s="24" t="s">
        <v>607</v>
      </c>
      <c r="T58" s="24"/>
      <c r="U58" s="24"/>
      <c r="V58" s="24">
        <v>3</v>
      </c>
      <c r="W58" s="24">
        <v>59000</v>
      </c>
      <c r="X58" s="24">
        <v>63.66</v>
      </c>
      <c r="Y58" s="24">
        <v>63.66</v>
      </c>
      <c r="Z58" s="24">
        <v>146.94</v>
      </c>
      <c r="AA58" s="24" t="s">
        <v>608</v>
      </c>
      <c r="AB58" s="24" t="s">
        <v>609</v>
      </c>
      <c r="AC58" s="24" t="s">
        <v>610</v>
      </c>
      <c r="AD58" s="24" t="s">
        <v>611</v>
      </c>
      <c r="AE58" s="24" t="s">
        <v>612</v>
      </c>
      <c r="AF58" s="24"/>
    </row>
    <row r="59" spans="1:32" x14ac:dyDescent="0.45">
      <c r="A59" s="24"/>
      <c r="B59" s="24"/>
      <c r="C59" s="24"/>
      <c r="D59" s="24"/>
      <c r="E59" s="24">
        <f>COUNTIFS(Retro!$I59,1,Retro!$M59,1)</f>
        <v>1</v>
      </c>
      <c r="F59" s="24">
        <f>COUNTIFS(Retro!$I59,1,Retro!$M59,"&lt;&gt;1")</f>
        <v>0</v>
      </c>
      <c r="H59" s="24" t="str">
        <f>MID(Retro!$O59,1,FIND(":",Retro!$O59)-1)</f>
        <v>WR1</v>
      </c>
      <c r="I59" s="24">
        <f>INT(MID(Retro!$L59,1,1))</f>
        <v>1</v>
      </c>
      <c r="J59" s="24">
        <v>1116</v>
      </c>
      <c r="K59" s="24">
        <v>224</v>
      </c>
      <c r="L59" s="24">
        <v>12</v>
      </c>
      <c r="M59" s="24">
        <v>1</v>
      </c>
      <c r="N59" s="24">
        <v>14</v>
      </c>
      <c r="O59" s="24" t="s">
        <v>47</v>
      </c>
      <c r="P59" s="24" t="s">
        <v>48</v>
      </c>
      <c r="Q59" s="24" t="s">
        <v>164</v>
      </c>
      <c r="R59" s="24" t="s">
        <v>100</v>
      </c>
      <c r="S59" s="24" t="s">
        <v>613</v>
      </c>
      <c r="T59" s="24"/>
      <c r="U59" s="24"/>
      <c r="V59" s="24">
        <v>3</v>
      </c>
      <c r="W59" s="24">
        <v>59000</v>
      </c>
      <c r="X59" s="24">
        <v>70.28</v>
      </c>
      <c r="Y59" s="24">
        <v>70.31</v>
      </c>
      <c r="Z59" s="24">
        <v>90.98</v>
      </c>
      <c r="AA59" s="24" t="s">
        <v>614</v>
      </c>
      <c r="AB59" s="24" t="s">
        <v>615</v>
      </c>
      <c r="AC59" s="24" t="s">
        <v>616</v>
      </c>
      <c r="AD59" s="24" t="s">
        <v>617</v>
      </c>
      <c r="AE59" s="24" t="s">
        <v>618</v>
      </c>
      <c r="AF59" s="24"/>
    </row>
    <row r="60" spans="1:32" x14ac:dyDescent="0.45">
      <c r="A60" s="24"/>
      <c r="B60" s="24"/>
      <c r="C60" s="24"/>
      <c r="D60" s="24"/>
      <c r="E60" s="24">
        <f>COUNTIFS(Retro!$I60,1,Retro!$M60,1)</f>
        <v>0</v>
      </c>
      <c r="F60" s="24">
        <f>COUNTIFS(Retro!$I60,1,Retro!$M60,"&lt;&gt;1")</f>
        <v>0</v>
      </c>
      <c r="H60" s="24" t="str">
        <f>MID(Retro!$O60,1,FIND(":",Retro!$O60)-1)</f>
        <v>RB1</v>
      </c>
      <c r="I60" s="24">
        <f>INT(MID(Retro!$L60,1,1))</f>
        <v>2</v>
      </c>
      <c r="J60" s="24">
        <v>19937</v>
      </c>
      <c r="K60" s="24">
        <v>3988</v>
      </c>
      <c r="L60" s="24">
        <v>24</v>
      </c>
      <c r="M60" s="24">
        <v>4</v>
      </c>
      <c r="N60" s="24">
        <v>11</v>
      </c>
      <c r="O60" s="24" t="s">
        <v>18</v>
      </c>
      <c r="P60" s="24" t="s">
        <v>55</v>
      </c>
      <c r="Q60" s="24" t="s">
        <v>37</v>
      </c>
      <c r="R60" s="24" t="s">
        <v>76</v>
      </c>
      <c r="S60" s="24" t="s">
        <v>94</v>
      </c>
      <c r="T60" s="24"/>
      <c r="U60" s="24"/>
      <c r="V60" s="24">
        <v>4</v>
      </c>
      <c r="W60" s="24">
        <v>60000</v>
      </c>
      <c r="X60" s="24">
        <v>75.94</v>
      </c>
      <c r="Y60" s="24">
        <v>75.94</v>
      </c>
      <c r="Z60" s="24">
        <v>112.49</v>
      </c>
      <c r="AA60" s="24" t="s">
        <v>619</v>
      </c>
      <c r="AB60" s="24" t="s">
        <v>620</v>
      </c>
      <c r="AC60" s="24" t="s">
        <v>621</v>
      </c>
      <c r="AD60" s="24" t="s">
        <v>622</v>
      </c>
      <c r="AE60" s="24" t="s">
        <v>623</v>
      </c>
      <c r="AF60" s="24"/>
    </row>
    <row r="61" spans="1:32" x14ac:dyDescent="0.45">
      <c r="A61" s="24"/>
      <c r="B61" s="24"/>
      <c r="C61" s="24"/>
      <c r="D61" s="24"/>
      <c r="E61" s="24">
        <f>COUNTIFS(Retro!$I61,1,Retro!$M61,1)</f>
        <v>0</v>
      </c>
      <c r="F61" s="24">
        <f>COUNTIFS(Retro!$I61,1,Retro!$M61,"&lt;&gt;1")</f>
        <v>1</v>
      </c>
      <c r="H61" s="24" t="str">
        <f>MID(Retro!$O61,1,FIND(":",Retro!$O61)-1)</f>
        <v>WR1</v>
      </c>
      <c r="I61" s="24">
        <f>INT(MID(Retro!$L61,1,1))</f>
        <v>1</v>
      </c>
      <c r="J61" s="24">
        <v>7598</v>
      </c>
      <c r="K61" s="24">
        <v>1520</v>
      </c>
      <c r="L61" s="24">
        <v>13</v>
      </c>
      <c r="M61" s="24">
        <v>5</v>
      </c>
      <c r="N61" s="24">
        <v>11</v>
      </c>
      <c r="O61" s="24" t="s">
        <v>234</v>
      </c>
      <c r="P61" s="24" t="s">
        <v>428</v>
      </c>
      <c r="Q61" s="24" t="s">
        <v>175</v>
      </c>
      <c r="R61" s="24" t="s">
        <v>285</v>
      </c>
      <c r="S61" s="24" t="s">
        <v>40</v>
      </c>
      <c r="T61" s="24"/>
      <c r="U61" s="24"/>
      <c r="V61" s="24">
        <v>4</v>
      </c>
      <c r="W61" s="24">
        <v>59500</v>
      </c>
      <c r="X61" s="24">
        <v>65.209999999999994</v>
      </c>
      <c r="Y61" s="24">
        <v>65.209999999999994</v>
      </c>
      <c r="Z61" s="24">
        <v>130.9</v>
      </c>
      <c r="AA61" s="24" t="s">
        <v>624</v>
      </c>
      <c r="AB61" s="24" t="s">
        <v>625</v>
      </c>
      <c r="AC61" s="24" t="s">
        <v>626</v>
      </c>
      <c r="AD61" s="24" t="s">
        <v>627</v>
      </c>
      <c r="AE61" s="24" t="s">
        <v>628</v>
      </c>
      <c r="AF61" s="24"/>
    </row>
    <row r="62" spans="1:32" x14ac:dyDescent="0.45">
      <c r="A62" s="24"/>
      <c r="B62" s="24"/>
      <c r="C62" s="24"/>
      <c r="D62" s="24"/>
      <c r="E62" s="24">
        <f>COUNTIFS(Retro!$I62,1,Retro!$M62,1)</f>
        <v>0</v>
      </c>
      <c r="F62" s="24">
        <f>COUNTIFS(Retro!$I62,1,Retro!$M62,"&lt;&gt;1")</f>
        <v>0</v>
      </c>
      <c r="H62" s="24" t="str">
        <f>MID(Retro!$O62,1,FIND(":",Retro!$O62)-1)</f>
        <v>RB1</v>
      </c>
      <c r="I62" s="24">
        <f>INT(MID(Retro!$L62,1,1))</f>
        <v>2</v>
      </c>
      <c r="J62" s="24">
        <v>26176</v>
      </c>
      <c r="K62" s="24">
        <v>5236</v>
      </c>
      <c r="L62" s="24">
        <v>23</v>
      </c>
      <c r="M62" s="24">
        <v>2</v>
      </c>
      <c r="N62" s="24">
        <v>20</v>
      </c>
      <c r="O62" s="24" t="s">
        <v>217</v>
      </c>
      <c r="P62" s="24" t="s">
        <v>58</v>
      </c>
      <c r="Q62" s="24" t="s">
        <v>402</v>
      </c>
      <c r="R62" s="24" t="s">
        <v>629</v>
      </c>
      <c r="S62" s="24" t="s">
        <v>630</v>
      </c>
      <c r="T62" s="24"/>
      <c r="U62" s="24"/>
      <c r="V62" s="24">
        <v>2</v>
      </c>
      <c r="W62" s="24">
        <v>57500</v>
      </c>
      <c r="X62" s="24">
        <v>57.83</v>
      </c>
      <c r="Y62" s="24">
        <v>57.83</v>
      </c>
      <c r="Z62" s="24">
        <v>108.2</v>
      </c>
      <c r="AA62" s="24" t="s">
        <v>631</v>
      </c>
      <c r="AB62" s="24" t="s">
        <v>632</v>
      </c>
      <c r="AC62" s="24" t="s">
        <v>633</v>
      </c>
      <c r="AD62" s="24" t="s">
        <v>634</v>
      </c>
      <c r="AE62" s="24" t="s">
        <v>635</v>
      </c>
      <c r="AF62" s="24"/>
    </row>
    <row r="63" spans="1:32" x14ac:dyDescent="0.45">
      <c r="A63" s="24"/>
      <c r="B63" s="24"/>
      <c r="C63" s="24"/>
      <c r="D63" s="24"/>
      <c r="E63" s="24">
        <f>COUNTIFS(Retro!$I63,1,Retro!$M63,1)</f>
        <v>1</v>
      </c>
      <c r="F63" s="24">
        <f>COUNTIFS(Retro!$I63,1,Retro!$M63,"&lt;&gt;1")</f>
        <v>0</v>
      </c>
      <c r="H63" s="24" t="str">
        <f>MID(Retro!$O63,1,FIND(":",Retro!$O63)-1)</f>
        <v>QB1</v>
      </c>
      <c r="I63" s="24">
        <f>INT(MID(Retro!$L63,1,1))</f>
        <v>1</v>
      </c>
      <c r="J63" s="24">
        <v>2321</v>
      </c>
      <c r="K63" s="24">
        <v>465</v>
      </c>
      <c r="L63" s="24">
        <v>13</v>
      </c>
      <c r="M63" s="24">
        <v>1</v>
      </c>
      <c r="N63" s="24">
        <v>22</v>
      </c>
      <c r="O63" s="24" t="s">
        <v>636</v>
      </c>
      <c r="P63" s="24" t="s">
        <v>637</v>
      </c>
      <c r="Q63" s="24" t="s">
        <v>314</v>
      </c>
      <c r="R63" s="24" t="s">
        <v>469</v>
      </c>
      <c r="S63" s="24" t="s">
        <v>161</v>
      </c>
      <c r="T63" s="24"/>
      <c r="U63" s="24"/>
      <c r="V63" s="24">
        <v>4</v>
      </c>
      <c r="W63" s="24">
        <v>57500</v>
      </c>
      <c r="X63" s="24">
        <v>64.05</v>
      </c>
      <c r="Y63" s="24">
        <v>64.05</v>
      </c>
      <c r="Z63" s="24">
        <v>104.78</v>
      </c>
      <c r="AA63" s="24" t="s">
        <v>638</v>
      </c>
      <c r="AB63" s="24" t="s">
        <v>639</v>
      </c>
      <c r="AC63" s="24" t="s">
        <v>640</v>
      </c>
      <c r="AD63" s="24" t="s">
        <v>641</v>
      </c>
      <c r="AE63" s="24" t="s">
        <v>642</v>
      </c>
      <c r="AF63" s="24"/>
    </row>
    <row r="64" spans="1:32" x14ac:dyDescent="0.45">
      <c r="A64" s="24"/>
      <c r="B64" s="24"/>
      <c r="C64" s="24"/>
      <c r="D64" s="24"/>
      <c r="E64" s="24">
        <f>COUNTIFS(Retro!$I64,1,Retro!$M64,1)</f>
        <v>0</v>
      </c>
      <c r="F64" s="24">
        <f>COUNTIFS(Retro!$I64,1,Retro!$M64,"&lt;&gt;1")</f>
        <v>0</v>
      </c>
      <c r="H64" s="24" t="str">
        <f>MID(Retro!$O64,1,FIND(":",Retro!$O64)-1)</f>
        <v>D</v>
      </c>
      <c r="I64" s="24">
        <f>INT(MID(Retro!$L64,1,1))</f>
        <v>3</v>
      </c>
      <c r="J64" s="24">
        <v>89780</v>
      </c>
      <c r="K64" s="24">
        <v>17956</v>
      </c>
      <c r="L64" s="24">
        <v>34</v>
      </c>
      <c r="M64" s="24">
        <v>14</v>
      </c>
      <c r="N64" s="24">
        <v>14</v>
      </c>
      <c r="O64" s="24" t="s">
        <v>89</v>
      </c>
      <c r="P64" s="24" t="s">
        <v>88</v>
      </c>
      <c r="Q64" s="24" t="s">
        <v>74</v>
      </c>
      <c r="R64" s="24" t="s">
        <v>21</v>
      </c>
      <c r="S64" s="24" t="s">
        <v>643</v>
      </c>
      <c r="T64" s="24"/>
      <c r="U64" s="24"/>
      <c r="V64" s="24">
        <v>3</v>
      </c>
      <c r="W64" s="24">
        <v>59000</v>
      </c>
      <c r="X64" s="24">
        <v>64.17</v>
      </c>
      <c r="Y64" s="24">
        <v>64.17</v>
      </c>
      <c r="Z64" s="24">
        <v>95.06</v>
      </c>
      <c r="AA64" s="24" t="s">
        <v>644</v>
      </c>
      <c r="AB64" s="24" t="s">
        <v>645</v>
      </c>
      <c r="AC64" s="24" t="s">
        <v>646</v>
      </c>
      <c r="AD64" s="24" t="s">
        <v>647</v>
      </c>
      <c r="AE64" s="24" t="s">
        <v>648</v>
      </c>
      <c r="AF64" s="24"/>
    </row>
    <row r="65" spans="1:32" x14ac:dyDescent="0.45">
      <c r="A65" s="24"/>
      <c r="B65" s="24"/>
      <c r="C65" s="24"/>
      <c r="D65" s="24"/>
      <c r="E65" s="24">
        <f>COUNTIFS(Retro!$I65,1,Retro!$M65,1)</f>
        <v>0</v>
      </c>
      <c r="F65" s="24">
        <f>COUNTIFS(Retro!$I65,1,Retro!$M65,"&lt;&gt;1")</f>
        <v>0</v>
      </c>
      <c r="H65" s="24" t="str">
        <f>MID(Retro!$O65,1,FIND(":",Retro!$O65)-1)</f>
        <v>TE1</v>
      </c>
      <c r="I65" s="24">
        <f>INT(MID(Retro!$L65,1,1))</f>
        <v>3</v>
      </c>
      <c r="J65" s="24">
        <v>24647</v>
      </c>
      <c r="K65" s="24">
        <v>4930</v>
      </c>
      <c r="L65" s="24">
        <v>34</v>
      </c>
      <c r="M65" s="24">
        <v>4</v>
      </c>
      <c r="N65" s="24">
        <v>13</v>
      </c>
      <c r="O65" s="24" t="s">
        <v>171</v>
      </c>
      <c r="P65" s="24" t="s">
        <v>175</v>
      </c>
      <c r="Q65" s="24" t="s">
        <v>38</v>
      </c>
      <c r="R65" s="24" t="s">
        <v>441</v>
      </c>
      <c r="S65" s="24" t="s">
        <v>102</v>
      </c>
      <c r="T65" s="24"/>
      <c r="U65" s="24"/>
      <c r="V65" s="24">
        <v>2</v>
      </c>
      <c r="W65" s="24">
        <v>59500</v>
      </c>
      <c r="X65" s="24">
        <v>58.93</v>
      </c>
      <c r="Y65" s="24">
        <v>58.93</v>
      </c>
      <c r="Z65" s="24">
        <v>92.4</v>
      </c>
      <c r="AA65" s="24" t="s">
        <v>649</v>
      </c>
      <c r="AB65" s="24" t="s">
        <v>650</v>
      </c>
      <c r="AC65" s="24" t="s">
        <v>651</v>
      </c>
      <c r="AD65" s="24" t="s">
        <v>652</v>
      </c>
      <c r="AE65" s="24" t="s">
        <v>653</v>
      </c>
      <c r="AF65" s="24"/>
    </row>
    <row r="66" spans="1:32" x14ac:dyDescent="0.45">
      <c r="A66" s="24"/>
      <c r="B66" s="24"/>
      <c r="C66" s="24"/>
      <c r="D66" s="24"/>
      <c r="E66" s="24">
        <f>COUNTIFS(Retro!$I66,1,Retro!$M66,1)</f>
        <v>1</v>
      </c>
      <c r="F66" s="24">
        <f>COUNTIFS(Retro!$I66,1,Retro!$M66,"&lt;&gt;1")</f>
        <v>0</v>
      </c>
      <c r="H66" s="24" t="str">
        <f>MID(Retro!$O66,1,FIND(":",Retro!$O66)-1)</f>
        <v>RB1</v>
      </c>
      <c r="I66" s="24">
        <f>INT(MID(Retro!$L66,1,1))</f>
        <v>1</v>
      </c>
      <c r="J66" s="24">
        <v>1156</v>
      </c>
      <c r="K66" s="24">
        <v>232</v>
      </c>
      <c r="L66" s="24">
        <v>12</v>
      </c>
      <c r="M66" s="24">
        <v>1</v>
      </c>
      <c r="N66" s="24">
        <v>17</v>
      </c>
      <c r="O66" s="24" t="s">
        <v>18</v>
      </c>
      <c r="P66" s="24" t="s">
        <v>49</v>
      </c>
      <c r="Q66" s="24" t="s">
        <v>468</v>
      </c>
      <c r="R66" s="24" t="s">
        <v>654</v>
      </c>
      <c r="S66" s="24" t="s">
        <v>655</v>
      </c>
      <c r="T66" s="24"/>
      <c r="U66" s="24"/>
      <c r="V66" s="24">
        <v>1</v>
      </c>
      <c r="W66" s="24">
        <v>58500</v>
      </c>
      <c r="X66" s="24">
        <v>63.15</v>
      </c>
      <c r="Y66" s="24">
        <v>63.15</v>
      </c>
      <c r="Z66" s="24">
        <v>127.81</v>
      </c>
      <c r="AA66" s="24" t="s">
        <v>656</v>
      </c>
      <c r="AB66" s="24" t="s">
        <v>657</v>
      </c>
      <c r="AC66" s="24" t="s">
        <v>658</v>
      </c>
      <c r="AD66" s="24" t="s">
        <v>659</v>
      </c>
      <c r="AE66" s="24" t="s">
        <v>660</v>
      </c>
      <c r="AF66" s="24"/>
    </row>
    <row r="67" spans="1:32" x14ac:dyDescent="0.45">
      <c r="A67" s="24"/>
      <c r="B67" s="24"/>
      <c r="C67" s="24"/>
      <c r="D67" s="24"/>
      <c r="E67" s="24">
        <f>COUNTIFS(Retro!$I67,1,Retro!$M67,1)</f>
        <v>0</v>
      </c>
      <c r="F67" s="24">
        <f>COUNTIFS(Retro!$I67,1,Retro!$M67,"&lt;&gt;1")</f>
        <v>0</v>
      </c>
      <c r="H67" s="24" t="str">
        <f>MID(Retro!$O67,1,FIND(":",Retro!$O67)-1)</f>
        <v>QB</v>
      </c>
      <c r="I67" s="24">
        <f>INT(MID(Retro!$L67,1,1))</f>
        <v>2</v>
      </c>
      <c r="J67" s="24">
        <v>36346</v>
      </c>
      <c r="K67" s="24">
        <v>7270</v>
      </c>
      <c r="L67" s="24">
        <v>23</v>
      </c>
      <c r="M67" s="24">
        <v>2</v>
      </c>
      <c r="N67" s="24">
        <v>15</v>
      </c>
      <c r="O67" s="24" t="s">
        <v>25</v>
      </c>
      <c r="P67" s="24" t="s">
        <v>12</v>
      </c>
      <c r="Q67" s="24" t="s">
        <v>95</v>
      </c>
      <c r="R67" s="24" t="s">
        <v>661</v>
      </c>
      <c r="S67" s="24" t="s">
        <v>662</v>
      </c>
      <c r="T67" s="24"/>
      <c r="U67" s="24"/>
      <c r="V67" s="24">
        <v>2</v>
      </c>
      <c r="W67" s="24">
        <v>56500</v>
      </c>
      <c r="X67" s="24">
        <v>75.61</v>
      </c>
      <c r="Y67" s="24">
        <v>75.61</v>
      </c>
      <c r="Z67" s="24">
        <v>88.58</v>
      </c>
      <c r="AA67" s="24" t="s">
        <v>663</v>
      </c>
      <c r="AB67" s="24" t="s">
        <v>664</v>
      </c>
      <c r="AC67" s="24" t="s">
        <v>665</v>
      </c>
      <c r="AD67" s="24" t="s">
        <v>666</v>
      </c>
      <c r="AE67" s="24" t="s">
        <v>667</v>
      </c>
      <c r="AF67" s="24"/>
    </row>
    <row r="68" spans="1:32" x14ac:dyDescent="0.45">
      <c r="A68" s="24"/>
      <c r="B68" s="24"/>
      <c r="C68" s="24"/>
      <c r="D68" s="24"/>
      <c r="E68" s="24">
        <f>COUNTIFS(Retro!$I68,1,Retro!$M68,1)</f>
        <v>1</v>
      </c>
      <c r="F68" s="24">
        <f>COUNTIFS(Retro!$I68,1,Retro!$M68,"&lt;&gt;1")</f>
        <v>0</v>
      </c>
      <c r="H68" s="24" t="str">
        <f>MID(Retro!$O68,1,FIND(":",Retro!$O68)-1)</f>
        <v>RB1</v>
      </c>
      <c r="I68" s="24">
        <f>INT(MID(Retro!$L68,1,1))</f>
        <v>1</v>
      </c>
      <c r="J68" s="24">
        <v>2621</v>
      </c>
      <c r="K68" s="24">
        <v>525</v>
      </c>
      <c r="L68" s="24">
        <v>13</v>
      </c>
      <c r="M68" s="24">
        <v>1</v>
      </c>
      <c r="N68" s="24">
        <v>12</v>
      </c>
      <c r="O68" s="24" t="s">
        <v>236</v>
      </c>
      <c r="P68" s="24" t="s">
        <v>43</v>
      </c>
      <c r="Q68" s="24" t="s">
        <v>21</v>
      </c>
      <c r="R68" s="24" t="s">
        <v>668</v>
      </c>
      <c r="S68" s="24" t="s">
        <v>499</v>
      </c>
      <c r="T68" s="24"/>
      <c r="U68" s="24"/>
      <c r="V68" s="24">
        <v>3</v>
      </c>
      <c r="W68" s="24">
        <v>60000</v>
      </c>
      <c r="X68" s="24">
        <v>74.59</v>
      </c>
      <c r="Y68" s="24">
        <v>74.59</v>
      </c>
      <c r="Z68" s="24">
        <v>126.78</v>
      </c>
      <c r="AA68" s="24" t="s">
        <v>669</v>
      </c>
      <c r="AB68" s="24" t="s">
        <v>670</v>
      </c>
      <c r="AC68" s="24" t="s">
        <v>671</v>
      </c>
      <c r="AD68" s="24" t="s">
        <v>672</v>
      </c>
      <c r="AE68" s="24" t="s">
        <v>673</v>
      </c>
      <c r="AF68" s="24"/>
    </row>
    <row r="69" spans="1:32" x14ac:dyDescent="0.45">
      <c r="A69" s="24"/>
      <c r="B69" s="24"/>
      <c r="C69" s="24"/>
      <c r="D69" s="24"/>
      <c r="E69" s="24">
        <f>COUNTIFS(Retro!$I69,1,Retro!$M69,1)</f>
        <v>0</v>
      </c>
      <c r="F69" s="24">
        <f>COUNTIFS(Retro!$I69,1,Retro!$M69,"&lt;&gt;1")</f>
        <v>0</v>
      </c>
      <c r="H69" s="24" t="str">
        <f>MID(Retro!$O69,1,FIND(":",Retro!$O69)-1)</f>
        <v>QB</v>
      </c>
      <c r="I69" s="24">
        <f>INT(MID(Retro!$L69,1,1))</f>
        <v>2</v>
      </c>
      <c r="J69" s="24">
        <v>48931</v>
      </c>
      <c r="K69" s="24">
        <v>9787</v>
      </c>
      <c r="L69" s="24">
        <v>23</v>
      </c>
      <c r="M69" s="24">
        <v>2</v>
      </c>
      <c r="N69" s="24">
        <v>21</v>
      </c>
      <c r="O69" s="24" t="s">
        <v>45</v>
      </c>
      <c r="P69" s="24" t="s">
        <v>153</v>
      </c>
      <c r="Q69" s="24" t="s">
        <v>441</v>
      </c>
      <c r="R69" s="24" t="s">
        <v>13</v>
      </c>
      <c r="S69" s="24" t="s">
        <v>159</v>
      </c>
      <c r="T69" s="24"/>
      <c r="U69" s="24"/>
      <c r="V69" s="24">
        <v>3</v>
      </c>
      <c r="W69" s="24">
        <v>57500</v>
      </c>
      <c r="X69" s="24">
        <v>60.83</v>
      </c>
      <c r="Y69" s="24">
        <v>60.83</v>
      </c>
      <c r="Z69" s="24">
        <v>119.45</v>
      </c>
      <c r="AA69" s="24" t="s">
        <v>674</v>
      </c>
      <c r="AB69" s="24" t="s">
        <v>675</v>
      </c>
      <c r="AC69" s="24" t="s">
        <v>676</v>
      </c>
      <c r="AD69" s="24" t="s">
        <v>677</v>
      </c>
      <c r="AE69" s="24" t="s">
        <v>678</v>
      </c>
      <c r="AF69" s="24"/>
    </row>
    <row r="70" spans="1:32" x14ac:dyDescent="0.45">
      <c r="A70" s="24"/>
      <c r="B70" s="24"/>
      <c r="C70" s="24"/>
      <c r="D70" s="24"/>
      <c r="E70" s="24">
        <f>COUNTIFS(Retro!$I70,1,Retro!$M70,1)</f>
        <v>1</v>
      </c>
      <c r="F70" s="24">
        <f>COUNTIFS(Retro!$I70,1,Retro!$M70,"&lt;&gt;1")</f>
        <v>0</v>
      </c>
      <c r="H70" s="24" t="str">
        <f>MID(Retro!$O70,1,FIND(":",Retro!$O70)-1)</f>
        <v>RB1</v>
      </c>
      <c r="I70" s="24">
        <f>INT(MID(Retro!$L70,1,1))</f>
        <v>1</v>
      </c>
      <c r="J70" s="24">
        <v>1</v>
      </c>
      <c r="K70" s="24">
        <v>1</v>
      </c>
      <c r="L70" s="24">
        <v>12</v>
      </c>
      <c r="M70" s="24">
        <v>1</v>
      </c>
      <c r="N70" s="24">
        <v>41</v>
      </c>
      <c r="O70" s="24" t="s">
        <v>236</v>
      </c>
      <c r="P70" s="24" t="s">
        <v>49</v>
      </c>
      <c r="Q70" s="24" t="s">
        <v>43</v>
      </c>
      <c r="R70" s="24" t="s">
        <v>470</v>
      </c>
      <c r="S70" s="24" t="s">
        <v>679</v>
      </c>
      <c r="T70" s="24"/>
      <c r="U70" s="24"/>
      <c r="V70" s="24">
        <v>3</v>
      </c>
      <c r="W70" s="24">
        <v>60000</v>
      </c>
      <c r="X70" s="24">
        <v>76.61</v>
      </c>
      <c r="Y70" s="24">
        <v>76.61</v>
      </c>
      <c r="Z70" s="24">
        <v>142.59</v>
      </c>
      <c r="AA70" s="24" t="s">
        <v>680</v>
      </c>
      <c r="AB70" s="24" t="s">
        <v>681</v>
      </c>
      <c r="AC70" s="24" t="s">
        <v>682</v>
      </c>
      <c r="AD70" s="24" t="s">
        <v>683</v>
      </c>
      <c r="AE70" s="24" t="s">
        <v>684</v>
      </c>
      <c r="AF70" s="24"/>
    </row>
    <row r="71" spans="1:32" x14ac:dyDescent="0.45">
      <c r="A71" s="24"/>
      <c r="B71" s="24"/>
      <c r="C71" s="24"/>
      <c r="D71" s="24"/>
      <c r="E71" s="24">
        <f>COUNTIFS(Retro!$I71,1,Retro!$M71,1)</f>
        <v>0</v>
      </c>
      <c r="F71" s="24">
        <f>COUNTIFS(Retro!$I71,1,Retro!$M71,"&lt;&gt;1")</f>
        <v>0</v>
      </c>
      <c r="H71" s="24" t="str">
        <f>MID(Retro!$O71,1,FIND(":",Retro!$O71)-1)</f>
        <v>WR1</v>
      </c>
      <c r="I71" s="24">
        <f>INT(MID(Retro!$L71,1,1))</f>
        <v>2</v>
      </c>
      <c r="J71" s="24">
        <v>23183</v>
      </c>
      <c r="K71" s="24">
        <v>4637</v>
      </c>
      <c r="L71" s="24">
        <v>23</v>
      </c>
      <c r="M71" s="24">
        <v>6</v>
      </c>
      <c r="N71" s="24">
        <v>14</v>
      </c>
      <c r="O71" s="24" t="s">
        <v>13</v>
      </c>
      <c r="P71" s="24" t="s">
        <v>45</v>
      </c>
      <c r="Q71" s="24" t="s">
        <v>43</v>
      </c>
      <c r="R71" s="24" t="s">
        <v>499</v>
      </c>
      <c r="S71" s="24" t="s">
        <v>237</v>
      </c>
      <c r="T71" s="24"/>
      <c r="U71" s="24"/>
      <c r="V71" s="24">
        <v>2</v>
      </c>
      <c r="W71" s="24">
        <v>56000</v>
      </c>
      <c r="X71" s="24">
        <v>68.14</v>
      </c>
      <c r="Y71" s="24">
        <v>68.14</v>
      </c>
      <c r="Z71" s="24">
        <v>143.87</v>
      </c>
      <c r="AA71" s="24" t="s">
        <v>685</v>
      </c>
      <c r="AB71" s="24" t="s">
        <v>686</v>
      </c>
      <c r="AC71" s="24" t="s">
        <v>687</v>
      </c>
      <c r="AD71" s="24" t="s">
        <v>688</v>
      </c>
      <c r="AE71" s="24" t="s">
        <v>689</v>
      </c>
      <c r="AF71" s="24"/>
    </row>
  </sheetData>
  <sortState xmlns:xlrd2="http://schemas.microsoft.com/office/spreadsheetml/2017/richdata2" ref="H34:H67">
    <sortCondition ref="H34:H67"/>
  </sortState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/>
  <dimension ref="A1:AD78"/>
  <sheetViews>
    <sheetView workbookViewId="0">
      <pane ySplit="1" topLeftCell="A2" activePane="bottomLeft" state="frozen"/>
      <selection pane="bottomLeft" activeCell="A72" sqref="A72"/>
    </sheetView>
  </sheetViews>
  <sheetFormatPr defaultRowHeight="14.25" x14ac:dyDescent="0.45"/>
  <cols>
    <col min="1" max="1" width="11" style="24" bestFit="1" customWidth="1"/>
    <col min="2" max="2" width="12.46484375" style="24" bestFit="1" customWidth="1"/>
    <col min="3" max="3" width="10.1328125" style="24" customWidth="1"/>
    <col min="4" max="4" width="9.9296875" style="24" bestFit="1" customWidth="1"/>
    <col min="5" max="5" width="14.59765625" style="24" bestFit="1" customWidth="1"/>
    <col min="6" max="6" width="14.46484375" style="24" bestFit="1" customWidth="1"/>
    <col min="7" max="7" width="10.1328125" style="24" customWidth="1"/>
    <col min="8" max="8" width="6.73046875" style="24" bestFit="1" customWidth="1"/>
    <col min="9" max="9" width="10.46484375" style="24" bestFit="1" customWidth="1"/>
    <col min="10" max="10" width="10.1328125" style="24" customWidth="1"/>
    <col min="11" max="11" width="10.59765625" style="24" bestFit="1" customWidth="1"/>
    <col min="12" max="12" width="10.1328125" style="24" customWidth="1"/>
    <col min="13" max="13" width="11" style="24" bestFit="1" customWidth="1"/>
    <col min="14" max="14" width="10.1328125" style="24" customWidth="1"/>
    <col min="15" max="15" width="9" style="24" bestFit="1" customWidth="1"/>
    <col min="16" max="16" width="10.1328125" style="24" customWidth="1"/>
    <col min="17" max="17" width="10.19921875" style="24" bestFit="1" customWidth="1"/>
    <col min="18" max="18" width="10.1328125" style="24" customWidth="1"/>
    <col min="19" max="19" width="8.06640625" style="24" bestFit="1" customWidth="1"/>
    <col min="20" max="20" width="10.86328125" style="24" bestFit="1" customWidth="1"/>
    <col min="21" max="21" width="12.73046875" style="24" bestFit="1" customWidth="1"/>
    <col min="22" max="22" width="11.6640625" style="24" bestFit="1" customWidth="1"/>
    <col min="23" max="23" width="11.53125" style="24" bestFit="1" customWidth="1"/>
    <col min="24" max="24" width="10.46484375" style="24" bestFit="1" customWidth="1"/>
    <col min="25" max="25" width="29.265625" style="24" bestFit="1" customWidth="1"/>
    <col min="26" max="26" width="28.86328125" style="24" bestFit="1" customWidth="1"/>
    <col min="27" max="27" width="29.9296875" style="24" bestFit="1" customWidth="1"/>
    <col min="28" max="28" width="34.33203125" style="24" bestFit="1" customWidth="1"/>
    <col min="29" max="29" width="22.73046875" style="24" bestFit="1" customWidth="1"/>
    <col min="30" max="30" width="9.1328125" style="24"/>
    <col min="31" max="32" width="8.19921875" style="31" bestFit="1" customWidth="1"/>
    <col min="33" max="34" width="10.9296875" style="31" bestFit="1" customWidth="1"/>
    <col min="35" max="35" width="10.19921875" style="31" bestFit="1" customWidth="1"/>
    <col min="36" max="16384" width="9.06640625" style="31"/>
  </cols>
  <sheetData>
    <row r="1" spans="1:30" s="30" customFormat="1" x14ac:dyDescent="0.45">
      <c r="A1" s="21" t="s">
        <v>27</v>
      </c>
      <c r="B1" s="36" t="s">
        <v>34</v>
      </c>
      <c r="C1" s="37" t="s">
        <v>209</v>
      </c>
      <c r="D1" s="36" t="s">
        <v>35</v>
      </c>
      <c r="E1" s="37" t="s">
        <v>210</v>
      </c>
      <c r="F1" s="36" t="s">
        <v>28</v>
      </c>
      <c r="G1" s="37" t="s">
        <v>211</v>
      </c>
      <c r="H1" s="36" t="s">
        <v>29</v>
      </c>
      <c r="I1" s="37" t="s">
        <v>212</v>
      </c>
      <c r="J1" s="37" t="s">
        <v>238</v>
      </c>
      <c r="K1" s="36" t="s">
        <v>30</v>
      </c>
      <c r="L1" s="37" t="s">
        <v>213</v>
      </c>
      <c r="M1" s="36" t="s">
        <v>31</v>
      </c>
      <c r="N1" s="37" t="s">
        <v>214</v>
      </c>
      <c r="O1" s="36" t="s">
        <v>32</v>
      </c>
      <c r="P1" s="37" t="s">
        <v>215</v>
      </c>
      <c r="Q1" s="36" t="s">
        <v>33</v>
      </c>
      <c r="R1" s="38" t="s">
        <v>216</v>
      </c>
      <c r="S1" s="21" t="s">
        <v>81</v>
      </c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x14ac:dyDescent="0.45">
      <c r="A2" s="21" t="s">
        <v>12</v>
      </c>
      <c r="F2" s="24" t="s">
        <v>12</v>
      </c>
      <c r="H2" s="24" t="s">
        <v>11</v>
      </c>
      <c r="K2" s="24" t="s">
        <v>10</v>
      </c>
      <c r="M2" s="24" t="s">
        <v>13</v>
      </c>
      <c r="O2" s="24" t="s">
        <v>14</v>
      </c>
    </row>
    <row r="3" spans="1:30" x14ac:dyDescent="0.45">
      <c r="A3" s="21" t="s">
        <v>15</v>
      </c>
      <c r="D3" s="24" t="s">
        <v>16</v>
      </c>
      <c r="H3" s="24" t="s">
        <v>15</v>
      </c>
      <c r="M3" s="24" t="s">
        <v>250</v>
      </c>
      <c r="O3" s="24" t="s">
        <v>235</v>
      </c>
      <c r="Q3" s="24" t="s">
        <v>251</v>
      </c>
    </row>
    <row r="4" spans="1:30" x14ac:dyDescent="0.45">
      <c r="A4" s="21" t="s">
        <v>19</v>
      </c>
      <c r="F4" s="24" t="s">
        <v>21</v>
      </c>
      <c r="H4" s="24" t="s">
        <v>18</v>
      </c>
      <c r="I4" s="24" t="s">
        <v>20</v>
      </c>
      <c r="M4" s="24" t="s">
        <v>19</v>
      </c>
      <c r="O4" s="24" t="s">
        <v>17</v>
      </c>
    </row>
    <row r="5" spans="1:30" x14ac:dyDescent="0.45">
      <c r="A5" s="21" t="s">
        <v>22</v>
      </c>
      <c r="D5" s="24" t="s">
        <v>22</v>
      </c>
      <c r="H5" s="24" t="s">
        <v>262</v>
      </c>
      <c r="I5" s="24" t="s">
        <v>263</v>
      </c>
      <c r="M5" s="24" t="s">
        <v>23</v>
      </c>
      <c r="Q5" s="24" t="s">
        <v>264</v>
      </c>
    </row>
    <row r="6" spans="1:30" x14ac:dyDescent="0.45">
      <c r="A6" s="21" t="s">
        <v>43</v>
      </c>
      <c r="D6" s="24" t="s">
        <v>42</v>
      </c>
      <c r="F6" s="24" t="s">
        <v>44</v>
      </c>
      <c r="G6" s="24" t="s">
        <v>43</v>
      </c>
      <c r="M6" s="24" t="s">
        <v>250</v>
      </c>
      <c r="O6" s="24" t="s">
        <v>270</v>
      </c>
    </row>
    <row r="7" spans="1:30" x14ac:dyDescent="0.45">
      <c r="A7" s="21" t="s">
        <v>24</v>
      </c>
      <c r="B7" s="24" t="s">
        <v>277</v>
      </c>
      <c r="F7" s="24" t="s">
        <v>25</v>
      </c>
      <c r="H7" s="24" t="s">
        <v>24</v>
      </c>
      <c r="I7" s="24" t="s">
        <v>276</v>
      </c>
      <c r="K7" s="24" t="s">
        <v>278</v>
      </c>
    </row>
    <row r="8" spans="1:30" x14ac:dyDescent="0.45">
      <c r="A8" s="21" t="s">
        <v>284</v>
      </c>
      <c r="B8" s="24" t="s">
        <v>40</v>
      </c>
      <c r="D8" s="24" t="s">
        <v>39</v>
      </c>
      <c r="E8" s="24" t="s">
        <v>285</v>
      </c>
      <c r="F8" s="24" t="s">
        <v>38</v>
      </c>
      <c r="O8" s="24" t="s">
        <v>284</v>
      </c>
    </row>
    <row r="9" spans="1:30" x14ac:dyDescent="0.45">
      <c r="A9" s="21" t="s">
        <v>25</v>
      </c>
      <c r="F9" s="24" t="s">
        <v>25</v>
      </c>
      <c r="H9" s="24" t="s">
        <v>24</v>
      </c>
      <c r="I9" s="24" t="s">
        <v>24</v>
      </c>
      <c r="O9" s="24" t="s">
        <v>291</v>
      </c>
      <c r="Q9" s="24" t="s">
        <v>292</v>
      </c>
    </row>
    <row r="10" spans="1:30" x14ac:dyDescent="0.45">
      <c r="A10" s="21" t="s">
        <v>13</v>
      </c>
      <c r="D10" s="24" t="s">
        <v>46</v>
      </c>
      <c r="F10" s="24" t="s">
        <v>45</v>
      </c>
      <c r="M10" s="24" t="s">
        <v>41</v>
      </c>
      <c r="N10" s="24" t="s">
        <v>13</v>
      </c>
      <c r="O10" s="24" t="s">
        <v>270</v>
      </c>
    </row>
    <row r="11" spans="1:30" x14ac:dyDescent="0.45">
      <c r="A11" s="21" t="s">
        <v>304</v>
      </c>
      <c r="B11" s="24" t="s">
        <v>307</v>
      </c>
      <c r="F11" s="24" t="s">
        <v>304</v>
      </c>
      <c r="H11" s="24" t="s">
        <v>305</v>
      </c>
      <c r="Q11" s="24" t="s">
        <v>308</v>
      </c>
      <c r="R11" s="24" t="s">
        <v>264</v>
      </c>
    </row>
    <row r="12" spans="1:30" x14ac:dyDescent="0.45">
      <c r="A12" s="21" t="s">
        <v>47</v>
      </c>
      <c r="F12" s="24" t="s">
        <v>48</v>
      </c>
      <c r="G12" s="24" t="s">
        <v>49</v>
      </c>
      <c r="H12" s="24" t="s">
        <v>692</v>
      </c>
      <c r="M12" s="24" t="s">
        <v>47</v>
      </c>
      <c r="N12" s="24" t="s">
        <v>314</v>
      </c>
    </row>
    <row r="13" spans="1:30" x14ac:dyDescent="0.45">
      <c r="A13" s="21" t="s">
        <v>52</v>
      </c>
      <c r="B13" s="24" t="s">
        <v>53</v>
      </c>
      <c r="F13" s="24" t="s">
        <v>12</v>
      </c>
      <c r="G13" s="24" t="s">
        <v>52</v>
      </c>
      <c r="H13" s="24" t="s">
        <v>52</v>
      </c>
      <c r="M13" s="24" t="s">
        <v>103</v>
      </c>
    </row>
    <row r="14" spans="1:30" x14ac:dyDescent="0.45">
      <c r="A14" s="21" t="s">
        <v>162</v>
      </c>
      <c r="D14" s="24" t="s">
        <v>326</v>
      </c>
      <c r="H14" s="24" t="s">
        <v>50</v>
      </c>
      <c r="M14" s="24" t="s">
        <v>51</v>
      </c>
      <c r="N14" s="24" t="s">
        <v>162</v>
      </c>
      <c r="O14" s="24" t="s">
        <v>325</v>
      </c>
    </row>
    <row r="15" spans="1:30" x14ac:dyDescent="0.45">
      <c r="A15" s="21" t="s">
        <v>51</v>
      </c>
      <c r="D15" s="24" t="s">
        <v>326</v>
      </c>
      <c r="H15" s="24" t="s">
        <v>50</v>
      </c>
      <c r="M15" s="24" t="s">
        <v>51</v>
      </c>
      <c r="N15" s="24" t="s">
        <v>162</v>
      </c>
      <c r="O15" s="24" t="s">
        <v>325</v>
      </c>
    </row>
    <row r="16" spans="1:30" x14ac:dyDescent="0.45">
      <c r="A16" s="21" t="s">
        <v>54</v>
      </c>
      <c r="F16" s="24" t="s">
        <v>55</v>
      </c>
      <c r="G16" s="24" t="s">
        <v>56</v>
      </c>
      <c r="H16" s="24" t="s">
        <v>332</v>
      </c>
      <c r="I16" s="24" t="s">
        <v>54</v>
      </c>
      <c r="K16" s="24" t="s">
        <v>70</v>
      </c>
    </row>
    <row r="17" spans="1:19" x14ac:dyDescent="0.45">
      <c r="A17" s="21" t="s">
        <v>54</v>
      </c>
      <c r="F17" s="24" t="s">
        <v>55</v>
      </c>
      <c r="G17" s="24" t="s">
        <v>56</v>
      </c>
      <c r="H17" s="24" t="s">
        <v>332</v>
      </c>
      <c r="I17" s="24" t="s">
        <v>54</v>
      </c>
      <c r="O17" s="24" t="s">
        <v>17</v>
      </c>
    </row>
    <row r="18" spans="1:19" x14ac:dyDescent="0.45">
      <c r="A18" s="21" t="s">
        <v>340</v>
      </c>
      <c r="B18" s="24" t="s">
        <v>343</v>
      </c>
      <c r="D18" s="24" t="s">
        <v>340</v>
      </c>
      <c r="F18" s="24" t="s">
        <v>341</v>
      </c>
      <c r="H18" s="24" t="s">
        <v>342</v>
      </c>
      <c r="I18" s="24" t="s">
        <v>342</v>
      </c>
    </row>
    <row r="19" spans="1:19" x14ac:dyDescent="0.45">
      <c r="A19" s="21" t="s">
        <v>57</v>
      </c>
      <c r="F19" s="24" t="s">
        <v>57</v>
      </c>
      <c r="G19" s="24" t="s">
        <v>58</v>
      </c>
      <c r="H19" s="24" t="s">
        <v>50</v>
      </c>
      <c r="K19" s="24" t="s">
        <v>613</v>
      </c>
      <c r="O19" s="24" t="s">
        <v>349</v>
      </c>
    </row>
    <row r="20" spans="1:19" x14ac:dyDescent="0.45">
      <c r="A20" s="21" t="s">
        <v>11</v>
      </c>
      <c r="D20" s="24" t="s">
        <v>46</v>
      </c>
      <c r="F20" s="24" t="s">
        <v>45</v>
      </c>
      <c r="H20" s="24" t="s">
        <v>11</v>
      </c>
      <c r="O20" s="24" t="s">
        <v>356</v>
      </c>
      <c r="P20" s="24" t="s">
        <v>59</v>
      </c>
    </row>
    <row r="21" spans="1:19" x14ac:dyDescent="0.45">
      <c r="A21" s="21" t="s">
        <v>44</v>
      </c>
      <c r="D21" s="24" t="s">
        <v>42</v>
      </c>
      <c r="F21" s="24" t="s">
        <v>44</v>
      </c>
      <c r="G21" s="24" t="s">
        <v>36</v>
      </c>
      <c r="M21" s="24" t="s">
        <v>41</v>
      </c>
      <c r="O21" s="24" t="s">
        <v>270</v>
      </c>
    </row>
    <row r="22" spans="1:19" x14ac:dyDescent="0.45">
      <c r="A22" s="21" t="s">
        <v>367</v>
      </c>
      <c r="F22" s="24" t="s">
        <v>304</v>
      </c>
      <c r="H22" s="24" t="s">
        <v>24</v>
      </c>
      <c r="I22" s="24" t="s">
        <v>262</v>
      </c>
      <c r="M22" s="24" t="s">
        <v>367</v>
      </c>
      <c r="O22" s="24" t="s">
        <v>306</v>
      </c>
    </row>
    <row r="23" spans="1:19" x14ac:dyDescent="0.45">
      <c r="A23" s="21" t="s">
        <v>48</v>
      </c>
      <c r="F23" s="24" t="s">
        <v>48</v>
      </c>
      <c r="G23" s="24" t="s">
        <v>373</v>
      </c>
      <c r="H23" s="24" t="s">
        <v>693</v>
      </c>
      <c r="I23" s="24" t="s">
        <v>61</v>
      </c>
      <c r="O23" s="24" t="s">
        <v>325</v>
      </c>
    </row>
    <row r="24" spans="1:19" x14ac:dyDescent="0.45">
      <c r="A24" s="21" t="s">
        <v>60</v>
      </c>
      <c r="F24" s="24" t="s">
        <v>56</v>
      </c>
      <c r="G24" s="24" t="s">
        <v>60</v>
      </c>
      <c r="K24" s="24" t="s">
        <v>381</v>
      </c>
      <c r="M24" s="24" t="s">
        <v>23</v>
      </c>
      <c r="Q24" s="24" t="s">
        <v>382</v>
      </c>
    </row>
    <row r="25" spans="1:19" x14ac:dyDescent="0.45">
      <c r="A25" s="21" t="s">
        <v>12</v>
      </c>
      <c r="F25" s="24" t="s">
        <v>12</v>
      </c>
      <c r="G25" s="24" t="s">
        <v>36</v>
      </c>
      <c r="H25" s="24" t="s">
        <v>694</v>
      </c>
      <c r="K25" s="24" t="s">
        <v>10</v>
      </c>
      <c r="O25" s="24" t="s">
        <v>65</v>
      </c>
    </row>
    <row r="26" spans="1:19" x14ac:dyDescent="0.45">
      <c r="A26" s="21" t="s">
        <v>62</v>
      </c>
      <c r="B26" s="24" t="s">
        <v>228</v>
      </c>
      <c r="D26" s="24" t="s">
        <v>394</v>
      </c>
      <c r="F26" s="24" t="s">
        <v>63</v>
      </c>
      <c r="H26" s="24" t="s">
        <v>62</v>
      </c>
      <c r="S26" s="24" t="s">
        <v>695</v>
      </c>
    </row>
    <row r="27" spans="1:19" x14ac:dyDescent="0.45">
      <c r="A27" s="21" t="s">
        <v>262</v>
      </c>
      <c r="F27" s="24" t="s">
        <v>401</v>
      </c>
      <c r="H27" s="24" t="s">
        <v>262</v>
      </c>
      <c r="I27" s="24" t="s">
        <v>696</v>
      </c>
      <c r="M27" s="24" t="s">
        <v>402</v>
      </c>
      <c r="Q27" s="24" t="s">
        <v>64</v>
      </c>
    </row>
    <row r="28" spans="1:19" x14ac:dyDescent="0.45">
      <c r="A28" s="21" t="s">
        <v>51</v>
      </c>
      <c r="D28" s="24" t="s">
        <v>22</v>
      </c>
      <c r="F28" s="24" t="s">
        <v>60</v>
      </c>
      <c r="H28" s="24" t="s">
        <v>66</v>
      </c>
      <c r="K28" s="24" t="s">
        <v>697</v>
      </c>
      <c r="M28" s="24" t="s">
        <v>51</v>
      </c>
    </row>
    <row r="29" spans="1:19" x14ac:dyDescent="0.45">
      <c r="A29" s="21" t="s">
        <v>21</v>
      </c>
      <c r="F29" s="24" t="s">
        <v>21</v>
      </c>
      <c r="H29" s="24" t="s">
        <v>71</v>
      </c>
      <c r="M29" s="24" t="s">
        <v>72</v>
      </c>
      <c r="Q29" s="24" t="s">
        <v>414</v>
      </c>
      <c r="S29" s="24" t="s">
        <v>698</v>
      </c>
    </row>
    <row r="30" spans="1:19" x14ac:dyDescent="0.45">
      <c r="A30" s="21" t="s">
        <v>73</v>
      </c>
      <c r="B30" s="24" t="s">
        <v>421</v>
      </c>
      <c r="H30" s="24" t="s">
        <v>696</v>
      </c>
      <c r="I30" s="24" t="s">
        <v>73</v>
      </c>
      <c r="Q30" s="24" t="s">
        <v>422</v>
      </c>
      <c r="R30" s="24" t="s">
        <v>64</v>
      </c>
    </row>
    <row r="31" spans="1:19" x14ac:dyDescent="0.45">
      <c r="A31" s="21" t="s">
        <v>367</v>
      </c>
      <c r="B31" s="24" t="s">
        <v>307</v>
      </c>
      <c r="F31" s="24" t="s">
        <v>304</v>
      </c>
      <c r="M31" s="24" t="s">
        <v>428</v>
      </c>
      <c r="N31" s="24" t="s">
        <v>367</v>
      </c>
      <c r="O31" s="24" t="s">
        <v>306</v>
      </c>
    </row>
    <row r="32" spans="1:19" x14ac:dyDescent="0.45">
      <c r="A32" s="21" t="s">
        <v>72</v>
      </c>
      <c r="B32" s="24" t="s">
        <v>434</v>
      </c>
      <c r="F32" s="24" t="s">
        <v>74</v>
      </c>
      <c r="K32" s="24" t="s">
        <v>699</v>
      </c>
      <c r="M32" s="24" t="s">
        <v>72</v>
      </c>
      <c r="O32" s="24" t="s">
        <v>75</v>
      </c>
    </row>
    <row r="33" spans="1:19" x14ac:dyDescent="0.45">
      <c r="A33" s="21" t="s">
        <v>13</v>
      </c>
      <c r="F33" s="24" t="s">
        <v>45</v>
      </c>
      <c r="H33" s="24" t="s">
        <v>11</v>
      </c>
      <c r="I33" s="24" t="s">
        <v>11</v>
      </c>
      <c r="K33" s="24" t="s">
        <v>442</v>
      </c>
      <c r="M33" s="24" t="s">
        <v>13</v>
      </c>
    </row>
    <row r="34" spans="1:19" x14ac:dyDescent="0.45">
      <c r="A34" s="21" t="s">
        <v>47</v>
      </c>
      <c r="F34" s="24" t="s">
        <v>12</v>
      </c>
      <c r="G34" s="24" t="s">
        <v>48</v>
      </c>
      <c r="K34" s="24" t="s">
        <v>10</v>
      </c>
      <c r="M34" s="24" t="s">
        <v>47</v>
      </c>
      <c r="S34" s="24" t="s">
        <v>700</v>
      </c>
    </row>
    <row r="35" spans="1:19" x14ac:dyDescent="0.45">
      <c r="A35" s="21" t="s">
        <v>701</v>
      </c>
      <c r="D35" s="24" t="s">
        <v>285</v>
      </c>
      <c r="H35" s="24" t="s">
        <v>701</v>
      </c>
      <c r="K35" s="24" t="s">
        <v>76</v>
      </c>
      <c r="M35" s="24" t="s">
        <v>37</v>
      </c>
      <c r="S35" s="24" t="s">
        <v>702</v>
      </c>
    </row>
    <row r="36" spans="1:19" x14ac:dyDescent="0.45">
      <c r="A36" s="21" t="s">
        <v>460</v>
      </c>
      <c r="D36" s="24" t="s">
        <v>460</v>
      </c>
      <c r="E36" s="24" t="s">
        <v>462</v>
      </c>
      <c r="F36" s="24" t="s">
        <v>21</v>
      </c>
      <c r="M36" s="24" t="s">
        <v>19</v>
      </c>
      <c r="O36" s="24" t="s">
        <v>461</v>
      </c>
    </row>
    <row r="37" spans="1:19" x14ac:dyDescent="0.45">
      <c r="A37" s="21" t="s">
        <v>15</v>
      </c>
      <c r="F37" s="24" t="s">
        <v>43</v>
      </c>
      <c r="H37" s="24" t="s">
        <v>15</v>
      </c>
      <c r="I37" s="24" t="s">
        <v>692</v>
      </c>
      <c r="J37" s="24" t="s">
        <v>468</v>
      </c>
      <c r="K37" s="24" t="s">
        <v>77</v>
      </c>
    </row>
    <row r="38" spans="1:19" x14ac:dyDescent="0.45">
      <c r="A38" s="21" t="s">
        <v>48</v>
      </c>
      <c r="F38" s="24" t="s">
        <v>48</v>
      </c>
      <c r="G38" s="24" t="s">
        <v>78</v>
      </c>
      <c r="K38" s="24" t="s">
        <v>79</v>
      </c>
      <c r="M38" s="24" t="s">
        <v>234</v>
      </c>
      <c r="O38" s="24" t="s">
        <v>476</v>
      </c>
    </row>
    <row r="39" spans="1:19" x14ac:dyDescent="0.45">
      <c r="A39" s="21" t="s">
        <v>701</v>
      </c>
      <c r="B39" s="24" t="s">
        <v>40</v>
      </c>
      <c r="F39" s="24" t="s">
        <v>57</v>
      </c>
      <c r="H39" s="24" t="s">
        <v>701</v>
      </c>
      <c r="M39" s="24" t="s">
        <v>51</v>
      </c>
      <c r="S39" s="24" t="s">
        <v>703</v>
      </c>
    </row>
    <row r="40" spans="1:19" x14ac:dyDescent="0.45">
      <c r="A40" s="21" t="s">
        <v>490</v>
      </c>
      <c r="F40" s="24" t="s">
        <v>492</v>
      </c>
      <c r="G40" s="24" t="s">
        <v>58</v>
      </c>
      <c r="H40" s="24" t="s">
        <v>696</v>
      </c>
      <c r="I40" s="24" t="s">
        <v>704</v>
      </c>
      <c r="Q40" s="24" t="s">
        <v>64</v>
      </c>
    </row>
    <row r="41" spans="1:19" x14ac:dyDescent="0.45">
      <c r="A41" s="21" t="s">
        <v>15</v>
      </c>
      <c r="D41" s="24" t="s">
        <v>499</v>
      </c>
      <c r="F41" s="24" t="s">
        <v>21</v>
      </c>
      <c r="H41" s="24" t="s">
        <v>15</v>
      </c>
      <c r="M41" s="24" t="s">
        <v>250</v>
      </c>
      <c r="Q41" s="24" t="s">
        <v>414</v>
      </c>
    </row>
    <row r="42" spans="1:19" x14ac:dyDescent="0.45">
      <c r="A42" s="21" t="s">
        <v>12</v>
      </c>
      <c r="D42" s="24" t="s">
        <v>83</v>
      </c>
      <c r="F42" s="24" t="s">
        <v>12</v>
      </c>
      <c r="G42" s="24" t="s">
        <v>78</v>
      </c>
      <c r="H42" s="24" t="s">
        <v>52</v>
      </c>
      <c r="K42" s="24" t="s">
        <v>82</v>
      </c>
    </row>
    <row r="43" spans="1:19" x14ac:dyDescent="0.45">
      <c r="A43" s="21" t="s">
        <v>341</v>
      </c>
      <c r="D43" s="24" t="s">
        <v>16</v>
      </c>
      <c r="F43" s="24" t="s">
        <v>341</v>
      </c>
      <c r="G43" s="24" t="s">
        <v>85</v>
      </c>
      <c r="H43" s="24" t="s">
        <v>84</v>
      </c>
      <c r="K43" s="24" t="s">
        <v>278</v>
      </c>
    </row>
    <row r="44" spans="1:19" x14ac:dyDescent="0.45">
      <c r="A44" s="21" t="s">
        <v>517</v>
      </c>
      <c r="B44" s="24" t="s">
        <v>228</v>
      </c>
      <c r="F44" s="24" t="s">
        <v>492</v>
      </c>
      <c r="K44" s="24" t="s">
        <v>518</v>
      </c>
      <c r="M44" s="24" t="s">
        <v>517</v>
      </c>
      <c r="S44" s="24" t="s">
        <v>705</v>
      </c>
    </row>
    <row r="45" spans="1:19" x14ac:dyDescent="0.45">
      <c r="A45" s="21" t="s">
        <v>706</v>
      </c>
      <c r="F45" s="24" t="s">
        <v>55</v>
      </c>
      <c r="G45" s="24" t="s">
        <v>85</v>
      </c>
      <c r="H45" s="24" t="s">
        <v>706</v>
      </c>
      <c r="I45" s="24" t="s">
        <v>20</v>
      </c>
      <c r="Q45" s="24" t="s">
        <v>526</v>
      </c>
    </row>
    <row r="46" spans="1:19" x14ac:dyDescent="0.45">
      <c r="A46" s="21" t="s">
        <v>46</v>
      </c>
      <c r="D46" s="24" t="s">
        <v>46</v>
      </c>
      <c r="F46" s="24" t="s">
        <v>78</v>
      </c>
      <c r="G46" s="24" t="s">
        <v>45</v>
      </c>
      <c r="M46" s="24" t="s">
        <v>13</v>
      </c>
      <c r="O46" s="24" t="s">
        <v>87</v>
      </c>
    </row>
    <row r="47" spans="1:19" x14ac:dyDescent="0.45">
      <c r="A47" s="21" t="s">
        <v>47</v>
      </c>
      <c r="F47" s="24" t="s">
        <v>48</v>
      </c>
      <c r="H47" s="24" t="s">
        <v>693</v>
      </c>
      <c r="I47" s="24" t="s">
        <v>50</v>
      </c>
      <c r="K47" s="24" t="s">
        <v>707</v>
      </c>
      <c r="M47" s="24" t="s">
        <v>47</v>
      </c>
    </row>
    <row r="48" spans="1:19" x14ac:dyDescent="0.45">
      <c r="A48" s="21" t="s">
        <v>71</v>
      </c>
      <c r="B48" s="24" t="s">
        <v>89</v>
      </c>
      <c r="D48" s="24" t="s">
        <v>460</v>
      </c>
      <c r="H48" s="24" t="s">
        <v>88</v>
      </c>
      <c r="I48" s="24" t="s">
        <v>708</v>
      </c>
      <c r="O48" s="24" t="s">
        <v>461</v>
      </c>
    </row>
    <row r="49" spans="1:19" x14ac:dyDescent="0.45">
      <c r="A49" s="21" t="s">
        <v>90</v>
      </c>
      <c r="B49" s="24" t="s">
        <v>90</v>
      </c>
      <c r="F49" s="24" t="s">
        <v>552</v>
      </c>
      <c r="H49" s="24" t="s">
        <v>91</v>
      </c>
      <c r="I49" s="24" t="s">
        <v>709</v>
      </c>
      <c r="M49" s="24" t="s">
        <v>41</v>
      </c>
    </row>
    <row r="50" spans="1:19" x14ac:dyDescent="0.45">
      <c r="A50" s="21" t="s">
        <v>92</v>
      </c>
      <c r="D50" s="24" t="s">
        <v>94</v>
      </c>
      <c r="H50" s="24" t="s">
        <v>92</v>
      </c>
      <c r="I50" s="24" t="s">
        <v>710</v>
      </c>
      <c r="M50" s="24" t="s">
        <v>72</v>
      </c>
      <c r="O50" s="24" t="s">
        <v>93</v>
      </c>
    </row>
    <row r="51" spans="1:19" x14ac:dyDescent="0.45">
      <c r="A51" s="21" t="s">
        <v>78</v>
      </c>
      <c r="D51" s="24" t="s">
        <v>394</v>
      </c>
      <c r="F51" s="24" t="s">
        <v>78</v>
      </c>
      <c r="G51" s="24" t="s">
        <v>63</v>
      </c>
      <c r="H51" s="24" t="s">
        <v>711</v>
      </c>
      <c r="I51" s="24" t="s">
        <v>711</v>
      </c>
    </row>
    <row r="52" spans="1:19" x14ac:dyDescent="0.45">
      <c r="A52" s="21" t="s">
        <v>52</v>
      </c>
      <c r="B52" s="24" t="s">
        <v>53</v>
      </c>
      <c r="F52" s="24" t="s">
        <v>12</v>
      </c>
      <c r="H52" s="24" t="s">
        <v>52</v>
      </c>
      <c r="I52" s="24" t="s">
        <v>696</v>
      </c>
      <c r="M52" s="24" t="s">
        <v>95</v>
      </c>
    </row>
    <row r="53" spans="1:19" x14ac:dyDescent="0.45">
      <c r="A53" s="21" t="s">
        <v>36</v>
      </c>
      <c r="D53" s="24" t="s">
        <v>97</v>
      </c>
      <c r="F53" s="24" t="s">
        <v>36</v>
      </c>
      <c r="G53" s="24" t="s">
        <v>57</v>
      </c>
      <c r="H53" s="24" t="s">
        <v>96</v>
      </c>
      <c r="O53" s="24" t="s">
        <v>577</v>
      </c>
    </row>
    <row r="54" spans="1:19" x14ac:dyDescent="0.45">
      <c r="A54" s="21" t="s">
        <v>84</v>
      </c>
      <c r="B54" s="24" t="s">
        <v>584</v>
      </c>
      <c r="D54" s="24" t="s">
        <v>16</v>
      </c>
      <c r="F54" s="24" t="s">
        <v>583</v>
      </c>
      <c r="H54" s="24" t="s">
        <v>84</v>
      </c>
      <c r="I54" s="24" t="s">
        <v>84</v>
      </c>
    </row>
    <row r="55" spans="1:19" x14ac:dyDescent="0.45">
      <c r="A55" s="21" t="s">
        <v>12</v>
      </c>
      <c r="B55" s="24" t="s">
        <v>53</v>
      </c>
      <c r="F55" s="24" t="s">
        <v>12</v>
      </c>
      <c r="H55" s="24" t="s">
        <v>52</v>
      </c>
      <c r="K55" s="24" t="s">
        <v>10</v>
      </c>
      <c r="Q55" s="24" t="s">
        <v>454</v>
      </c>
    </row>
    <row r="56" spans="1:19" x14ac:dyDescent="0.45">
      <c r="A56" s="21" t="s">
        <v>595</v>
      </c>
      <c r="B56" s="24" t="s">
        <v>595</v>
      </c>
      <c r="C56" s="24" t="s">
        <v>98</v>
      </c>
      <c r="F56" s="24" t="s">
        <v>56</v>
      </c>
      <c r="H56" s="24" t="s">
        <v>710</v>
      </c>
      <c r="M56" s="24" t="s">
        <v>712</v>
      </c>
    </row>
    <row r="57" spans="1:19" x14ac:dyDescent="0.45">
      <c r="A57" s="21" t="s">
        <v>49</v>
      </c>
      <c r="F57" s="24" t="s">
        <v>49</v>
      </c>
      <c r="H57" s="24" t="s">
        <v>91</v>
      </c>
      <c r="K57" s="24" t="s">
        <v>77</v>
      </c>
      <c r="M57" s="24" t="s">
        <v>41</v>
      </c>
      <c r="O57" s="24" t="s">
        <v>99</v>
      </c>
    </row>
    <row r="58" spans="1:19" x14ac:dyDescent="0.45">
      <c r="A58" s="21" t="s">
        <v>60</v>
      </c>
      <c r="F58" s="24" t="s">
        <v>60</v>
      </c>
      <c r="G58" s="24" t="s">
        <v>55</v>
      </c>
      <c r="K58" s="24" t="s">
        <v>76</v>
      </c>
      <c r="O58" s="24" t="s">
        <v>17</v>
      </c>
      <c r="Q58" s="24" t="s">
        <v>607</v>
      </c>
    </row>
    <row r="59" spans="1:19" x14ac:dyDescent="0.45">
      <c r="A59" s="21" t="s">
        <v>47</v>
      </c>
      <c r="D59" s="24" t="s">
        <v>100</v>
      </c>
      <c r="F59" s="24" t="s">
        <v>48</v>
      </c>
      <c r="H59" s="24" t="s">
        <v>696</v>
      </c>
      <c r="K59" s="24" t="s">
        <v>613</v>
      </c>
      <c r="M59" s="24" t="s">
        <v>47</v>
      </c>
    </row>
    <row r="60" spans="1:19" x14ac:dyDescent="0.45">
      <c r="A60" s="21" t="s">
        <v>332</v>
      </c>
      <c r="D60" s="24" t="s">
        <v>94</v>
      </c>
      <c r="F60" s="24" t="s">
        <v>55</v>
      </c>
      <c r="H60" s="24" t="s">
        <v>332</v>
      </c>
      <c r="K60" s="24" t="s">
        <v>76</v>
      </c>
      <c r="M60" s="24" t="s">
        <v>37</v>
      </c>
    </row>
    <row r="61" spans="1:19" x14ac:dyDescent="0.45">
      <c r="A61" s="21" t="s">
        <v>234</v>
      </c>
      <c r="B61" s="24" t="s">
        <v>40</v>
      </c>
      <c r="D61" s="24" t="s">
        <v>285</v>
      </c>
      <c r="H61" s="24" t="s">
        <v>701</v>
      </c>
      <c r="M61" s="24" t="s">
        <v>234</v>
      </c>
      <c r="N61" s="24" t="s">
        <v>428</v>
      </c>
    </row>
    <row r="62" spans="1:19" x14ac:dyDescent="0.45">
      <c r="A62" s="21" t="s">
        <v>52</v>
      </c>
      <c r="F62" s="24" t="s">
        <v>58</v>
      </c>
      <c r="H62" s="24" t="s">
        <v>52</v>
      </c>
      <c r="I62" s="24" t="s">
        <v>52</v>
      </c>
      <c r="M62" s="24" t="s">
        <v>402</v>
      </c>
      <c r="O62" s="24" t="s">
        <v>630</v>
      </c>
    </row>
    <row r="63" spans="1:19" x14ac:dyDescent="0.45">
      <c r="A63" s="21" t="s">
        <v>49</v>
      </c>
      <c r="F63" s="24" t="s">
        <v>49</v>
      </c>
      <c r="H63" s="24" t="s">
        <v>469</v>
      </c>
      <c r="M63" s="24" t="s">
        <v>637</v>
      </c>
      <c r="N63" s="24" t="s">
        <v>314</v>
      </c>
      <c r="S63" s="24" t="s">
        <v>713</v>
      </c>
    </row>
    <row r="64" spans="1:19" x14ac:dyDescent="0.45">
      <c r="A64" s="21" t="s">
        <v>89</v>
      </c>
      <c r="B64" s="24" t="s">
        <v>89</v>
      </c>
      <c r="F64" s="24" t="s">
        <v>74</v>
      </c>
      <c r="G64" s="24" t="s">
        <v>21</v>
      </c>
      <c r="H64" s="24" t="s">
        <v>71</v>
      </c>
      <c r="K64" s="24" t="s">
        <v>699</v>
      </c>
    </row>
    <row r="65" spans="1:30" x14ac:dyDescent="0.45">
      <c r="A65" s="21" t="s">
        <v>101</v>
      </c>
      <c r="B65" s="24" t="s">
        <v>102</v>
      </c>
      <c r="F65" s="24" t="s">
        <v>38</v>
      </c>
      <c r="H65" s="24" t="s">
        <v>701</v>
      </c>
      <c r="I65" s="24" t="s">
        <v>441</v>
      </c>
      <c r="K65" s="24" t="s">
        <v>101</v>
      </c>
    </row>
    <row r="66" spans="1:30" x14ac:dyDescent="0.45">
      <c r="A66" s="21" t="s">
        <v>332</v>
      </c>
      <c r="B66" s="24" t="s">
        <v>654</v>
      </c>
      <c r="F66" s="24" t="s">
        <v>49</v>
      </c>
      <c r="H66" s="24" t="s">
        <v>332</v>
      </c>
      <c r="I66" s="24" t="s">
        <v>468</v>
      </c>
      <c r="Q66" s="24" t="s">
        <v>655</v>
      </c>
    </row>
    <row r="67" spans="1:30" x14ac:dyDescent="0.45">
      <c r="A67" s="21" t="s">
        <v>25</v>
      </c>
      <c r="D67" s="24" t="s">
        <v>661</v>
      </c>
      <c r="F67" s="24" t="s">
        <v>25</v>
      </c>
      <c r="G67" s="24" t="s">
        <v>12</v>
      </c>
      <c r="K67" s="24" t="s">
        <v>662</v>
      </c>
      <c r="M67" s="24" t="s">
        <v>95</v>
      </c>
    </row>
    <row r="68" spans="1:30" x14ac:dyDescent="0.45">
      <c r="A68" s="21" t="s">
        <v>15</v>
      </c>
      <c r="D68" s="24" t="s">
        <v>499</v>
      </c>
      <c r="F68" s="24" t="s">
        <v>43</v>
      </c>
      <c r="G68" s="24" t="s">
        <v>21</v>
      </c>
      <c r="H68" s="24" t="s">
        <v>15</v>
      </c>
      <c r="K68" s="24" t="s">
        <v>714</v>
      </c>
    </row>
    <row r="69" spans="1:30" x14ac:dyDescent="0.45">
      <c r="A69" s="21" t="s">
        <v>45</v>
      </c>
      <c r="F69" s="24" t="s">
        <v>45</v>
      </c>
      <c r="H69" s="24" t="s">
        <v>24</v>
      </c>
      <c r="I69" s="24" t="s">
        <v>11</v>
      </c>
      <c r="M69" s="24" t="s">
        <v>13</v>
      </c>
      <c r="S69" s="24" t="s">
        <v>104</v>
      </c>
    </row>
    <row r="70" spans="1:30" x14ac:dyDescent="0.45">
      <c r="A70" s="21" t="s">
        <v>15</v>
      </c>
      <c r="F70" s="24" t="s">
        <v>49</v>
      </c>
      <c r="G70" s="24" t="s">
        <v>43</v>
      </c>
      <c r="H70" s="24" t="s">
        <v>15</v>
      </c>
      <c r="I70" s="24" t="s">
        <v>15</v>
      </c>
      <c r="K70" s="24" t="s">
        <v>77</v>
      </c>
    </row>
    <row r="71" spans="1:30" x14ac:dyDescent="0.45">
      <c r="A71" s="21" t="s">
        <v>13</v>
      </c>
      <c r="B71" s="24" t="s">
        <v>237</v>
      </c>
      <c r="D71" s="24" t="s">
        <v>499</v>
      </c>
      <c r="F71" s="24" t="s">
        <v>43</v>
      </c>
      <c r="G71" s="24" t="s">
        <v>45</v>
      </c>
      <c r="M71" s="24" t="s">
        <v>13</v>
      </c>
    </row>
    <row r="72" spans="1:30" x14ac:dyDescent="0.45">
      <c r="A72" s="21">
        <f>SUBTOTAL(103,tPositionMatrix[MVP])</f>
        <v>70</v>
      </c>
      <c r="B72" s="21">
        <f>SUBTOTAL(103,tPositionMatrix[D])</f>
        <v>22</v>
      </c>
      <c r="C72" s="21">
        <f>SUBTOTAL(103,tPositionMatrix[D2])</f>
        <v>1</v>
      </c>
      <c r="D72" s="21">
        <f>SUBTOTAL(103,tPositionMatrix[K])</f>
        <v>29</v>
      </c>
      <c r="E72" s="21">
        <f>SUBTOTAL(103,tPositionMatrix[K2])</f>
        <v>2</v>
      </c>
      <c r="F72" s="21">
        <f>SUBTOTAL(103,tPositionMatrix[QB])</f>
        <v>61</v>
      </c>
      <c r="G72" s="21">
        <f>SUBTOTAL(103,tPositionMatrix[QB2])</f>
        <v>25</v>
      </c>
      <c r="H72" s="21">
        <f>SUBTOTAL(103,tPositionMatrix[RB])</f>
        <v>55</v>
      </c>
      <c r="I72" s="21">
        <f>SUBTOTAL(103,tPositionMatrix[RB2])</f>
        <v>27</v>
      </c>
      <c r="J72" s="21">
        <f>SUBTOTAL(103,tPositionMatrix[RB3])</f>
        <v>1</v>
      </c>
      <c r="K72" s="21">
        <f>SUBTOTAL(103,tPositionMatrix[TE])</f>
        <v>27</v>
      </c>
      <c r="L72" s="21">
        <f>SUBTOTAL(103,tPositionMatrix[TE2])</f>
        <v>0</v>
      </c>
      <c r="M72" s="21">
        <f>SUBTOTAL(103,tPositionMatrix[WR1])</f>
        <v>41</v>
      </c>
      <c r="N72" s="21">
        <f>SUBTOTAL(103,tPositionMatrix[WR12])</f>
        <v>7</v>
      </c>
      <c r="O72" s="21">
        <f>SUBTOTAL(103,tPositionMatrix[WR2])</f>
        <v>27</v>
      </c>
      <c r="P72" s="21">
        <f>SUBTOTAL(103,tPositionMatrix[WR22])</f>
        <v>1</v>
      </c>
      <c r="Q72" s="21">
        <f>SUBTOTAL(103,tPositionMatrix[WR3])</f>
        <v>14</v>
      </c>
      <c r="R72" s="21">
        <f>SUBTOTAL(103,tPositionMatrix[WR32])</f>
        <v>2</v>
      </c>
      <c r="S72" s="21">
        <f>SUBTOTAL(103,tPositionMatrix[WR4])</f>
        <v>8</v>
      </c>
    </row>
    <row r="77" spans="1:30" s="32" customFormat="1" x14ac:dyDescent="0.4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 spans="1:30" s="32" customFormat="1" x14ac:dyDescent="0.4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</sheetData>
  <sortState xmlns:xlrd2="http://schemas.microsoft.com/office/spreadsheetml/2017/richdata2" columnSort="1" ref="G47:J47">
    <sortCondition ref="G47:J47"/>
  </sortState>
  <conditionalFormatting sqref="A57">
    <cfRule type="containsText" dxfId="3" priority="1" operator="containsText" text=":DEN">
      <formula>NOT(ISERROR(SEARCH(":DEN",A57)))</formula>
    </cfRule>
    <cfRule type="containsText" dxfId="2" priority="2" operator="containsText" text=":CIN">
      <formula>NOT(ISERROR(SEARCH(":CIN",A57)))</formula>
    </cfRule>
  </conditionalFormatting>
  <conditionalFormatting sqref="F57 H57 K57 M57 O57">
    <cfRule type="containsText" dxfId="1" priority="3" operator="containsText" text=":DEN">
      <formula>NOT(ISERROR(SEARCH(":DEN",F57)))</formula>
    </cfRule>
    <cfRule type="containsText" dxfId="0" priority="4" operator="containsText" text=":CIN">
      <formula>NOT(ISERROR(SEARCH(":CIN",F57)))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Sheet2</vt:lpstr>
      <vt:lpstr>Wins by Key</vt:lpstr>
      <vt:lpstr>Wins by Postion</vt:lpstr>
      <vt:lpstr>MVP by Key</vt:lpstr>
      <vt:lpstr>MVP by Position</vt:lpstr>
      <vt:lpstr>MVP by Player</vt:lpstr>
      <vt:lpstr>Team Count</vt:lpstr>
      <vt:lpstr>Retro</vt:lpstr>
      <vt:lpstr>Position Matrix</vt:lpstr>
      <vt:lpstr>WinsByPosition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Mark Meinhardt</cp:lastModifiedBy>
  <dcterms:created xsi:type="dcterms:W3CDTF">2024-09-06T04:42:29Z</dcterms:created>
  <dcterms:modified xsi:type="dcterms:W3CDTF">2025-11-12T04:27:31Z</dcterms:modified>
</cp:coreProperties>
</file>