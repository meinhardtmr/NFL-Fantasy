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0115" windowHeight="7755" activeTab="1"/>
  </bookViews>
  <sheets>
    <sheet name="DAL - Projections" sheetId="3" r:id="rId1"/>
    <sheet name="PHI - Projections" sheetId="6" r:id="rId2"/>
    <sheet name="Point Matrix" sheetId="1" r:id="rId3"/>
    <sheet name="Headers" sheetId="2" r:id="rId4"/>
  </sheets>
  <calcPr calcId="145621"/>
</workbook>
</file>

<file path=xl/calcChain.xml><?xml version="1.0" encoding="utf-8"?>
<calcChain xmlns="http://schemas.openxmlformats.org/spreadsheetml/2006/main">
  <c r="T5" i="6" l="1"/>
  <c r="T2" i="6"/>
  <c r="P13" i="6"/>
  <c r="P12" i="6"/>
  <c r="P11" i="6"/>
  <c r="P10" i="6"/>
  <c r="P9" i="6"/>
  <c r="P8" i="6"/>
  <c r="M13" i="6"/>
  <c r="M12" i="6"/>
  <c r="M11" i="6"/>
  <c r="M10" i="6"/>
  <c r="M9" i="6"/>
  <c r="M8" i="6"/>
  <c r="J13" i="6"/>
  <c r="J12" i="6"/>
  <c r="J11" i="6"/>
  <c r="J10" i="6"/>
  <c r="J9" i="6"/>
  <c r="J8" i="6"/>
  <c r="U8" i="6" s="1"/>
  <c r="U10" i="3"/>
  <c r="T8" i="3"/>
  <c r="T5" i="3"/>
  <c r="T2" i="3"/>
  <c r="P9" i="3"/>
  <c r="P10" i="3"/>
  <c r="P11" i="3"/>
  <c r="P12" i="3"/>
  <c r="P13" i="3"/>
  <c r="M9" i="3"/>
  <c r="U9" i="3" s="1"/>
  <c r="M10" i="3"/>
  <c r="M11" i="3"/>
  <c r="M12" i="3"/>
  <c r="M13" i="3"/>
  <c r="J9" i="3"/>
  <c r="J10" i="3"/>
  <c r="J11" i="3"/>
  <c r="J12" i="3"/>
  <c r="U12" i="3" s="1"/>
  <c r="J13" i="3"/>
  <c r="P8" i="3"/>
  <c r="M8" i="3"/>
  <c r="J8" i="3"/>
  <c r="U13" i="6"/>
  <c r="T13" i="6"/>
  <c r="U12" i="6"/>
  <c r="T12" i="6"/>
  <c r="U11" i="6"/>
  <c r="T11" i="6"/>
  <c r="T10" i="6"/>
  <c r="U9" i="6"/>
  <c r="T9" i="6"/>
  <c r="T8" i="6"/>
  <c r="U5" i="6"/>
  <c r="U5" i="3"/>
  <c r="U13" i="3"/>
  <c r="U11" i="3"/>
  <c r="T13" i="3"/>
  <c r="T12" i="3"/>
  <c r="T11" i="3"/>
  <c r="T10" i="3"/>
  <c r="T9" i="3"/>
  <c r="U10" i="6" l="1"/>
  <c r="U8" i="3"/>
  <c r="T14" i="3"/>
  <c r="L2" i="6" s="1"/>
  <c r="H2" i="6" l="1"/>
  <c r="G2" i="6"/>
  <c r="T14" i="6" s="1"/>
  <c r="K2" i="6"/>
  <c r="J2" i="6"/>
  <c r="I2" i="6"/>
  <c r="I2" i="3" l="1"/>
  <c r="H2" i="3"/>
  <c r="K2" i="3"/>
  <c r="G2" i="3"/>
  <c r="J2" i="3"/>
  <c r="L2" i="3"/>
  <c r="U2" i="3" l="1"/>
  <c r="U14" i="3" s="1"/>
  <c r="U2" i="6" s="1"/>
  <c r="U14" i="6" s="1"/>
</calcChain>
</file>

<file path=xl/sharedStrings.xml><?xml version="1.0" encoding="utf-8"?>
<sst xmlns="http://schemas.openxmlformats.org/spreadsheetml/2006/main" count="231" uniqueCount="101">
  <si>
    <t>RuY</t>
  </si>
  <si>
    <t>RuTD</t>
  </si>
  <si>
    <t>S</t>
  </si>
  <si>
    <t>ReY</t>
  </si>
  <si>
    <t>I</t>
  </si>
  <si>
    <t>ReTD</t>
  </si>
  <si>
    <t>FR</t>
  </si>
  <si>
    <t>Re</t>
  </si>
  <si>
    <t>DE/XPR</t>
  </si>
  <si>
    <t>PaY</t>
  </si>
  <si>
    <t>DE/SF</t>
  </si>
  <si>
    <t>PaTD</t>
  </si>
  <si>
    <t>DE/RTD</t>
  </si>
  <si>
    <t>PR/TD</t>
  </si>
  <si>
    <t>DE/PA35+</t>
  </si>
  <si>
    <t>KR/TD</t>
  </si>
  <si>
    <t>DE/PA28-34</t>
  </si>
  <si>
    <t>DE/PA14-20</t>
  </si>
  <si>
    <t>FU/TD</t>
  </si>
  <si>
    <t>DE/PA7-13</t>
  </si>
  <si>
    <t>FU/L</t>
  </si>
  <si>
    <t>DE/PA1-6</t>
  </si>
  <si>
    <t>300+ PaY Gm</t>
  </si>
  <si>
    <t>DE/PA0</t>
  </si>
  <si>
    <t>2PC/S</t>
  </si>
  <si>
    <t>DE/FRTD</t>
  </si>
  <si>
    <t>2PC/P</t>
  </si>
  <si>
    <t>DE/BRTD</t>
  </si>
  <si>
    <t>100+ RuY GM</t>
  </si>
  <si>
    <t>DE/B</t>
  </si>
  <si>
    <t>100+ ReY GM</t>
  </si>
  <si>
    <t>FGo50</t>
  </si>
  <si>
    <t>Fgu20</t>
  </si>
  <si>
    <t>FGu30</t>
  </si>
  <si>
    <t>Fgu40</t>
  </si>
  <si>
    <t>Fgu50</t>
  </si>
  <si>
    <t>DE/I</t>
  </si>
  <si>
    <t>XP</t>
  </si>
  <si>
    <t>K</t>
  </si>
  <si>
    <t>FLEX</t>
  </si>
  <si>
    <t>D</t>
  </si>
  <si>
    <t>RB:PHI</t>
  </si>
  <si>
    <t>QB:PHI</t>
  </si>
  <si>
    <t>WR1:DAL</t>
  </si>
  <si>
    <t>WR1:PHI</t>
  </si>
  <si>
    <t>QB:DAL</t>
  </si>
  <si>
    <t>WR2:PHI</t>
  </si>
  <si>
    <t>WR2:DAL</t>
  </si>
  <si>
    <t>D:PHI</t>
  </si>
  <si>
    <t>TE:PHI</t>
  </si>
  <si>
    <t>RB:DAL</t>
  </si>
  <si>
    <t>K:DAL</t>
  </si>
  <si>
    <t>K:PHI</t>
  </si>
  <si>
    <t>D:DAL</t>
  </si>
  <si>
    <t>WR3:DAL</t>
  </si>
  <si>
    <t>TE:DAL</t>
  </si>
  <si>
    <t>WR3:PHI</t>
  </si>
  <si>
    <t>Game Points</t>
  </si>
  <si>
    <t>Fantasy Points</t>
  </si>
  <si>
    <t>Totals</t>
  </si>
  <si>
    <t>TOTALS</t>
  </si>
  <si>
    <t>100+ Receiving Yds</t>
  </si>
  <si>
    <t>100+ Rushing Yards</t>
  </si>
  <si>
    <t>Two-point Conversion Passes</t>
  </si>
  <si>
    <t>Two-point Conversion Scored</t>
  </si>
  <si>
    <t>300+ Passing Yards</t>
  </si>
  <si>
    <t>Blocked Punts/Kicks</t>
  </si>
  <si>
    <t>Blocked Kick Return TDs</t>
  </si>
  <si>
    <t>Fumbl Return TDs</t>
  </si>
  <si>
    <t>0 Points Allowed</t>
  </si>
  <si>
    <t>1-6 Points Allowed</t>
  </si>
  <si>
    <t>14-20 Points Allowed</t>
  </si>
  <si>
    <t>28-34 Points Allowed</t>
  </si>
  <si>
    <t>35+ Points Allowed</t>
  </si>
  <si>
    <t>7-13 Points Allowed</t>
  </si>
  <si>
    <t>Retrun TDs</t>
  </si>
  <si>
    <t>Safeties</t>
  </si>
  <si>
    <t>Extra Point Return</t>
  </si>
  <si>
    <t>50+ Yards</t>
  </si>
  <si>
    <t>0-19 Yards</t>
  </si>
  <si>
    <t>20-29 Yards</t>
  </si>
  <si>
    <t>30-39 Yards</t>
  </si>
  <si>
    <t>40-49 Yards</t>
  </si>
  <si>
    <t>Fumbles Recovered</t>
  </si>
  <si>
    <t>Fumbles Lost</t>
  </si>
  <si>
    <t>Own Fumbles Recovered TDs</t>
  </si>
  <si>
    <t>Interceptions</t>
  </si>
  <si>
    <t>Kickoff Return TDs</t>
  </si>
  <si>
    <t>Punt Retrun TDs</t>
  </si>
  <si>
    <t>Passing TDs</t>
  </si>
  <si>
    <t>Passing Yards</t>
  </si>
  <si>
    <t>Receptions</t>
  </si>
  <si>
    <t>Receiving TDs</t>
  </si>
  <si>
    <t>Receiving Yards</t>
  </si>
  <si>
    <t>Rushing TDs</t>
  </si>
  <si>
    <t>Rushing Yds</t>
  </si>
  <si>
    <t>Sacks</t>
  </si>
  <si>
    <t>Extra-point Conversions</t>
  </si>
  <si>
    <t>FGu40</t>
  </si>
  <si>
    <t>FGu50</t>
  </si>
  <si>
    <t>FGu20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</si>
</sst>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/>
    <xf numFmtId="0" fontId="1" fillId="0" borderId="0" xfId="0" applyFont="1"/>
    <xf numFmtId="0" fontId="0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9" bestFit="1" customWidth="1"/>
    <col min="2" max="2" width="6.140625" bestFit="1" customWidth="1"/>
    <col min="3" max="3" width="7.5703125" bestFit="1" customWidth="1"/>
    <col min="4" max="4" width="8.5703125" bestFit="1" customWidth="1"/>
    <col min="5" max="5" width="8.7109375" bestFit="1" customWidth="1"/>
    <col min="6" max="7" width="7.5703125" bestFit="1" customWidth="1"/>
    <col min="8" max="8" width="9.28515625" bestFit="1" customWidth="1"/>
    <col min="9" max="9" width="10.28515625" bestFit="1" customWidth="1"/>
    <col min="10" max="10" width="12.28515625" bestFit="1" customWidth="1"/>
    <col min="11" max="11" width="11.28515625" bestFit="1" customWidth="1"/>
    <col min="12" max="12" width="9.5703125" bestFit="1" customWidth="1"/>
    <col min="13" max="13" width="12.5703125" bestFit="1" customWidth="1"/>
    <col min="14" max="14" width="4.7109375" bestFit="1" customWidth="1"/>
    <col min="15" max="15" width="4.42578125" bestFit="1" customWidth="1"/>
    <col min="16" max="16" width="12.5703125" bestFit="1" customWidth="1"/>
    <col min="17" max="17" width="6.28515625" bestFit="1" customWidth="1"/>
    <col min="18" max="18" width="3.140625" bestFit="1" customWidth="1"/>
    <col min="19" max="19" width="5.140625" bestFit="1" customWidth="1"/>
    <col min="20" max="20" width="12.28515625" bestFit="1" customWidth="1"/>
    <col min="21" max="21" width="13.85546875" bestFit="1" customWidth="1"/>
  </cols>
  <sheetData>
    <row r="1" spans="1:21" x14ac:dyDescent="0.25">
      <c r="A1" s="3" t="s">
        <v>40</v>
      </c>
      <c r="B1" s="3" t="s">
        <v>10</v>
      </c>
      <c r="C1" s="3" t="s">
        <v>12</v>
      </c>
      <c r="D1" s="3" t="s">
        <v>25</v>
      </c>
      <c r="E1" s="3" t="s">
        <v>27</v>
      </c>
      <c r="F1" s="3" t="s">
        <v>8</v>
      </c>
      <c r="G1" s="3" t="s">
        <v>23</v>
      </c>
      <c r="H1" s="3" t="s">
        <v>21</v>
      </c>
      <c r="I1" s="3" t="s">
        <v>19</v>
      </c>
      <c r="J1" s="3" t="s">
        <v>17</v>
      </c>
      <c r="K1" s="3" t="s">
        <v>16</v>
      </c>
      <c r="L1" s="3" t="s">
        <v>14</v>
      </c>
      <c r="M1" s="3" t="s">
        <v>6</v>
      </c>
      <c r="N1" s="3" t="s">
        <v>36</v>
      </c>
      <c r="O1" s="3" t="s">
        <v>2</v>
      </c>
      <c r="P1" s="3"/>
      <c r="Q1" s="3"/>
      <c r="R1" s="3"/>
      <c r="S1" s="3"/>
      <c r="T1" s="3" t="s">
        <v>57</v>
      </c>
      <c r="U1" s="3" t="s">
        <v>58</v>
      </c>
    </row>
    <row r="2" spans="1:21" x14ac:dyDescent="0.25">
      <c r="A2" s="2" t="s">
        <v>53</v>
      </c>
      <c r="G2" s="5" t="str">
        <f>IF('PHI - Projections'!$T$14=0,1,"0")</f>
        <v>0</v>
      </c>
      <c r="H2" s="5" t="str">
        <f>IF(AND('PHI - Projections'!$T$14&gt;0,'PHI - Projections'!$T$14&lt;7),1,"0")</f>
        <v>0</v>
      </c>
      <c r="I2" s="5" t="str">
        <f>IF(AND('PHI - Projections'!$T$14&gt;6,'PHI - Projections'!$T$14&lt;14),1,"0")</f>
        <v>0</v>
      </c>
      <c r="J2" s="5">
        <f>IF(AND('PHI - Projections'!$T$14&gt;13,'PHI - Projections'!$T$14&lt;21),1,"0")</f>
        <v>1</v>
      </c>
      <c r="K2" s="5" t="str">
        <f>IF(AND('PHI - Projections'!$T$14&gt;27,'PHI - Projections'!$T$14&lt;35),1,"0")</f>
        <v>0</v>
      </c>
      <c r="L2" s="5" t="str">
        <f>IF(AND('PHI - Projections'!$T$14&gt;35),1,"0")</f>
        <v>0</v>
      </c>
      <c r="N2">
        <v>1</v>
      </c>
      <c r="O2">
        <v>3</v>
      </c>
      <c r="T2" s="2">
        <f>B2*INDEX('Point Matrix'!$B:$B,MATCH('DAL - Projections'!$B$1,'Point Matrix'!$A:$A,0),1)
+ C2*INDEX('Point Matrix'!$B:$B,MATCH('DAL - Projections'!$C$1,'Point Matrix'!$A:$A,0),1)
+ D2*INDEX('Point Matrix'!$B:$B,MATCH('DAL - Projections'!$D$1,'Point Matrix'!$A:$A,0),1)
+ E2*INDEX('Point Matrix'!$B:$B,MATCH('DAL - Projections'!$E$1,'Point Matrix'!$A:$A,0),1)
+ F2*INDEX('Point Matrix'!$B:$B,MATCH('DAL - Projections'!$F$1,'Point Matrix'!$A:$A,0),1)</f>
        <v>0</v>
      </c>
      <c r="U2" s="2">
        <f>B2*INDEX('Point Matrix'!$B:$B,MATCH('DAL - Projections'!$B$1,'Point Matrix'!$A:$A,0),1)
+ C2*INDEX('Point Matrix'!$B:$B,MATCH('DAL - Projections'!$C$1,'Point Matrix'!$A:$A,0),1)
+ D2*INDEX('Point Matrix'!$B:$B,MATCH('DAL - Projections'!$D$1,'Point Matrix'!$A:$A,0),1)
+ E2*INDEX('Point Matrix'!$B:$B,MATCH('DAL - Projections'!$E$1,'Point Matrix'!$A:$A,0),1)
+ F2*INDEX('Point Matrix'!$B:$B,MATCH('DAL - Projections'!$F$1,'Point Matrix'!$A:$A,0),1)
+ G2*INDEX('Point Matrix'!$B:$B,MATCH('DAL - Projections'!$G$1,'Point Matrix'!$A:$A,0),1)
+ H2*INDEX('Point Matrix'!$B:$B,MATCH('DAL - Projections'!$H$1,'Point Matrix'!$A:$A,0),1)
+ I2*INDEX('Point Matrix'!$B:$B,MATCH('DAL - Projections'!$I$1,'Point Matrix'!$A:$A,0),1)
+ J2*INDEX('Point Matrix'!$B:$B,MATCH('DAL - Projections'!$J$1,'Point Matrix'!$A:$A,0),1)
+ K2*INDEX('Point Matrix'!$B:$B,MATCH('DAL - Projections'!$K$1,'Point Matrix'!$A:$A,0),1)
+ L2*INDEX('Point Matrix'!$B:$B,MATCH('DAL - Projections'!$L$1,'Point Matrix'!$A:$A,0),1)
+ M2*INDEX('Point Matrix'!$B:$B,MATCH('DAL - Projections'!$M$1,'Point Matrix'!$A:$A,0),1)
+ N2*INDEX('Point Matrix'!$B:$B,MATCH('DAL - Projections'!$N$1,'Point Matrix'!$A:$A,0),1)
+ O2*INDEX('Point Matrix'!$B:$B,MATCH('DAL - Projections'!$O$1,'Point Matrix'!$A:$A,0),1)</f>
        <v>6</v>
      </c>
    </row>
    <row r="3" spans="1:21" s="2" customFormat="1" x14ac:dyDescent="0.25"/>
    <row r="4" spans="1:21" x14ac:dyDescent="0.25">
      <c r="A4" s="3" t="s">
        <v>38</v>
      </c>
      <c r="B4" s="3" t="s">
        <v>100</v>
      </c>
      <c r="C4" s="3" t="s">
        <v>33</v>
      </c>
      <c r="D4" s="3" t="s">
        <v>98</v>
      </c>
      <c r="E4" s="3" t="s">
        <v>99</v>
      </c>
      <c r="F4" s="3" t="s">
        <v>31</v>
      </c>
      <c r="G4" s="3" t="s">
        <v>37</v>
      </c>
      <c r="H4" s="3" t="s">
        <v>24</v>
      </c>
      <c r="I4" s="3" t="s">
        <v>26</v>
      </c>
      <c r="J4" s="3" t="s">
        <v>20</v>
      </c>
    </row>
    <row r="5" spans="1:21" x14ac:dyDescent="0.25">
      <c r="A5" s="2" t="s">
        <v>51</v>
      </c>
      <c r="C5" s="2"/>
      <c r="D5" s="2"/>
      <c r="E5" s="2"/>
      <c r="F5" s="2">
        <v>3</v>
      </c>
      <c r="G5" s="2">
        <v>2</v>
      </c>
      <c r="H5" s="2"/>
      <c r="I5" s="2"/>
      <c r="T5" s="2">
        <f>B5*INDEX('Point Matrix'!$C:$C,MATCH('DAL - Projections'!$B$4,'Point Matrix'!$A:$A,0),1)
+ C5*INDEX('Point Matrix'!$C:$C,MATCH('DAL - Projections'!$C$4,'Point Matrix'!$A:$A,0),1)
+ D5*INDEX('Point Matrix'!$C:$C,MATCH('DAL - Projections'!$D$4,'Point Matrix'!$A:$A,0),1)
+ E5*INDEX('Point Matrix'!$C:$C,MATCH('DAL - Projections'!$E$4,'Point Matrix'!$A:$A,0),1)
+ F5*INDEX('Point Matrix'!$C:$C,MATCH('DAL - Projections'!$F$4,'Point Matrix'!$A:$A,0),1)
+ G5*INDEX('Point Matrix'!$C:$C,MATCH('DAL - Projections'!$G$4,'Point Matrix'!$A:$A,0),1)</f>
        <v>11</v>
      </c>
      <c r="U5" s="2">
        <f>B5*INDEX('Point Matrix'!$B:$B,MATCH('DAL - Projections'!$B$4,'Point Matrix'!$A:$A,0),1)
+ C5*INDEX('Point Matrix'!$B:$B,MATCH('DAL - Projections'!$C$4,'Point Matrix'!$A:$A,0),1)
+ D5*INDEX('Point Matrix'!$B:$B,MATCH('DAL - Projections'!$D$4,'Point Matrix'!$A:$A,0),1)
+ E5*INDEX('Point Matrix'!$B:$B,MATCH('DAL - Projections'!$E$4,'Point Matrix'!$A:$A,0),1)
+ F5*INDEX('Point Matrix'!$B:$B,MATCH('DAL - Projections'!$F$4,'Point Matrix'!$A:$A,0),1)
+ G5*INDEX('Point Matrix'!$B:$B,MATCH('DAL - Projections'!$G$4,'Point Matrix'!$A:$A,0),1)
+ H5*INDEX('Point Matrix'!$B:$B,MATCH('DAL - Projections'!$H$4,'Point Matrix'!$A:$A,0),1)
+ I5*INDEX('Point Matrix'!$B:$B,MATCH('DAL - Projections'!$I$4,'Point Matrix'!$A:$A,0),1)
+ J5*INDEX('Point Matrix'!$B:$B,MATCH('DAL - Projections'!$J$4,'Point Matrix'!$A:$A,0),1)</f>
        <v>17</v>
      </c>
    </row>
    <row r="6" spans="1:21" s="2" customFormat="1" x14ac:dyDescent="0.25"/>
    <row r="7" spans="1:21" x14ac:dyDescent="0.25">
      <c r="A7" s="3" t="s">
        <v>39</v>
      </c>
      <c r="B7" s="3" t="s">
        <v>1</v>
      </c>
      <c r="C7" s="3" t="s">
        <v>5</v>
      </c>
      <c r="D7" s="3" t="s">
        <v>18</v>
      </c>
      <c r="E7" s="3" t="s">
        <v>15</v>
      </c>
      <c r="F7" s="3" t="s">
        <v>13</v>
      </c>
      <c r="G7" s="3" t="s">
        <v>24</v>
      </c>
      <c r="H7" s="3" t="s">
        <v>9</v>
      </c>
      <c r="I7" s="3" t="s">
        <v>11</v>
      </c>
      <c r="J7" s="3" t="s">
        <v>22</v>
      </c>
      <c r="K7" s="3" t="s">
        <v>4</v>
      </c>
      <c r="L7" s="3" t="s">
        <v>0</v>
      </c>
      <c r="M7" s="3" t="s">
        <v>28</v>
      </c>
      <c r="N7" s="3" t="s">
        <v>7</v>
      </c>
      <c r="O7" s="3" t="s">
        <v>3</v>
      </c>
      <c r="P7" s="3" t="s">
        <v>30</v>
      </c>
      <c r="Q7" s="3" t="s">
        <v>26</v>
      </c>
      <c r="R7" s="3" t="s">
        <v>6</v>
      </c>
      <c r="S7" s="3" t="s">
        <v>20</v>
      </c>
    </row>
    <row r="8" spans="1:21" x14ac:dyDescent="0.25">
      <c r="A8" s="4" t="s">
        <v>45</v>
      </c>
      <c r="C8" s="2"/>
      <c r="D8" s="2"/>
      <c r="E8" s="2"/>
      <c r="F8" s="2"/>
      <c r="G8" s="2"/>
      <c r="H8" s="2">
        <v>325</v>
      </c>
      <c r="I8" s="2">
        <v>2</v>
      </c>
      <c r="J8" s="5">
        <f>IF(H8&gt;=300,1,0)</f>
        <v>1</v>
      </c>
      <c r="K8" s="2">
        <v>1</v>
      </c>
      <c r="L8" s="2"/>
      <c r="M8" s="5">
        <f>IF(L8&gt;=100,1,0)</f>
        <v>0</v>
      </c>
      <c r="N8" s="2"/>
      <c r="O8" s="2"/>
      <c r="P8" s="5">
        <f>IF(O8&gt;=100,1,0)</f>
        <v>0</v>
      </c>
      <c r="Q8" s="2"/>
      <c r="R8" s="2"/>
      <c r="S8" s="2"/>
      <c r="T8">
        <f>B8*INDEX('Point Matrix'!$B:$B,MATCH('DAL - Projections'!$B$7,'Point Matrix'!$A:$A,0),1)
+ C8*INDEX('Point Matrix'!$B:$B,MATCH('DAL - Projections'!$C$7,'Point Matrix'!$A:$A,0),1)
+ D8*INDEX('Point Matrix'!$B:$B,MATCH('DAL - Projections'!$D$7,'Point Matrix'!$A:$A,0),1)
+ E8*INDEX('Point Matrix'!$B:$B,MATCH('DAL - Projections'!$E$7,'Point Matrix'!$A:$A,0),1)
+ F8*INDEX('Point Matrix'!$B:$B,MATCH('DAL - Projections'!$F$7,'Point Matrix'!$A:$A,0),1)
+ G8*INDEX('Point Matrix'!$B:$B,MATCH('DAL - Projections'!$G$7,'Point Matrix'!$A:$A,0),1)</f>
        <v>0</v>
      </c>
      <c r="U8" s="2">
        <f>B8*INDEX('Point Matrix'!$B:$B,MATCH('DAL - Projections'!$B$7,'Point Matrix'!$A:$A,0),1) +
C8*INDEX('Point Matrix'!$B:$B,MATCH('DAL - Projections'!$C$7,'Point Matrix'!$A:$A,0),1) +
D8*INDEX('Point Matrix'!$B:$B,MATCH('DAL - Projections'!$D$7,'Point Matrix'!$A:$A,0),1) +
E8*INDEX('Point Matrix'!$B:$B,MATCH('DAL - Projections'!$E$7,'Point Matrix'!$A:$A,0),1) +
F8*INDEX('Point Matrix'!$B:$B,MATCH('DAL - Projections'!$F$7,'Point Matrix'!$A:$A,0),1) +
G8*INDEX('Point Matrix'!$B:$B,MATCH('DAL - Projections'!$G$7,'Point Matrix'!$A:$A,0),1) +
H8*INDEX('Point Matrix'!$B:$B,MATCH('DAL - Projections'!$H$7,'Point Matrix'!$A:$A,0),1) +
I8*INDEX('Point Matrix'!$B:$B,MATCH('DAL - Projections'!$I$7,'Point Matrix'!$A:$A,0),1)  +
J8*INDEX('Point Matrix'!$B:$B,MATCH('DAL - Projections'!$J$7,'Point Matrix'!$A:$A,0),1) +
K8*INDEX('Point Matrix'!$B:$B,MATCH('DAL - Projections'!$K$7,'Point Matrix'!$A:$A,0),1) +
L8*INDEX('Point Matrix'!$B:$B,MATCH('DAL - Projections'!$L$7,'Point Matrix'!$A:$A,0),1) +
M8*INDEX('Point Matrix'!$B:$B,MATCH('DAL - Projections'!$M$7,'Point Matrix'!$A:$A,0),1) +
N8*INDEX('Point Matrix'!$B:$B,MATCH('DAL - Projections'!$N$7,'Point Matrix'!$A:$A,0),1) +
O8*INDEX('Point Matrix'!$B:$B,MATCH('DAL - Projections'!$O$7,'Point Matrix'!$A:$A,0),1) +
P8*INDEX('Point Matrix'!$B:$B,MATCH('DAL - Projections'!$P$7,'Point Matrix'!$A:$A,0),1) +
Q8*INDEX('Point Matrix'!$B:$B,MATCH('DAL - Projections'!$Q$7,'Point Matrix'!$A:$A,0),1) +
R8*INDEX('Point Matrix'!$B:$B,MATCH('DAL - Projections'!$R$7,'Point Matrix'!$A:$A,0),1) +
S8*INDEX('Point Matrix'!$B:$B,MATCH('DAL - Projections'!$S$7,'Point Matrix'!$A:$A,0),1)</f>
        <v>23</v>
      </c>
    </row>
    <row r="9" spans="1:21" x14ac:dyDescent="0.25">
      <c r="A9" s="4" t="s">
        <v>50</v>
      </c>
      <c r="B9" s="2"/>
      <c r="C9" s="2"/>
      <c r="D9" s="2"/>
      <c r="E9" s="2"/>
      <c r="F9" s="2"/>
      <c r="G9" s="2"/>
      <c r="H9" s="2"/>
      <c r="I9" s="2"/>
      <c r="J9" s="5">
        <f t="shared" ref="J9:J13" si="0">IF(H9&gt;=300,1,0)</f>
        <v>0</v>
      </c>
      <c r="K9" s="2"/>
      <c r="L9" s="2">
        <v>65</v>
      </c>
      <c r="M9" s="5">
        <f t="shared" ref="M9:M13" si="1">IF(L9&gt;=100,1,0)</f>
        <v>0</v>
      </c>
      <c r="N9" s="2">
        <v>1</v>
      </c>
      <c r="O9" s="2">
        <v>5</v>
      </c>
      <c r="P9" s="5">
        <f t="shared" ref="P9:P13" si="2">IF(O9&gt;=100,1,0)</f>
        <v>0</v>
      </c>
      <c r="Q9" s="2"/>
      <c r="R9" s="2"/>
      <c r="S9" s="2"/>
      <c r="T9" s="2">
        <f>B9*INDEX('Point Matrix'!$B:$B,MATCH('DAL - Projections'!$B$7,'Point Matrix'!$A:$A,0),1)
+ C9*INDEX('Point Matrix'!$B:$B,MATCH('DAL - Projections'!$C$7,'Point Matrix'!$A:$A,0),1)
+ D9*INDEX('Point Matrix'!$B:$B,MATCH('DAL - Projections'!$D$7,'Point Matrix'!$A:$A,0),1)
+ E9*INDEX('Point Matrix'!$B:$B,MATCH('DAL - Projections'!$E$7,'Point Matrix'!$A:$A,0),1)
+ F9*INDEX('Point Matrix'!$B:$B,MATCH('DAL - Projections'!$F$7,'Point Matrix'!$A:$A,0),1)
+ G9*INDEX('Point Matrix'!$B:$B,MATCH('DAL - Projections'!$G$7,'Point Matrix'!$A:$A,0),1)</f>
        <v>0</v>
      </c>
      <c r="U9" s="2">
        <f>B9*INDEX('Point Matrix'!$B:$B,MATCH('DAL - Projections'!$B$7,'Point Matrix'!$A:$A,0),1) +
C9*INDEX('Point Matrix'!$B:$B,MATCH('DAL - Projections'!$C$7,'Point Matrix'!$A:$A,0),1) +
D9*INDEX('Point Matrix'!$B:$B,MATCH('DAL - Projections'!$D$7,'Point Matrix'!$A:$A,0),1) +
E9*INDEX('Point Matrix'!$B:$B,MATCH('DAL - Projections'!$E$7,'Point Matrix'!$A:$A,0),1) +
F9*INDEX('Point Matrix'!$B:$B,MATCH('DAL - Projections'!$F$7,'Point Matrix'!$A:$A,0),1) +
G9*INDEX('Point Matrix'!$B:$B,MATCH('DAL - Projections'!$G$7,'Point Matrix'!$A:$A,0),1) +
H9*INDEX('Point Matrix'!$B:$B,MATCH('DAL - Projections'!$H$7,'Point Matrix'!$A:$A,0),1) +
I9*INDEX('Point Matrix'!$B:$B,MATCH('DAL - Projections'!$I$7,'Point Matrix'!$A:$A,0),1) +
J9*INDEX('Point Matrix'!$B:$B,MATCH('DAL - Projections'!$J$7,'Point Matrix'!$A:$A,0),1) +
K9*INDEX('Point Matrix'!$B:$B,MATCH('DAL - Projections'!$K$7,'Point Matrix'!$A:$A,0),1) +
L9*INDEX('Point Matrix'!$B:$B,MATCH('DAL - Projections'!$L$7,'Point Matrix'!$A:$A,0),1) + M9*INDEX('Point Matrix'!$B:$B,MATCH('DAL - Projections'!$M$7,'Point Matrix'!$A:$A,0),1)
+ N9*INDEX('Point Matrix'!$B:$B,MATCH('DAL - Projections'!$N$7,'Point Matrix'!$A:$A,0),1)
+ O9*INDEX('Point Matrix'!$B:$B,MATCH('DAL - Projections'!$O$7,'Point Matrix'!$A:$A,0),1)
+ P9*INDEX('Point Matrix'!$B:$B,MATCH('DAL - Projections'!$P$7,'Point Matrix'!$A:$A,0),1)
+ Q9*INDEX('Point Matrix'!$B:$B,MATCH('DAL - Projections'!$Q$7,'Point Matrix'!$A:$A,0),1)
+ R9*INDEX('Point Matrix'!$B:$B,MATCH('DAL - Projections'!$R$7,'Point Matrix'!$A:$A,0),1)
+ S9*INDEX('Point Matrix'!$B:$B,MATCH('DAL - Projections'!$S$7,'Point Matrix'!$A:$A,0),1)</f>
        <v>7.5</v>
      </c>
    </row>
    <row r="10" spans="1:21" x14ac:dyDescent="0.25">
      <c r="A10" s="4" t="s">
        <v>55</v>
      </c>
      <c r="B10" s="2"/>
      <c r="C10" s="2"/>
      <c r="D10" s="2"/>
      <c r="E10" s="2"/>
      <c r="F10" s="2"/>
      <c r="G10" s="2"/>
      <c r="H10" s="2"/>
      <c r="I10" s="2"/>
      <c r="J10" s="5">
        <f t="shared" si="0"/>
        <v>0</v>
      </c>
      <c r="K10" s="2"/>
      <c r="L10" s="2"/>
      <c r="M10" s="5">
        <f t="shared" si="1"/>
        <v>0</v>
      </c>
      <c r="N10" s="2">
        <v>2</v>
      </c>
      <c r="O10" s="2">
        <v>35</v>
      </c>
      <c r="P10" s="5">
        <f t="shared" si="2"/>
        <v>0</v>
      </c>
      <c r="Q10" s="2"/>
      <c r="R10" s="2"/>
      <c r="S10" s="2"/>
      <c r="T10" s="2">
        <f>B10*INDEX('Point Matrix'!$B:$B,MATCH('DAL - Projections'!$B$7,'Point Matrix'!$A:$A,0),1)
+ C10*INDEX('Point Matrix'!$B:$B,MATCH('DAL - Projections'!$C$7,'Point Matrix'!$A:$A,0),1)
+ D10*INDEX('Point Matrix'!$B:$B,MATCH('DAL - Projections'!$D$7,'Point Matrix'!$A:$A,0),1)
+ E10*INDEX('Point Matrix'!$B:$B,MATCH('DAL - Projections'!$E$7,'Point Matrix'!$A:$A,0),1)
+ F10*INDEX('Point Matrix'!$B:$B,MATCH('DAL - Projections'!$F$7,'Point Matrix'!$A:$A,0),1)
+ G10*INDEX('Point Matrix'!$B:$B,MATCH('DAL - Projections'!$G$7,'Point Matrix'!$A:$A,0),1)</f>
        <v>0</v>
      </c>
      <c r="U10" s="2">
        <f>B10*INDEX('Point Matrix'!$B:$B,MATCH('DAL - Projections'!$B$7,'Point Matrix'!$A:$A,0),1) +
C10*INDEX('Point Matrix'!$B:$B,MATCH('DAL - Projections'!$C$7,'Point Matrix'!$A:$A,0),1) +
D10*INDEX('Point Matrix'!$B:$B,MATCH('DAL - Projections'!$D$7,'Point Matrix'!$A:$A,0),1) +
E10*INDEX('Point Matrix'!$B:$B,MATCH('DAL - Projections'!$E$7,'Point Matrix'!$A:$A,0),1) +
F10*INDEX('Point Matrix'!$B:$B,MATCH('DAL - Projections'!$F$7,'Point Matrix'!$A:$A,0),1) +
G10*INDEX('Point Matrix'!$B:$B,MATCH('DAL - Projections'!$G$7,'Point Matrix'!$A:$A,0),1) +
H10*INDEX('Point Matrix'!$B:$B,MATCH('DAL - Projections'!$H$7,'Point Matrix'!$A:$A,0),1) +
I10*INDEX('Point Matrix'!$B:$B,MATCH('DAL - Projections'!$I$7,'Point Matrix'!$A:$A,0),1) +
J10*INDEX('Point Matrix'!$B:$B,MATCH('DAL - Projections'!$J$7,'Point Matrix'!$A:$A,0),1) +
K10*INDEX('Point Matrix'!$B:$B,MATCH('DAL - Projections'!$K$7,'Point Matrix'!$A:$A,0),1) +
L10*INDEX('Point Matrix'!$B:$B,MATCH('DAL - Projections'!$L$7,'Point Matrix'!$A:$A,0),1) +
M10*INDEX('Point Matrix'!$B:$B,MATCH('DAL - Projections'!$M$7,'Point Matrix'!$A:$A,0),1) +
N10*INDEX('Point Matrix'!$B:$B,MATCH('DAL - Projections'!$N$7,'Point Matrix'!$A:$A,0),1) +
O10*INDEX('Point Matrix'!$B:$B,MATCH('DAL - Projections'!$O$7,'Point Matrix'!$A:$A,0),1) +
P10*INDEX('Point Matrix'!$B:$B,MATCH('DAL - Projections'!$P$7,'Point Matrix'!$A:$A,0),1) +
Q10*INDEX('Point Matrix'!$B:$B,MATCH('DAL - Projections'!$Q$7,'Point Matrix'!$A:$A,0),1) +
R10*INDEX('Point Matrix'!$B:$B,MATCH('DAL - Projections'!$R$7,'Point Matrix'!$A:$A,0),1) +
S10*INDEX('Point Matrix'!$B:$B,MATCH('DAL - Projections'!$S$7,'Point Matrix'!$A:$A,0),1)</f>
        <v>4.5</v>
      </c>
    </row>
    <row r="11" spans="1:21" x14ac:dyDescent="0.25">
      <c r="A11" s="4" t="s">
        <v>43</v>
      </c>
      <c r="B11" s="2"/>
      <c r="C11" s="2">
        <v>2</v>
      </c>
      <c r="D11" s="2"/>
      <c r="E11" s="2"/>
      <c r="F11" s="2"/>
      <c r="G11" s="2"/>
      <c r="H11" s="2"/>
      <c r="I11" s="2"/>
      <c r="J11" s="5">
        <f t="shared" si="0"/>
        <v>0</v>
      </c>
      <c r="K11" s="2"/>
      <c r="L11" s="2"/>
      <c r="M11" s="5">
        <f t="shared" si="1"/>
        <v>0</v>
      </c>
      <c r="N11" s="2">
        <v>10</v>
      </c>
      <c r="O11" s="2">
        <v>165</v>
      </c>
      <c r="P11" s="5">
        <f t="shared" si="2"/>
        <v>1</v>
      </c>
      <c r="Q11" s="2"/>
      <c r="R11" s="2"/>
      <c r="S11" s="2"/>
      <c r="T11" s="2">
        <f>B11*INDEX('Point Matrix'!$B:$B,MATCH('DAL - Projections'!$B$7,'Point Matrix'!$A:$A,0),1)
+ C11*INDEX('Point Matrix'!$B:$B,MATCH('DAL - Projections'!$C$7,'Point Matrix'!$A:$A,0),1)
+ D11*INDEX('Point Matrix'!$B:$B,MATCH('DAL - Projections'!$D$7,'Point Matrix'!$A:$A,0),1)
+ E11*INDEX('Point Matrix'!$B:$B,MATCH('DAL - Projections'!$E$7,'Point Matrix'!$A:$A,0),1)
+ F11*INDEX('Point Matrix'!$B:$B,MATCH('DAL - Projections'!$F$7,'Point Matrix'!$A:$A,0),1)
+ G11*INDEX('Point Matrix'!$B:$B,MATCH('DAL - Projections'!$G$7,'Point Matrix'!$A:$A,0),1)</f>
        <v>12</v>
      </c>
      <c r="U11" s="2">
        <f>B11*INDEX('Point Matrix'!$B:$B,MATCH('DAL - Projections'!$B$7,'Point Matrix'!$A:$A,0),1)
+ C11*INDEX('Point Matrix'!$B:$B,MATCH('DAL - Projections'!$C$7,'Point Matrix'!$A:$A,0),1)
+ D11*INDEX('Point Matrix'!$B:$B,MATCH('DAL - Projections'!$D$7,'Point Matrix'!$A:$A,0),1)
+ E11*INDEX('Point Matrix'!$B:$B,MATCH('DAL - Projections'!$E$7,'Point Matrix'!$A:$A,0),1)
+ F11*INDEX('Point Matrix'!$B:$B,MATCH('DAL - Projections'!$F$7,'Point Matrix'!$A:$A,0),1)
+ G11*INDEX('Point Matrix'!$B:$B,MATCH('DAL - Projections'!$G$7,'Point Matrix'!$A:$A,0),1)
+ H11*INDEX('Point Matrix'!$B:$B,MATCH('DAL - Projections'!$H$7,'Point Matrix'!$A:$A,0),1)
+ I11*INDEX('Point Matrix'!$B:$B,MATCH('DAL - Projections'!$I$7,'Point Matrix'!$A:$A,0),1)
+ J11*INDEX('Point Matrix'!$B:$B,MATCH('DAL - Projections'!$J$7,'Point Matrix'!$A:$A,0),1)
+ K11*INDEX('Point Matrix'!$B:$B,MATCH('DAL - Projections'!$K$7,'Point Matrix'!$A:$A,0),1)
+ L11*INDEX('Point Matrix'!$B:$B,MATCH('DAL - Projections'!$L$7,'Point Matrix'!$A:$A,0),1)
+ M11*INDEX('Point Matrix'!$B:$B,MATCH('DAL - Projections'!$M$7,'Point Matrix'!$A:$A,0),1)
+ N11*INDEX('Point Matrix'!$B:$B,MATCH('DAL - Projections'!$N$7,'Point Matrix'!$A:$A,0),1)
+ O11*INDEX('Point Matrix'!$B:$B,MATCH('DAL - Projections'!$O$7,'Point Matrix'!$A:$A,0),1)
+ P11*INDEX('Point Matrix'!$B:$B,MATCH('DAL - Projections'!$P$7,'Point Matrix'!$A:$A,0),1)
+ Q11*INDEX('Point Matrix'!$B:$B,MATCH('DAL - Projections'!$Q$7,'Point Matrix'!$A:$A,0),1)
+ R11*INDEX('Point Matrix'!$B:$B,MATCH('DAL - Projections'!$R$7,'Point Matrix'!$A:$A,0),1)
+ S11*INDEX('Point Matrix'!$B:$B,MATCH('DAL - Projections'!$S$7,'Point Matrix'!$A:$A,0),1)</f>
        <v>36.5</v>
      </c>
    </row>
    <row r="12" spans="1:21" x14ac:dyDescent="0.25">
      <c r="A12" s="4" t="s">
        <v>47</v>
      </c>
      <c r="B12" s="2"/>
      <c r="C12" s="2"/>
      <c r="D12" s="2"/>
      <c r="E12" s="2"/>
      <c r="F12" s="2"/>
      <c r="G12" s="2"/>
      <c r="H12" s="2"/>
      <c r="I12" s="2"/>
      <c r="J12" s="5">
        <f t="shared" si="0"/>
        <v>0</v>
      </c>
      <c r="K12" s="2"/>
      <c r="L12" s="2"/>
      <c r="M12" s="5">
        <f t="shared" si="1"/>
        <v>0</v>
      </c>
      <c r="N12" s="2">
        <v>3</v>
      </c>
      <c r="O12" s="2">
        <v>60</v>
      </c>
      <c r="P12" s="5">
        <f t="shared" si="2"/>
        <v>0</v>
      </c>
      <c r="Q12" s="2"/>
      <c r="R12" s="2"/>
      <c r="S12" s="2"/>
      <c r="T12" s="2">
        <f>B12*INDEX('Point Matrix'!$B:$B,MATCH('DAL - Projections'!$B$7,'Point Matrix'!$A:$A,0),1)
+ C12*INDEX('Point Matrix'!$B:$B,MATCH('DAL - Projections'!$C$7,'Point Matrix'!$A:$A,0),1)
+ D12*INDEX('Point Matrix'!$B:$B,MATCH('DAL - Projections'!$D$7,'Point Matrix'!$A:$A,0),1)
+ E12*INDEX('Point Matrix'!$B:$B,MATCH('DAL - Projections'!$E$7,'Point Matrix'!$A:$A,0),1)
+ F12*INDEX('Point Matrix'!$B:$B,MATCH('DAL - Projections'!$F$7,'Point Matrix'!$A:$A,0),1)
+ G12*INDEX('Point Matrix'!$B:$B,MATCH('DAL - Projections'!$G$7,'Point Matrix'!$A:$A,0),1)</f>
        <v>0</v>
      </c>
      <c r="U12" s="2">
        <f>B12*INDEX('Point Matrix'!$B:$B,MATCH('DAL - Projections'!$B$7,'Point Matrix'!$A:$A,0),1)
+ C12*INDEX('Point Matrix'!$B:$B,MATCH('DAL - Projections'!$C$7,'Point Matrix'!$A:$A,0),1)
+ D12*INDEX('Point Matrix'!$B:$B,MATCH('DAL - Projections'!$D$7,'Point Matrix'!$A:$A,0),1)
+ E12*INDEX('Point Matrix'!$B:$B,MATCH('DAL - Projections'!$E$7,'Point Matrix'!$A:$A,0),1)
+ F12*INDEX('Point Matrix'!$B:$B,MATCH('DAL - Projections'!$F$7,'Point Matrix'!$A:$A,0),1)
+ G12*INDEX('Point Matrix'!$B:$B,MATCH('DAL - Projections'!$G$7,'Point Matrix'!$A:$A,0),1)
+ H12*INDEX('Point Matrix'!$B:$B,MATCH('DAL - Projections'!$H$7,'Point Matrix'!$A:$A,0),1)
+ I12*INDEX('Point Matrix'!$B:$B,MATCH('DAL - Projections'!$I$7,'Point Matrix'!$A:$A,0),1)
+ J12*INDEX('Point Matrix'!$B:$B,MATCH('DAL - Projections'!$J$7,'Point Matrix'!$A:$A,0),1)
+ K12*INDEX('Point Matrix'!$B:$B,MATCH('DAL - Projections'!$K$7,'Point Matrix'!$A:$A,0),1)
+ L12*INDEX('Point Matrix'!$B:$B,MATCH('DAL - Projections'!$L$7,'Point Matrix'!$A:$A,0),1)
+ M12*INDEX('Point Matrix'!$B:$B,MATCH('DAL - Projections'!$M$7,'Point Matrix'!$A:$A,0),1)
+ N12*INDEX('Point Matrix'!$B:$B,MATCH('DAL - Projections'!$N$7,'Point Matrix'!$A:$A,0),1)
+ O12*INDEX('Point Matrix'!$B:$B,MATCH('DAL - Projections'!$O$7,'Point Matrix'!$A:$A,0),1)
+ P12*INDEX('Point Matrix'!$B:$B,MATCH('DAL - Projections'!$P$7,'Point Matrix'!$A:$A,0),1)
+ Q12*INDEX('Point Matrix'!$B:$B,MATCH('DAL - Projections'!$Q$7,'Point Matrix'!$A:$A,0),1)
+ R12*INDEX('Point Matrix'!$B:$B,MATCH('DAL - Projections'!$R$7,'Point Matrix'!$A:$A,0),1)
+ S12*INDEX('Point Matrix'!$B:$B,MATCH('DAL - Projections'!$S$7,'Point Matrix'!$A:$A,0),1)</f>
        <v>7.5</v>
      </c>
    </row>
    <row r="13" spans="1:21" x14ac:dyDescent="0.25">
      <c r="A13" s="4" t="s">
        <v>54</v>
      </c>
      <c r="B13" s="2"/>
      <c r="C13" s="2"/>
      <c r="D13" s="2"/>
      <c r="E13" s="2"/>
      <c r="F13" s="2"/>
      <c r="G13" s="2"/>
      <c r="H13" s="2"/>
      <c r="I13" s="2"/>
      <c r="J13" s="5">
        <f t="shared" si="0"/>
        <v>0</v>
      </c>
      <c r="K13" s="2"/>
      <c r="L13" s="2"/>
      <c r="M13" s="5">
        <f t="shared" si="1"/>
        <v>0</v>
      </c>
      <c r="N13" s="2">
        <v>3</v>
      </c>
      <c r="O13" s="2">
        <v>60</v>
      </c>
      <c r="P13" s="5">
        <f t="shared" si="2"/>
        <v>0</v>
      </c>
      <c r="Q13" s="2"/>
      <c r="R13" s="2"/>
      <c r="S13" s="2"/>
      <c r="T13" s="1">
        <f>B13*INDEX('Point Matrix'!$B:$B,MATCH('DAL - Projections'!$B$7,'Point Matrix'!$A:$A,0),1)
+ C13*INDEX('Point Matrix'!$B:$B,MATCH('DAL - Projections'!$C$7,'Point Matrix'!$A:$A,0),1)
+ D13*INDEX('Point Matrix'!$B:$B,MATCH('DAL - Projections'!$D$7,'Point Matrix'!$A:$A,0),1)
+ E13*INDEX('Point Matrix'!$B:$B,MATCH('DAL - Projections'!$E$7,'Point Matrix'!$A:$A,0),1)
+ F13*INDEX('Point Matrix'!$B:$B,MATCH('DAL - Projections'!$F$7,'Point Matrix'!$A:$A,0),1)
+ G13*INDEX('Point Matrix'!$B:$B,MATCH('DAL - Projections'!$G$7,'Point Matrix'!$A:$A,0),1)</f>
        <v>0</v>
      </c>
      <c r="U13" s="1">
        <f>B13*INDEX('Point Matrix'!$B:$B,MATCH('DAL - Projections'!$B$7,'Point Matrix'!$A:$A,0),1)
+ C13*INDEX('Point Matrix'!$B:$B,MATCH('DAL - Projections'!$C$7,'Point Matrix'!$A:$A,0),1)
+ D13*INDEX('Point Matrix'!$B:$B,MATCH('DAL - Projections'!$D$7,'Point Matrix'!$A:$A,0),1)
+ E13*INDEX('Point Matrix'!$B:$B,MATCH('DAL - Projections'!$E$7,'Point Matrix'!$A:$A,0),1)
+ F13*INDEX('Point Matrix'!$B:$B,MATCH('DAL - Projections'!$F$7,'Point Matrix'!$A:$A,0),1)
+ G13*INDEX('Point Matrix'!$B:$B,MATCH('DAL - Projections'!$G$7,'Point Matrix'!$A:$A,0),1)
+ H13*INDEX('Point Matrix'!$B:$B,MATCH('DAL - Projections'!$H$7,'Point Matrix'!$A:$A,0),1)
+ I13*INDEX('Point Matrix'!$B:$B,MATCH('DAL - Projections'!$I$7,'Point Matrix'!$A:$A,0),1)
+ J13*INDEX('Point Matrix'!$B:$B,MATCH('DAL - Projections'!$J$7,'Point Matrix'!$A:$A,0),1)
+ K13*INDEX('Point Matrix'!$B:$B,MATCH('DAL - Projections'!$K$7,'Point Matrix'!$A:$A,0),1)
+ L13*INDEX('Point Matrix'!$B:$B,MATCH('DAL - Projections'!$L$7,'Point Matrix'!$A:$A,0),1)
+ M13*INDEX('Point Matrix'!$B:$B,MATCH('DAL - Projections'!$M$7,'Point Matrix'!$A:$A,0),1)
+ N13*INDEX('Point Matrix'!$B:$B,MATCH('DAL - Projections'!$N$7,'Point Matrix'!$A:$A,0),1)
+ O13*INDEX('Point Matrix'!$B:$B,MATCH('DAL - Projections'!$O$7,'Point Matrix'!$A:$A,0),1)
+ P13*INDEX('Point Matrix'!$B:$B,MATCH('DAL - Projections'!$P$7,'Point Matrix'!$A:$A,0),1)
+ Q13*INDEX('Point Matrix'!$B:$B,MATCH('DAL - Projections'!$Q$7,'Point Matrix'!$A:$A,0),1)
+ R13*INDEX('Point Matrix'!$B:$B,MATCH('DAL - Projections'!$R$7,'Point Matrix'!$A:$A,0),1)
+ S13*INDEX('Point Matrix'!$B:$B,MATCH('DAL - Projections'!$S$7,'Point Matrix'!$A:$A,0),1)</f>
        <v>7.5</v>
      </c>
    </row>
    <row r="14" spans="1:21" x14ac:dyDescent="0.25">
      <c r="A14" s="3" t="s">
        <v>60</v>
      </c>
      <c r="T14">
        <f>SUM(T2:T13)</f>
        <v>23</v>
      </c>
      <c r="U14" s="2">
        <f>SUM(U2:U13)</f>
        <v>109.5</v>
      </c>
    </row>
  </sheetData>
  <sortState ref="A10:A25">
    <sortCondition ref="A10:A25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tabSelected="1" workbookViewId="0">
      <pane ySplit="1" topLeftCell="A2" activePane="bottomLeft" state="frozen"/>
      <selection pane="bottomLeft" activeCell="O12" sqref="O12"/>
    </sheetView>
  </sheetViews>
  <sheetFormatPr defaultRowHeight="15" x14ac:dyDescent="0.25"/>
  <cols>
    <col min="1" max="1" width="8.5703125" style="2" bestFit="1" customWidth="1"/>
    <col min="2" max="2" width="6.140625" style="2" bestFit="1" customWidth="1"/>
    <col min="3" max="3" width="7.5703125" style="2" bestFit="1" customWidth="1"/>
    <col min="4" max="4" width="8.5703125" style="2" bestFit="1" customWidth="1"/>
    <col min="5" max="5" width="8.7109375" style="2" bestFit="1" customWidth="1"/>
    <col min="6" max="7" width="7.5703125" style="2" bestFit="1" customWidth="1"/>
    <col min="8" max="8" width="9.28515625" style="2" bestFit="1" customWidth="1"/>
    <col min="9" max="9" width="10.28515625" style="2" bestFit="1" customWidth="1"/>
    <col min="10" max="10" width="12.28515625" style="2" bestFit="1" customWidth="1"/>
    <col min="11" max="11" width="11.28515625" style="2" bestFit="1" customWidth="1"/>
    <col min="12" max="12" width="9.5703125" style="2" bestFit="1" customWidth="1"/>
    <col min="13" max="13" width="12.5703125" style="2" bestFit="1" customWidth="1"/>
    <col min="14" max="14" width="4.7109375" style="2" bestFit="1" customWidth="1"/>
    <col min="15" max="15" width="4.42578125" style="2" bestFit="1" customWidth="1"/>
    <col min="16" max="16" width="12.5703125" style="2" bestFit="1" customWidth="1"/>
    <col min="17" max="17" width="6.28515625" style="2" bestFit="1" customWidth="1"/>
    <col min="18" max="18" width="3.140625" style="2" bestFit="1" customWidth="1"/>
    <col min="19" max="19" width="5.140625" style="2" bestFit="1" customWidth="1"/>
    <col min="20" max="20" width="12.28515625" style="2" bestFit="1" customWidth="1"/>
    <col min="21" max="21" width="13.85546875" style="2" bestFit="1" customWidth="1"/>
    <col min="22" max="16384" width="9.140625" style="2"/>
  </cols>
  <sheetData>
    <row r="1" spans="1:21" x14ac:dyDescent="0.25">
      <c r="A1" s="3" t="s">
        <v>40</v>
      </c>
      <c r="B1" s="3" t="s">
        <v>10</v>
      </c>
      <c r="C1" s="3" t="s">
        <v>12</v>
      </c>
      <c r="D1" s="3" t="s">
        <v>25</v>
      </c>
      <c r="E1" s="3" t="s">
        <v>27</v>
      </c>
      <c r="F1" s="3" t="s">
        <v>8</v>
      </c>
      <c r="G1" s="3" t="s">
        <v>23</v>
      </c>
      <c r="H1" s="3" t="s">
        <v>21</v>
      </c>
      <c r="I1" s="3" t="s">
        <v>19</v>
      </c>
      <c r="J1" s="3" t="s">
        <v>17</v>
      </c>
      <c r="K1" s="3" t="s">
        <v>16</v>
      </c>
      <c r="L1" s="3" t="s">
        <v>14</v>
      </c>
      <c r="M1" s="3" t="s">
        <v>6</v>
      </c>
      <c r="N1" s="3" t="s">
        <v>36</v>
      </c>
      <c r="O1" s="3" t="s">
        <v>2</v>
      </c>
      <c r="P1" s="3"/>
      <c r="Q1" s="3"/>
      <c r="R1" s="3"/>
      <c r="S1" s="3"/>
      <c r="T1" s="3" t="s">
        <v>57</v>
      </c>
      <c r="U1" s="3" t="s">
        <v>58</v>
      </c>
    </row>
    <row r="2" spans="1:21" x14ac:dyDescent="0.25">
      <c r="A2" s="2" t="s">
        <v>48</v>
      </c>
      <c r="G2" s="5" t="str">
        <f>IF('DAL - Projections'!$T$14=0,1,"0")</f>
        <v>0</v>
      </c>
      <c r="H2" s="5" t="str">
        <f>IF(AND('DAL - Projections'!$T$14&gt;0,'DAL - Projections'!$T$14&lt;7),1,"0")</f>
        <v>0</v>
      </c>
      <c r="I2" s="5" t="str">
        <f>IF(AND('DAL - Projections'!$T$14&gt;6,'DAL - Projections'!$T$14&lt;14),1,"0")</f>
        <v>0</v>
      </c>
      <c r="J2" s="5" t="str">
        <f>IF(AND('DAL - Projections'!$T$14&gt;13,'DAL - Projections'!$T$14&lt;21),1,"0")</f>
        <v>0</v>
      </c>
      <c r="K2" s="5" t="str">
        <f>IF(AND('DAL - Projections'!$T$14&gt;27,'DAL - Projections'!$T$14&lt;35),1,"0")</f>
        <v>0</v>
      </c>
      <c r="L2" s="5" t="str">
        <f>IF('DAL - Projections'!$T$14&gt;35,1,"0")</f>
        <v>0</v>
      </c>
      <c r="M2" s="6"/>
      <c r="N2" s="2">
        <v>1</v>
      </c>
      <c r="O2" s="2">
        <v>3</v>
      </c>
      <c r="T2" s="2">
        <f>B2*INDEX('Point Matrix'!$B:$B,MATCH('PHI - Projections'!$B$1,'Point Matrix'!$A:$A,0),1)
+ C2*INDEX('Point Matrix'!$B:$B,MATCH('PHI - Projections'!$C$1,'Point Matrix'!$A:$A,0),1)
+ D2*INDEX('Point Matrix'!$B:$B,MATCH('PHI - Projections'!$D$1,'Point Matrix'!$A:$A,0),1)
+ E2*INDEX('Point Matrix'!$B:$B,MATCH('PHI - Projections'!$E$1,'Point Matrix'!$A:$A,0),1)
+ F2*INDEX('Point Matrix'!$B:$B,MATCH('PHI - Projections'!$F$1,'Point Matrix'!$A:$A,0),1)</f>
        <v>0</v>
      </c>
      <c r="U2" s="2">
        <f>B2*INDEX('Point Matrix'!$B:$B,MATCH('PHI - Projections'!$B$1,'Point Matrix'!$A:$A,0),1)
+ C2*INDEX('Point Matrix'!$B:$B,MATCH('PHI - Projections'!$C$1,'Point Matrix'!$A:$A,0),1)
+ D2*INDEX('Point Matrix'!$B:$B,MATCH('PHI - Projections'!$D$1,'Point Matrix'!$A:$A,0),1)
+ E2*INDEX('Point Matrix'!$B:$B,MATCH('PHI - Projections'!$E$1,'Point Matrix'!$A:$A,0),1)
+ F2*INDEX('Point Matrix'!$B:$B,MATCH('PHI - Projections'!$F$1,'Point Matrix'!$A:$A,0),1)
+ G2*INDEX('Point Matrix'!$B:$B,MATCH('PHI - Projections'!$G$1,'Point Matrix'!$A:$A,0),1)
+ H2*INDEX('Point Matrix'!$B:$B,MATCH('PHI - Projections'!$H$1,'Point Matrix'!$A:$A,0),1)
+ I2*INDEX('Point Matrix'!$B:$B,MATCH('PHI - Projections'!$I$1,'Point Matrix'!$A:$A,0),1)
+ J2*INDEX('Point Matrix'!$B:$B,MATCH('PHI - Projections'!$J$1,'Point Matrix'!$A:$A,0),1)
+ K2*INDEX('Point Matrix'!$B:$B,MATCH('PHI - Projections'!$K$1,'Point Matrix'!$A:$A,0),1)
+ L2*INDEX('Point Matrix'!$B:$B,MATCH('PHI - Projections'!$L$1,'Point Matrix'!$A:$A,0),1)
+ M2*INDEX('Point Matrix'!$B:$B,MATCH('PHI - Projections'!$M$1,'Point Matrix'!$A:$A,0),1)
+ N2*INDEX('Point Matrix'!$B:$B,MATCH('PHI - Projections'!$N$1,'Point Matrix'!$A:$A,0),1)
+ O2*INDEX('Point Matrix'!$B:$B,MATCH('PHI - Projections'!$O$1,'Point Matrix'!$A:$A,0),1)</f>
        <v>5</v>
      </c>
    </row>
    <row r="4" spans="1:21" x14ac:dyDescent="0.25">
      <c r="A4" s="3" t="s">
        <v>38</v>
      </c>
      <c r="B4" s="3" t="s">
        <v>100</v>
      </c>
      <c r="C4" s="3" t="s">
        <v>33</v>
      </c>
      <c r="D4" s="3" t="s">
        <v>98</v>
      </c>
      <c r="E4" s="3" t="s">
        <v>99</v>
      </c>
      <c r="F4" s="3" t="s">
        <v>31</v>
      </c>
      <c r="G4" s="3" t="s">
        <v>37</v>
      </c>
      <c r="H4" s="3" t="s">
        <v>24</v>
      </c>
      <c r="I4" s="3" t="s">
        <v>26</v>
      </c>
      <c r="J4" s="3" t="s">
        <v>20</v>
      </c>
    </row>
    <row r="5" spans="1:21" x14ac:dyDescent="0.25">
      <c r="A5" s="2" t="s">
        <v>52</v>
      </c>
      <c r="G5" s="2">
        <v>4</v>
      </c>
      <c r="T5" s="2">
        <f>B5*INDEX('Point Matrix'!$C:$C,MATCH('PHI - Projections'!$B$4,'Point Matrix'!$A:$A,0),1)
+ C5*INDEX('Point Matrix'!$C:$C,MATCH('PHI - Projections'!$C$4,'Point Matrix'!$A:$A,0),1)
+ D5*INDEX('Point Matrix'!$C:$C,MATCH('PHI - Projections'!$D$4,'Point Matrix'!$A:$A,0),1)
+ E5*INDEX('Point Matrix'!$C:$C,MATCH('PHI - Projections'!$E$4,'Point Matrix'!$A:$A,0),1)
+ F5*INDEX('Point Matrix'!$C:$C,MATCH('PHI - Projections'!$F$4,'Point Matrix'!$A:$A,0),1)
+ G5*INDEX('Point Matrix'!$C:$C,MATCH('PHI - Projections'!$G$4,'Point Matrix'!$A:$A,0),1) +
H5*INDEX('Point Matrix'!$C:$C,MATCH('PHI - Projections'!$H$4,'Point Matrix'!$A:$A,0),1)</f>
        <v>4</v>
      </c>
      <c r="U5" s="2">
        <f>B5*INDEX('Point Matrix'!$B:$B,MATCH('PHI - Projections'!$B$4,'Point Matrix'!$A:$A,0),1)
+ C5*INDEX('Point Matrix'!$B:$B,MATCH('PHI - Projections'!$C$4,'Point Matrix'!$A:$A,0),1)
+ D5*INDEX('Point Matrix'!$B:$B,MATCH('PHI - Projections'!$D$4,'Point Matrix'!$A:$A,0),1)
+ E5*INDEX('Point Matrix'!$B:$B,MATCH('PHI - Projections'!$E$4,'Point Matrix'!$A:$A,0),1)
+ F5*INDEX('Point Matrix'!$B:$B,MATCH('PHI - Projections'!$F$4,'Point Matrix'!$A:$A,0),1)
+ G5*INDEX('Point Matrix'!$B:$B,MATCH('PHI - Projections'!$G$4,'Point Matrix'!$A:$A,0),1)
+ H5*INDEX('Point Matrix'!$B:$B,MATCH('PHI - Projections'!$H$4,'Point Matrix'!$A:$A,0),1)
+ I5*INDEX('Point Matrix'!$B:$B,MATCH('PHI - Projections'!$I$4,'Point Matrix'!$A:$A,0),1)
+ J5*INDEX('Point Matrix'!$B:$B,MATCH('PHI - Projections'!$J$4,'Point Matrix'!$A:$A,0),1)</f>
        <v>4</v>
      </c>
    </row>
    <row r="7" spans="1:21" x14ac:dyDescent="0.25">
      <c r="A7" s="3" t="s">
        <v>39</v>
      </c>
      <c r="B7" s="3" t="s">
        <v>1</v>
      </c>
      <c r="C7" s="3" t="s">
        <v>5</v>
      </c>
      <c r="D7" s="3" t="s">
        <v>18</v>
      </c>
      <c r="E7" s="3" t="s">
        <v>15</v>
      </c>
      <c r="F7" s="3" t="s">
        <v>13</v>
      </c>
      <c r="G7" s="3" t="s">
        <v>24</v>
      </c>
      <c r="H7" s="3" t="s">
        <v>9</v>
      </c>
      <c r="I7" s="3" t="s">
        <v>11</v>
      </c>
      <c r="J7" s="3" t="s">
        <v>22</v>
      </c>
      <c r="K7" s="3" t="s">
        <v>4</v>
      </c>
      <c r="L7" s="3" t="s">
        <v>0</v>
      </c>
      <c r="M7" s="3" t="s">
        <v>28</v>
      </c>
      <c r="N7" s="3" t="s">
        <v>7</v>
      </c>
      <c r="O7" s="3" t="s">
        <v>3</v>
      </c>
      <c r="P7" s="3" t="s">
        <v>30</v>
      </c>
      <c r="Q7" s="3" t="s">
        <v>26</v>
      </c>
      <c r="R7" s="3" t="s">
        <v>6</v>
      </c>
      <c r="S7" s="3" t="s">
        <v>20</v>
      </c>
    </row>
    <row r="8" spans="1:21" x14ac:dyDescent="0.25">
      <c r="A8" s="4" t="s">
        <v>42</v>
      </c>
      <c r="H8" s="2">
        <v>257</v>
      </c>
      <c r="I8" s="2">
        <v>3</v>
      </c>
      <c r="J8" s="5">
        <f>IF(H8&gt;=300,1,0)</f>
        <v>0</v>
      </c>
      <c r="K8" s="2">
        <v>2</v>
      </c>
      <c r="L8" s="2">
        <v>25</v>
      </c>
      <c r="M8" s="5">
        <f>IF(L8&gt;=100,1,0)</f>
        <v>0</v>
      </c>
      <c r="P8" s="5">
        <f>IF(O8&gt;=100,1,0)</f>
        <v>0</v>
      </c>
      <c r="Q8" s="2">
        <v>2</v>
      </c>
      <c r="S8" s="2">
        <v>1</v>
      </c>
      <c r="T8" s="2">
        <f>B8*INDEX('Point Matrix'!$B:$B,MATCH('PHI - Projections'!$B$7,'Point Matrix'!$A:$A,0),1)
+ C8*INDEX('Point Matrix'!$B:$B,MATCH('PHI - Projections'!$C$7,'Point Matrix'!$A:$A,0),1)
+ D8*INDEX('Point Matrix'!$B:$B,MATCH('PHI - Projections'!$D$7,'Point Matrix'!$A:$A,0),1)
+ E8*INDEX('Point Matrix'!$B:$B,MATCH('PHI - Projections'!$E$7,'Point Matrix'!$A:$A,0),1)
+ F8*INDEX('Point Matrix'!$B:$B,MATCH('PHI - Projections'!$F$7,'Point Matrix'!$A:$A,0),1)
+ G8*INDEX('Point Matrix'!$B:$B,MATCH('PHI - Projections'!$G$7,'Point Matrix'!$A:$A,0),1)</f>
        <v>0</v>
      </c>
      <c r="U8" s="2">
        <f>B8*INDEX('Point Matrix'!$B:$B,MATCH('PHI - Projections'!$B$7,'Point Matrix'!$A:$A,0),1)
+ C8*INDEX('Point Matrix'!$B:$B,MATCH('PHI - Projections'!$C$7,'Point Matrix'!$A:$A,0),1)
+ D8*INDEX('Point Matrix'!$B:$B,MATCH('PHI - Projections'!$D$7,'Point Matrix'!$A:$A,0),1)
+ E8*INDEX('Point Matrix'!$B:$B,MATCH('PHI - Projections'!$E$7,'Point Matrix'!$A:$A,0),1)
+ F8*INDEX('Point Matrix'!$B:$B,MATCH('PHI - Projections'!$F$7,'Point Matrix'!$A:$A,0),1)
+ G8*INDEX('Point Matrix'!$B:$B,MATCH('PHI - Projections'!$G$7,'Point Matrix'!$A:$A,0),1)
+ H8*INDEX('Point Matrix'!$B:$B,MATCH('PHI - Projections'!$H$7,'Point Matrix'!$A:$A,0),1)
+ I8*INDEX('Point Matrix'!$B:$B,MATCH('PHI - Projections'!$I$7,'Point Matrix'!$A:$A,0),1)
+ J8*INDEX('Point Matrix'!$B:$B,MATCH('PHI - Projections'!$J$7,'Point Matrix'!$A:$A,0),1)
+ K8*INDEX('Point Matrix'!$B:$B,MATCH('PHI - Projections'!$K$7,'Point Matrix'!$A:$A,0),1)
+ L8*INDEX('Point Matrix'!$B:$B,MATCH('PHI - Projections'!$L$7,'Point Matrix'!$A:$A,0),1)
+ M8*INDEX('Point Matrix'!$B:$B,MATCH('PHI - Projections'!$M$7,'Point Matrix'!$A:$A,0),1)
+ N8*INDEX('Point Matrix'!$B:$B,MATCH('PHI - Projections'!$N$7,'Point Matrix'!$A:$A,0),1)
+ O8*INDEX('Point Matrix'!$B:$B,MATCH('PHI - Projections'!$O$7,'Point Matrix'!$A:$A,0),1)
+ P8*INDEX('Point Matrix'!$B:$B,MATCH('PHI - Projections'!$P$7,'Point Matrix'!$A:$A,0),1)
+ Q8*INDEX('Point Matrix'!$B:$B,MATCH('PHI - Projections'!$Q$7,'Point Matrix'!$A:$A,0),1)
+ R8*INDEX('Point Matrix'!$B:$B,MATCH('PHI - Projections'!$R$7,'Point Matrix'!$A:$A,0),1)
+ S8*INDEX('Point Matrix'!$B:$B,MATCH('PHI - Projections'!$S$7,'Point Matrix'!$A:$A,0),1)</f>
        <v>24.78</v>
      </c>
    </row>
    <row r="9" spans="1:21" x14ac:dyDescent="0.25">
      <c r="A9" s="4" t="s">
        <v>41</v>
      </c>
      <c r="J9" s="5">
        <f t="shared" ref="J9:J13" si="0">IF(H9&gt;=300,1,0)</f>
        <v>0</v>
      </c>
      <c r="L9" s="2">
        <v>9</v>
      </c>
      <c r="M9" s="5">
        <f t="shared" ref="M9" si="1">IF(L9&gt;=100,1,0)</f>
        <v>0</v>
      </c>
      <c r="N9" s="2">
        <v>1</v>
      </c>
      <c r="O9" s="2">
        <v>5</v>
      </c>
      <c r="P9" s="5">
        <f t="shared" ref="P9" si="2">IF(O9&gt;=100,1,0)</f>
        <v>0</v>
      </c>
      <c r="T9" s="2">
        <f>B9*INDEX('Point Matrix'!$B:$B,MATCH('PHI - Projections'!$B$7,'Point Matrix'!$A:$A,0),1)
+ C9*INDEX('Point Matrix'!$B:$B,MATCH('PHI - Projections'!$C$7,'Point Matrix'!$A:$A,0),1)
+ D9*INDEX('Point Matrix'!$B:$B,MATCH('PHI - Projections'!$D$7,'Point Matrix'!$A:$A,0),1)
+ E9*INDEX('Point Matrix'!$B:$B,MATCH('PHI - Projections'!$E$7,'Point Matrix'!$A:$A,0),1)
+ F9*INDEX('Point Matrix'!$B:$B,MATCH('PHI - Projections'!$F$7,'Point Matrix'!$A:$A,0),1)
+ G9*INDEX('Point Matrix'!$B:$B,MATCH('PHI - Projections'!$G$7,'Point Matrix'!$A:$A,0),1)</f>
        <v>0</v>
      </c>
      <c r="U9" s="2">
        <f>B9*INDEX('Point Matrix'!$B:$B,MATCH('PHI - Projections'!$B$7,'Point Matrix'!$A:$A,0),1)
+ C9*INDEX('Point Matrix'!$B:$B,MATCH('PHI - Projections'!$C$7,'Point Matrix'!$A:$A,0),1)
+ D9*INDEX('Point Matrix'!$B:$B,MATCH('PHI - Projections'!$D$7,'Point Matrix'!$A:$A,0),1)
+ E9*INDEX('Point Matrix'!$B:$B,MATCH('PHI - Projections'!$E$7,'Point Matrix'!$A:$A,0),1)
+ F9*INDEX('Point Matrix'!$B:$B,MATCH('PHI - Projections'!$F$7,'Point Matrix'!$A:$A,0),1)
+ G9*INDEX('Point Matrix'!$B:$B,MATCH('PHI - Projections'!$G$7,'Point Matrix'!$A:$A,0),1)
+ H9*INDEX('Point Matrix'!$B:$B,MATCH('PHI - Projections'!$H$7,'Point Matrix'!$A:$A,0),1)
+ I9*INDEX('Point Matrix'!$B:$B,MATCH('PHI - Projections'!$I$7,'Point Matrix'!$A:$A,0),1)
+ J9*INDEX('Point Matrix'!$B:$B,MATCH('PHI - Projections'!$J$7,'Point Matrix'!$A:$A,0),1)
+ K9*INDEX('Point Matrix'!$B:$B,MATCH('PHI - Projections'!$K$7,'Point Matrix'!$A:$A,0),1)
+ L9*INDEX('Point Matrix'!$B:$B,MATCH('PHI - Projections'!$L$7,'Point Matrix'!$A:$A,0),1)
+ M9*INDEX('Point Matrix'!$B:$B,MATCH('PHI - Projections'!$M$7,'Point Matrix'!$A:$A,0),1)
+ N9*INDEX('Point Matrix'!$B:$B,MATCH('PHI - Projections'!$N$7,'Point Matrix'!$A:$A,0),1)
+ O9*INDEX('Point Matrix'!$B:$B,MATCH('PHI - Projections'!$O$7,'Point Matrix'!$A:$A,0),1)
+ P9*INDEX('Point Matrix'!$B:$B,MATCH('PHI - Projections'!$P$7,'Point Matrix'!$A:$A,0),1)
+ Q9*INDEX('Point Matrix'!$B:$B,MATCH('PHI - Projections'!$Q$7,'Point Matrix'!$A:$A,0),1)
+ R9*INDEX('Point Matrix'!$B:$B,MATCH('PHI - Projections'!$R$7,'Point Matrix'!$A:$A,0),1)
+ S9*INDEX('Point Matrix'!$B:$B,MATCH('PHI - Projections'!$S$7,'Point Matrix'!$A:$A,0),1)</f>
        <v>1.9</v>
      </c>
    </row>
    <row r="10" spans="1:21" x14ac:dyDescent="0.25">
      <c r="A10" s="4" t="s">
        <v>49</v>
      </c>
      <c r="C10" s="2">
        <v>1</v>
      </c>
      <c r="J10" s="5">
        <f t="shared" si="0"/>
        <v>0</v>
      </c>
      <c r="M10" s="5">
        <f>IF(L10&gt;=100,1,0)</f>
        <v>0</v>
      </c>
      <c r="O10" s="2">
        <v>35</v>
      </c>
      <c r="P10" s="5">
        <f>IF(O10&gt;=100,1,0)</f>
        <v>0</v>
      </c>
      <c r="T10" s="2">
        <f>B10*INDEX('Point Matrix'!$B:$B,MATCH('PHI - Projections'!$B$7,'Point Matrix'!$A:$A,0),1)
+ C10*INDEX('Point Matrix'!$B:$B,MATCH('PHI - Projections'!$C$7,'Point Matrix'!$A:$A,0),1)
+ D10*INDEX('Point Matrix'!$B:$B,MATCH('PHI - Projections'!$D$7,'Point Matrix'!$A:$A,0),1)
+ E10*INDEX('Point Matrix'!$B:$B,MATCH('PHI - Projections'!$E$7,'Point Matrix'!$A:$A,0),1)
+ F10*INDEX('Point Matrix'!$B:$B,MATCH('PHI - Projections'!$F$7,'Point Matrix'!$A:$A,0),1)
+ G10*INDEX('Point Matrix'!$B:$B,MATCH('PHI - Projections'!$G$7,'Point Matrix'!$A:$A,0),1)</f>
        <v>6</v>
      </c>
      <c r="U10" s="2">
        <f>B10*INDEX('Point Matrix'!$B:$B,MATCH('PHI - Projections'!$B$7,'Point Matrix'!$A:$A,0),1)
+ C10*INDEX('Point Matrix'!$B:$B,MATCH('PHI - Projections'!$C$7,'Point Matrix'!$A:$A,0),1)
+ D10*INDEX('Point Matrix'!$B:$B,MATCH('PHI - Projections'!$D$7,'Point Matrix'!$A:$A,0),1)
+ E10*INDEX('Point Matrix'!$B:$B,MATCH('PHI - Projections'!$E$7,'Point Matrix'!$A:$A,0),1)
+ F10*INDEX('Point Matrix'!$B:$B,MATCH('PHI - Projections'!$F$7,'Point Matrix'!$A:$A,0),1)
+ G10*INDEX('Point Matrix'!$B:$B,MATCH('PHI - Projections'!$G$7,'Point Matrix'!$A:$A,0),1)
+ H10*INDEX('Point Matrix'!$B:$B,MATCH('PHI - Projections'!$H$7,'Point Matrix'!$A:$A,0),1)
+ I10*INDEX('Point Matrix'!$B:$B,MATCH('PHI - Projections'!$I$7,'Point Matrix'!$A:$A,0),1)
+ J10*INDEX('Point Matrix'!$B:$B,MATCH('PHI - Projections'!$J$7,'Point Matrix'!$A:$A,0),1)
+ K10*INDEX('Point Matrix'!$B:$B,MATCH('PHI - Projections'!$K$7,'Point Matrix'!$A:$A,0),1)
+ L10*INDEX('Point Matrix'!$B:$B,MATCH('PHI - Projections'!$L$7,'Point Matrix'!$A:$A,0),1)
+ M10*INDEX('Point Matrix'!$B:$B,MATCH('PHI - Projections'!$M$7,'Point Matrix'!$A:$A,0),1)
+ N10*INDEX('Point Matrix'!$B:$B,MATCH('PHI - Projections'!$N$7,'Point Matrix'!$A:$A,0),1)
+ O10*INDEX('Point Matrix'!$B:$B,MATCH('PHI - Projections'!$O$7,'Point Matrix'!$A:$A,0),1)
+ P10*INDEX('Point Matrix'!$B:$B,MATCH('PHI - Projections'!$P$7,'Point Matrix'!$A:$A,0),1)
+ Q10*INDEX('Point Matrix'!$B:$B,MATCH('PHI - Projections'!$Q$7,'Point Matrix'!$A:$A,0),1)
+ R10*INDEX('Point Matrix'!$B:$B,MATCH('PHI - Projections'!$R$7,'Point Matrix'!$A:$A,0),1)
+ S10*INDEX('Point Matrix'!$B:$B,MATCH('PHI - Projections'!$S$7,'Point Matrix'!$A:$A,0),1)</f>
        <v>9.5</v>
      </c>
    </row>
    <row r="11" spans="1:21" x14ac:dyDescent="0.25">
      <c r="A11" s="4" t="s">
        <v>44</v>
      </c>
      <c r="C11" s="2">
        <v>1</v>
      </c>
      <c r="J11" s="5">
        <f t="shared" si="0"/>
        <v>0</v>
      </c>
      <c r="M11" s="5">
        <f>IF(L11&gt;=100,1,0)</f>
        <v>0</v>
      </c>
      <c r="N11" s="2">
        <v>3</v>
      </c>
      <c r="O11" s="2">
        <v>43</v>
      </c>
      <c r="P11" s="5">
        <f>IF(O11&gt;=100,1,0)</f>
        <v>0</v>
      </c>
      <c r="T11" s="2">
        <f>B11*INDEX('Point Matrix'!$B:$B,MATCH('PHI - Projections'!$B$7,'Point Matrix'!$A:$A,0),1)
+ C11*INDEX('Point Matrix'!$B:$B,MATCH('PHI - Projections'!$C$7,'Point Matrix'!$A:$A,0),1)
+ D11*INDEX('Point Matrix'!$B:$B,MATCH('PHI - Projections'!$D$7,'Point Matrix'!$A:$A,0),1)
+ E11*INDEX('Point Matrix'!$B:$B,MATCH('PHI - Projections'!$E$7,'Point Matrix'!$A:$A,0),1)
+ F11*INDEX('Point Matrix'!$B:$B,MATCH('PHI - Projections'!$F$7,'Point Matrix'!$A:$A,0),1)
+ G11*INDEX('Point Matrix'!$B:$B,MATCH('PHI - Projections'!$G$7,'Point Matrix'!$A:$A,0),1)</f>
        <v>6</v>
      </c>
      <c r="U11" s="2">
        <f>B11*INDEX('Point Matrix'!$B:$B,MATCH('PHI - Projections'!$B$7,'Point Matrix'!$A:$A,0),1)
+ C11*INDEX('Point Matrix'!$B:$B,MATCH('PHI - Projections'!$C$7,'Point Matrix'!$A:$A,0),1)
+ D11*INDEX('Point Matrix'!$B:$B,MATCH('PHI - Projections'!$D$7,'Point Matrix'!$A:$A,0),1)
+ E11*INDEX('Point Matrix'!$B:$B,MATCH('PHI - Projections'!$E$7,'Point Matrix'!$A:$A,0),1)
+ F11*INDEX('Point Matrix'!$B:$B,MATCH('PHI - Projections'!$F$7,'Point Matrix'!$A:$A,0),1)
+ G11*INDEX('Point Matrix'!$B:$B,MATCH('PHI - Projections'!$G$7,'Point Matrix'!$A:$A,0),1)
+ H11*INDEX('Point Matrix'!$B:$B,MATCH('PHI - Projections'!$H$7,'Point Matrix'!$A:$A,0),1)
+ I11*INDEX('Point Matrix'!$B:$B,MATCH('PHI - Projections'!$I$7,'Point Matrix'!$A:$A,0),1)
+ J11*INDEX('Point Matrix'!$B:$B,MATCH('PHI - Projections'!$J$7,'Point Matrix'!$A:$A,0),1)
+ K11*INDEX('Point Matrix'!$B:$B,MATCH('PHI - Projections'!$K$7,'Point Matrix'!$A:$A,0),1)
+ L11*INDEX('Point Matrix'!$B:$B,MATCH('PHI - Projections'!$L$7,'Point Matrix'!$A:$A,0),1)
+ M11*INDEX('Point Matrix'!$B:$B,MATCH('PHI - Projections'!$M$7,'Point Matrix'!$A:$A,0),1)
+ N11*INDEX('Point Matrix'!$B:$B,MATCH('PHI - Projections'!$N$7,'Point Matrix'!$A:$A,0),1)
+ O11*INDEX('Point Matrix'!$B:$B,MATCH('PHI - Projections'!$O$7,'Point Matrix'!$A:$A,0),1)
+ P11*INDEX('Point Matrix'!$B:$B,MATCH('PHI - Projections'!$P$7,'Point Matrix'!$A:$A,0),1)
+ Q11*INDEX('Point Matrix'!$B:$B,MATCH('PHI - Projections'!$Q$7,'Point Matrix'!$A:$A,0),1)
+ R11*INDEX('Point Matrix'!$B:$B,MATCH('PHI - Projections'!$R$7,'Point Matrix'!$A:$A,0),1)
+ S11*INDEX('Point Matrix'!$B:$B,MATCH('PHI - Projections'!$S$7,'Point Matrix'!$A:$A,0),1)</f>
        <v>11.8</v>
      </c>
    </row>
    <row r="12" spans="1:21" x14ac:dyDescent="0.25">
      <c r="A12" s="4" t="s">
        <v>46</v>
      </c>
      <c r="J12" s="5">
        <f t="shared" si="0"/>
        <v>0</v>
      </c>
      <c r="M12" s="5">
        <f>IF(L12&gt;=100,1,0)</f>
        <v>0</v>
      </c>
      <c r="N12" s="2">
        <v>2</v>
      </c>
      <c r="O12" s="2">
        <v>15</v>
      </c>
      <c r="P12" s="5">
        <f>IF(O12&gt;=100,1,0)</f>
        <v>0</v>
      </c>
      <c r="T12" s="2">
        <f>B12*INDEX('Point Matrix'!$B:$B,MATCH('PHI - Projections'!$B$7,'Point Matrix'!$A:$A,0),1)
+ C12*INDEX('Point Matrix'!$B:$B,MATCH('PHI - Projections'!$C$7,'Point Matrix'!$A:$A,0),1)
+ D12*INDEX('Point Matrix'!$B:$B,MATCH('PHI - Projections'!$D$7,'Point Matrix'!$A:$A,0),1)
+ E12*INDEX('Point Matrix'!$B:$B,MATCH('PHI - Projections'!$E$7,'Point Matrix'!$A:$A,0),1)
+ F12*INDEX('Point Matrix'!$B:$B,MATCH('PHI - Projections'!$F$7,'Point Matrix'!$A:$A,0),1)
+ G12*INDEX('Point Matrix'!$B:$B,MATCH('PHI - Projections'!$G$7,'Point Matrix'!$A:$A,0),1)</f>
        <v>0</v>
      </c>
      <c r="U12" s="2">
        <f>B12*INDEX('Point Matrix'!$B:$B,MATCH('PHI - Projections'!$B$7,'Point Matrix'!$A:$A,0),1)
+ C12*INDEX('Point Matrix'!$B:$B,MATCH('PHI - Projections'!$C$7,'Point Matrix'!$A:$A,0),1)
+ D12*INDEX('Point Matrix'!$B:$B,MATCH('PHI - Projections'!$D$7,'Point Matrix'!$A:$A,0),1)
+ E12*INDEX('Point Matrix'!$B:$B,MATCH('PHI - Projections'!$E$7,'Point Matrix'!$A:$A,0),1)
+ F12*INDEX('Point Matrix'!$B:$B,MATCH('PHI - Projections'!$F$7,'Point Matrix'!$A:$A,0),1)
+ G12*INDEX('Point Matrix'!$B:$B,MATCH('PHI - Projections'!$G$7,'Point Matrix'!$A:$A,0),1)
+ H12*INDEX('Point Matrix'!$B:$B,MATCH('PHI - Projections'!$H$7,'Point Matrix'!$A:$A,0),1)
+ I12*INDEX('Point Matrix'!$B:$B,MATCH('PHI - Projections'!$I$7,'Point Matrix'!$A:$A,0),1)
+ J12*INDEX('Point Matrix'!$B:$B,MATCH('PHI - Projections'!$J$7,'Point Matrix'!$A:$A,0),1)
+ K12*INDEX('Point Matrix'!$B:$B,MATCH('PHI - Projections'!$K$7,'Point Matrix'!$A:$A,0),1)
+ L12*INDEX('Point Matrix'!$B:$B,MATCH('PHI - Projections'!$L$7,'Point Matrix'!$A:$A,0),1)
+ M12*INDEX('Point Matrix'!$B:$B,MATCH('PHI - Projections'!$M$7,'Point Matrix'!$A:$A,0),1)
+ N12*INDEX('Point Matrix'!$B:$B,MATCH('PHI - Projections'!$N$7,'Point Matrix'!$A:$A,0),1)
+ O12*INDEX('Point Matrix'!$B:$B,MATCH('PHI - Projections'!$O$7,'Point Matrix'!$A:$A,0),1)
+ P12*INDEX('Point Matrix'!$B:$B,MATCH('PHI - Projections'!$P$7,'Point Matrix'!$A:$A,0),1)
+ Q12*INDEX('Point Matrix'!$B:$B,MATCH('PHI - Projections'!$Q$7,'Point Matrix'!$A:$A,0),1)
+ R12*INDEX('Point Matrix'!$B:$B,MATCH('PHI - Projections'!$R$7,'Point Matrix'!$A:$A,0),1)
+ S12*INDEX('Point Matrix'!$B:$B,MATCH('PHI - Projections'!$S$7,'Point Matrix'!$A:$A,0),1)</f>
        <v>2.5</v>
      </c>
    </row>
    <row r="13" spans="1:21" x14ac:dyDescent="0.25">
      <c r="A13" s="4" t="s">
        <v>56</v>
      </c>
      <c r="J13" s="5">
        <f t="shared" si="0"/>
        <v>0</v>
      </c>
      <c r="M13" s="5">
        <f>IF(L13&gt;=100,1,0)</f>
        <v>0</v>
      </c>
      <c r="N13" s="2">
        <v>3</v>
      </c>
      <c r="O13" s="2">
        <v>40</v>
      </c>
      <c r="P13" s="5">
        <f>IF(O13&gt;=100,1,0)</f>
        <v>0</v>
      </c>
      <c r="T13" s="1">
        <f>B13*INDEX('Point Matrix'!$B:$B,MATCH('PHI - Projections'!$B$7,'Point Matrix'!$A:$A,0),1)
+ C13*INDEX('Point Matrix'!$B:$B,MATCH('PHI - Projections'!$C$7,'Point Matrix'!$A:$A,0),1)
+ D13*INDEX('Point Matrix'!$B:$B,MATCH('PHI - Projections'!$D$7,'Point Matrix'!$A:$A,0),1)
+ E13*INDEX('Point Matrix'!$B:$B,MATCH('PHI - Projections'!$E$7,'Point Matrix'!$A:$A,0),1)
+ F13*INDEX('Point Matrix'!$B:$B,MATCH('PHI - Projections'!$F$7,'Point Matrix'!$A:$A,0),1)
+ G13*INDEX('Point Matrix'!$B:$B,MATCH('PHI - Projections'!$G$7,'Point Matrix'!$A:$A,0),1)</f>
        <v>0</v>
      </c>
      <c r="U13" s="1">
        <f>B13*INDEX('Point Matrix'!$B:$B,MATCH('PHI - Projections'!$B$7,'Point Matrix'!$A:$A,0),1)
+ C13*INDEX('Point Matrix'!$B:$B,MATCH('PHI - Projections'!$C$7,'Point Matrix'!$A:$A,0),1)
+ D13*INDEX('Point Matrix'!$B:$B,MATCH('PHI - Projections'!$D$7,'Point Matrix'!$A:$A,0),1)
+ E13*INDEX('Point Matrix'!$B:$B,MATCH('PHI - Projections'!$E$7,'Point Matrix'!$A:$A,0),1)
+ F13*INDEX('Point Matrix'!$B:$B,MATCH('PHI - Projections'!$F$7,'Point Matrix'!$A:$A,0),1)
+ G13*INDEX('Point Matrix'!$B:$B,MATCH('PHI - Projections'!$G$7,'Point Matrix'!$A:$A,0),1)
+ H13*INDEX('Point Matrix'!$B:$B,MATCH('PHI - Projections'!$H$7,'Point Matrix'!$A:$A,0),1)
+ I13*INDEX('Point Matrix'!$B:$B,MATCH('PHI - Projections'!$I$7,'Point Matrix'!$A:$A,0),1)
+ J13*INDEX('Point Matrix'!$B:$B,MATCH('PHI - Projections'!$J$7,'Point Matrix'!$A:$A,0),1)
+ K13*INDEX('Point Matrix'!$B:$B,MATCH('PHI - Projections'!$K$7,'Point Matrix'!$A:$A,0),1)
+ L13*INDEX('Point Matrix'!$B:$B,MATCH('PHI - Projections'!$L$7,'Point Matrix'!$A:$A,0),1)
+ M13*INDEX('Point Matrix'!$B:$B,MATCH('PHI - Projections'!$M$7,'Point Matrix'!$A:$A,0),1)
+ N13*INDEX('Point Matrix'!$B:$B,MATCH('PHI - Projections'!$N$7,'Point Matrix'!$A:$A,0),1)
+ O13*INDEX('Point Matrix'!$B:$B,MATCH('PHI - Projections'!$O$7,'Point Matrix'!$A:$A,0),1)
+ P13*INDEX('Point Matrix'!$B:$B,MATCH('PHI - Projections'!$P$7,'Point Matrix'!$A:$A,0),1)
+ Q13*INDEX('Point Matrix'!$B:$B,MATCH('PHI - Projections'!$Q$7,'Point Matrix'!$A:$A,0),1)
+ R13*INDEX('Point Matrix'!$B:$B,MATCH('PHI - Projections'!$R$7,'Point Matrix'!$A:$A,0),1)
+ S13*INDEX('Point Matrix'!$B:$B,MATCH('PHI - Projections'!$S$7,'Point Matrix'!$A:$A,0),1)</f>
        <v>5.5</v>
      </c>
    </row>
    <row r="14" spans="1:21" x14ac:dyDescent="0.25">
      <c r="A14" s="3" t="s">
        <v>59</v>
      </c>
      <c r="T14" s="2">
        <f>SUM(T2:T13)</f>
        <v>16</v>
      </c>
      <c r="U14" s="2">
        <f>SUM(U2:U13)</f>
        <v>64.98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opLeftCell="A21" zoomScaleNormal="100" workbookViewId="0"/>
  </sheetViews>
  <sheetFormatPr defaultColWidth="9.28515625" defaultRowHeight="15" x14ac:dyDescent="0.25"/>
  <cols>
    <col min="1" max="1" width="12.140625" bestFit="1" customWidth="1"/>
    <col min="2" max="2" width="5" bestFit="1" customWidth="1"/>
    <col min="3" max="3" width="5" style="2" bestFit="1" customWidth="1"/>
    <col min="4" max="4" width="27.5703125" style="2" bestFit="1" customWidth="1"/>
    <col min="7" max="7" width="27.5703125" style="2" bestFit="1" customWidth="1"/>
    <col min="8" max="8" width="12.140625" style="2" bestFit="1" customWidth="1"/>
    <col min="9" max="9" width="27.5703125" bestFit="1" customWidth="1"/>
  </cols>
  <sheetData>
    <row r="1" spans="1:9" x14ac:dyDescent="0.25">
      <c r="A1" s="2" t="s">
        <v>10</v>
      </c>
      <c r="B1">
        <v>2</v>
      </c>
      <c r="C1" s="2">
        <v>2</v>
      </c>
      <c r="D1" s="2" t="s">
        <v>76</v>
      </c>
    </row>
    <row r="2" spans="1:9" x14ac:dyDescent="0.25">
      <c r="A2" s="2" t="s">
        <v>12</v>
      </c>
      <c r="B2">
        <v>6</v>
      </c>
      <c r="C2" s="2">
        <v>6</v>
      </c>
      <c r="D2" s="2" t="s">
        <v>75</v>
      </c>
      <c r="I2" s="2"/>
    </row>
    <row r="3" spans="1:9" x14ac:dyDescent="0.25">
      <c r="A3" s="2" t="s">
        <v>25</v>
      </c>
      <c r="B3">
        <v>6</v>
      </c>
      <c r="C3" s="2">
        <v>6</v>
      </c>
      <c r="D3" s="2" t="s">
        <v>68</v>
      </c>
      <c r="I3" s="2"/>
    </row>
    <row r="4" spans="1:9" x14ac:dyDescent="0.25">
      <c r="A4" s="2" t="s">
        <v>27</v>
      </c>
      <c r="B4">
        <v>6</v>
      </c>
      <c r="C4" s="2">
        <v>6</v>
      </c>
      <c r="D4" s="2" t="s">
        <v>67</v>
      </c>
      <c r="I4" s="2"/>
    </row>
    <row r="5" spans="1:9" x14ac:dyDescent="0.25">
      <c r="A5" s="2" t="s">
        <v>8</v>
      </c>
      <c r="B5">
        <v>2</v>
      </c>
      <c r="C5" s="2">
        <v>2</v>
      </c>
      <c r="D5" s="2" t="s">
        <v>77</v>
      </c>
      <c r="I5" s="2"/>
    </row>
    <row r="6" spans="1:9" x14ac:dyDescent="0.25">
      <c r="A6" s="2" t="s">
        <v>23</v>
      </c>
      <c r="B6">
        <v>10</v>
      </c>
      <c r="C6" s="2">
        <v>10</v>
      </c>
      <c r="D6" s="2" t="s">
        <v>69</v>
      </c>
      <c r="I6" s="2"/>
    </row>
    <row r="7" spans="1:9" x14ac:dyDescent="0.25">
      <c r="A7" s="2" t="s">
        <v>21</v>
      </c>
      <c r="B7">
        <v>7</v>
      </c>
      <c r="C7" s="2">
        <v>7</v>
      </c>
      <c r="D7" s="2" t="s">
        <v>70</v>
      </c>
      <c r="I7" s="2"/>
    </row>
    <row r="8" spans="1:9" x14ac:dyDescent="0.25">
      <c r="A8" s="2" t="s">
        <v>19</v>
      </c>
      <c r="B8">
        <v>4</v>
      </c>
      <c r="C8" s="2">
        <v>4</v>
      </c>
      <c r="D8" s="2" t="s">
        <v>74</v>
      </c>
      <c r="I8" s="2"/>
    </row>
    <row r="9" spans="1:9" x14ac:dyDescent="0.25">
      <c r="A9" s="2" t="s">
        <v>17</v>
      </c>
      <c r="B9">
        <v>1</v>
      </c>
      <c r="C9" s="2">
        <v>1</v>
      </c>
      <c r="D9" s="2" t="s">
        <v>71</v>
      </c>
      <c r="I9" s="2"/>
    </row>
    <row r="10" spans="1:9" x14ac:dyDescent="0.25">
      <c r="A10" s="2" t="s">
        <v>16</v>
      </c>
      <c r="B10">
        <v>-1</v>
      </c>
      <c r="C10" s="2">
        <v>-1</v>
      </c>
      <c r="D10" s="2" t="s">
        <v>72</v>
      </c>
      <c r="I10" s="2"/>
    </row>
    <row r="11" spans="1:9" x14ac:dyDescent="0.25">
      <c r="A11" s="2" t="s">
        <v>14</v>
      </c>
      <c r="B11">
        <v>-4</v>
      </c>
      <c r="C11" s="2">
        <v>-4</v>
      </c>
      <c r="D11" s="2" t="s">
        <v>73</v>
      </c>
      <c r="I11" s="2"/>
    </row>
    <row r="12" spans="1:9" x14ac:dyDescent="0.25">
      <c r="A12" s="2" t="s">
        <v>36</v>
      </c>
      <c r="B12">
        <v>2</v>
      </c>
      <c r="C12" s="2">
        <v>2</v>
      </c>
      <c r="D12" s="2" t="s">
        <v>86</v>
      </c>
      <c r="I12" s="2"/>
    </row>
    <row r="13" spans="1:9" x14ac:dyDescent="0.25">
      <c r="A13" s="2" t="s">
        <v>2</v>
      </c>
      <c r="B13">
        <v>1</v>
      </c>
      <c r="C13" s="2">
        <v>1</v>
      </c>
      <c r="D13" s="2" t="s">
        <v>96</v>
      </c>
      <c r="I13" s="2"/>
    </row>
    <row r="14" spans="1:9" x14ac:dyDescent="0.25">
      <c r="A14" t="s">
        <v>29</v>
      </c>
      <c r="B14">
        <v>2</v>
      </c>
      <c r="C14" s="2">
        <v>2</v>
      </c>
      <c r="D14" s="2" t="s">
        <v>66</v>
      </c>
      <c r="I14" s="2"/>
    </row>
    <row r="15" spans="1:9" x14ac:dyDescent="0.25">
      <c r="A15" s="2" t="s">
        <v>100</v>
      </c>
      <c r="B15">
        <v>3</v>
      </c>
      <c r="C15" s="2">
        <v>3</v>
      </c>
      <c r="D15" s="2" t="s">
        <v>79</v>
      </c>
      <c r="I15" s="2"/>
    </row>
    <row r="16" spans="1:9" x14ac:dyDescent="0.25">
      <c r="A16" s="2" t="s">
        <v>33</v>
      </c>
      <c r="B16">
        <v>3</v>
      </c>
      <c r="C16" s="2">
        <v>3</v>
      </c>
      <c r="D16" s="2" t="s">
        <v>80</v>
      </c>
      <c r="I16" s="2"/>
    </row>
    <row r="17" spans="1:9" x14ac:dyDescent="0.25">
      <c r="A17" s="2" t="s">
        <v>98</v>
      </c>
      <c r="B17">
        <v>3</v>
      </c>
      <c r="C17" s="2">
        <v>3</v>
      </c>
      <c r="D17" s="2" t="s">
        <v>81</v>
      </c>
      <c r="I17" s="2"/>
    </row>
    <row r="18" spans="1:9" x14ac:dyDescent="0.25">
      <c r="A18" s="2" t="s">
        <v>99</v>
      </c>
      <c r="B18">
        <v>4</v>
      </c>
      <c r="C18" s="2">
        <v>3</v>
      </c>
      <c r="D18" s="2" t="s">
        <v>82</v>
      </c>
      <c r="I18" s="2"/>
    </row>
    <row r="19" spans="1:9" x14ac:dyDescent="0.25">
      <c r="A19" s="2" t="s">
        <v>31</v>
      </c>
      <c r="B19">
        <v>5</v>
      </c>
      <c r="C19" s="2">
        <v>3</v>
      </c>
      <c r="D19" s="2" t="s">
        <v>78</v>
      </c>
      <c r="I19" s="2"/>
    </row>
    <row r="20" spans="1:9" x14ac:dyDescent="0.25">
      <c r="A20" s="2" t="s">
        <v>37</v>
      </c>
      <c r="B20">
        <v>1</v>
      </c>
      <c r="C20" s="2">
        <v>1</v>
      </c>
      <c r="D20" s="2" t="s">
        <v>97</v>
      </c>
      <c r="I20" s="2"/>
    </row>
    <row r="21" spans="1:9" x14ac:dyDescent="0.25">
      <c r="A21" s="2" t="s">
        <v>1</v>
      </c>
      <c r="B21">
        <v>6</v>
      </c>
      <c r="C21" s="2">
        <v>6</v>
      </c>
      <c r="D21" s="2" t="s">
        <v>94</v>
      </c>
      <c r="I21" s="2"/>
    </row>
    <row r="22" spans="1:9" x14ac:dyDescent="0.25">
      <c r="A22" s="2" t="s">
        <v>5</v>
      </c>
      <c r="B22">
        <v>6</v>
      </c>
      <c r="C22" s="2">
        <v>6</v>
      </c>
      <c r="D22" s="2" t="s">
        <v>92</v>
      </c>
      <c r="I22" s="2"/>
    </row>
    <row r="23" spans="1:9" x14ac:dyDescent="0.25">
      <c r="A23" s="2" t="s">
        <v>18</v>
      </c>
      <c r="B23">
        <v>6</v>
      </c>
      <c r="C23" s="2">
        <v>6</v>
      </c>
      <c r="D23" s="2" t="s">
        <v>85</v>
      </c>
      <c r="I23" s="2"/>
    </row>
    <row r="24" spans="1:9" x14ac:dyDescent="0.25">
      <c r="A24" s="2" t="s">
        <v>15</v>
      </c>
      <c r="B24">
        <v>6</v>
      </c>
      <c r="C24" s="2">
        <v>6</v>
      </c>
      <c r="D24" s="2" t="s">
        <v>87</v>
      </c>
      <c r="I24" s="2"/>
    </row>
    <row r="25" spans="1:9" x14ac:dyDescent="0.25">
      <c r="A25" s="2" t="s">
        <v>13</v>
      </c>
      <c r="B25">
        <v>6</v>
      </c>
      <c r="C25" s="2">
        <v>6</v>
      </c>
      <c r="D25" s="2" t="s">
        <v>88</v>
      </c>
      <c r="I25" s="2"/>
    </row>
    <row r="26" spans="1:9" x14ac:dyDescent="0.25">
      <c r="A26" s="2" t="s">
        <v>24</v>
      </c>
      <c r="B26">
        <v>2</v>
      </c>
      <c r="C26" s="2">
        <v>2</v>
      </c>
      <c r="D26" s="2" t="s">
        <v>64</v>
      </c>
      <c r="I26" s="2"/>
    </row>
    <row r="27" spans="1:9" x14ac:dyDescent="0.25">
      <c r="A27" s="2" t="s">
        <v>9</v>
      </c>
      <c r="B27">
        <v>0.04</v>
      </c>
      <c r="C27" s="2">
        <v>0.04</v>
      </c>
      <c r="D27" s="2" t="s">
        <v>90</v>
      </c>
      <c r="I27" s="2"/>
    </row>
    <row r="28" spans="1:9" x14ac:dyDescent="0.25">
      <c r="A28" s="2" t="s">
        <v>11</v>
      </c>
      <c r="B28">
        <v>4</v>
      </c>
      <c r="C28" s="2">
        <v>4</v>
      </c>
      <c r="D28" s="2" t="s">
        <v>89</v>
      </c>
      <c r="I28" s="2"/>
    </row>
    <row r="29" spans="1:9" x14ac:dyDescent="0.25">
      <c r="A29" s="2" t="s">
        <v>22</v>
      </c>
      <c r="B29">
        <v>3</v>
      </c>
      <c r="C29" s="2">
        <v>3</v>
      </c>
      <c r="D29" s="2" t="s">
        <v>65</v>
      </c>
      <c r="I29" s="2"/>
    </row>
    <row r="30" spans="1:9" x14ac:dyDescent="0.25">
      <c r="A30" s="2" t="s">
        <v>4</v>
      </c>
      <c r="B30">
        <v>-1</v>
      </c>
      <c r="C30" s="2">
        <v>-1</v>
      </c>
      <c r="D30" s="2" t="s">
        <v>86</v>
      </c>
      <c r="I30" s="2"/>
    </row>
    <row r="31" spans="1:9" x14ac:dyDescent="0.25">
      <c r="A31" s="2" t="s">
        <v>0</v>
      </c>
      <c r="B31">
        <v>0.1</v>
      </c>
      <c r="C31" s="2">
        <v>0.1</v>
      </c>
      <c r="D31" s="2" t="s">
        <v>95</v>
      </c>
      <c r="I31" s="2"/>
    </row>
    <row r="32" spans="1:9" x14ac:dyDescent="0.25">
      <c r="A32" s="2" t="s">
        <v>28</v>
      </c>
      <c r="B32">
        <v>3</v>
      </c>
      <c r="C32" s="2">
        <v>3</v>
      </c>
      <c r="D32" s="2" t="s">
        <v>62</v>
      </c>
      <c r="I32" s="2"/>
    </row>
    <row r="33" spans="1:9" x14ac:dyDescent="0.25">
      <c r="A33" s="2" t="s">
        <v>7</v>
      </c>
      <c r="B33">
        <v>0.5</v>
      </c>
      <c r="C33" s="2">
        <v>0.5</v>
      </c>
      <c r="D33" s="2" t="s">
        <v>91</v>
      </c>
      <c r="I33" s="2"/>
    </row>
    <row r="34" spans="1:9" x14ac:dyDescent="0.25">
      <c r="A34" s="2" t="s">
        <v>3</v>
      </c>
      <c r="B34">
        <v>0.1</v>
      </c>
      <c r="C34" s="2">
        <v>0.1</v>
      </c>
      <c r="D34" s="2" t="s">
        <v>93</v>
      </c>
      <c r="I34" s="2"/>
    </row>
    <row r="35" spans="1:9" x14ac:dyDescent="0.25">
      <c r="A35" s="2" t="s">
        <v>30</v>
      </c>
      <c r="B35">
        <v>3</v>
      </c>
      <c r="C35" s="2">
        <v>3</v>
      </c>
      <c r="D35" s="2" t="s">
        <v>61</v>
      </c>
      <c r="I35" s="2"/>
    </row>
    <row r="36" spans="1:9" x14ac:dyDescent="0.25">
      <c r="A36" s="2" t="s">
        <v>26</v>
      </c>
      <c r="B36">
        <v>2</v>
      </c>
      <c r="C36" s="2">
        <v>2</v>
      </c>
      <c r="D36" s="2" t="s">
        <v>63</v>
      </c>
      <c r="I36" s="2"/>
    </row>
    <row r="37" spans="1:9" x14ac:dyDescent="0.25">
      <c r="A37" s="2" t="s">
        <v>6</v>
      </c>
      <c r="B37">
        <v>2</v>
      </c>
      <c r="C37" s="2">
        <v>2</v>
      </c>
      <c r="D37" s="2" t="s">
        <v>83</v>
      </c>
      <c r="I37" s="2"/>
    </row>
    <row r="38" spans="1:9" x14ac:dyDescent="0.25">
      <c r="A38" s="2" t="s">
        <v>20</v>
      </c>
      <c r="B38">
        <v>-2</v>
      </c>
      <c r="C38" s="2">
        <v>-2</v>
      </c>
      <c r="D38" s="2" t="s">
        <v>84</v>
      </c>
      <c r="I38" s="2"/>
    </row>
  </sheetData>
  <sortState ref="A1:B40">
    <sortCondition ref="A1:A4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/>
  </sheetViews>
  <sheetFormatPr defaultColWidth="5.140625" defaultRowHeight="15" x14ac:dyDescent="0.25"/>
  <cols>
    <col min="1" max="1" width="5" bestFit="1" customWidth="1"/>
    <col min="2" max="2" width="6.140625" bestFit="1" customWidth="1"/>
    <col min="3" max="3" width="7.5703125" bestFit="1" customWidth="1"/>
    <col min="4" max="4" width="8.5703125" bestFit="1" customWidth="1"/>
    <col min="5" max="5" width="8.7109375" bestFit="1" customWidth="1"/>
    <col min="6" max="7" width="7.5703125" bestFit="1" customWidth="1"/>
    <col min="8" max="8" width="9.28515625" bestFit="1" customWidth="1"/>
    <col min="9" max="9" width="10.28515625" bestFit="1" customWidth="1"/>
    <col min="10" max="10" width="12" bestFit="1" customWidth="1"/>
    <col min="11" max="11" width="11.28515625" bestFit="1" customWidth="1"/>
    <col min="12" max="12" width="9.5703125" bestFit="1" customWidth="1"/>
    <col min="13" max="13" width="12.140625" bestFit="1" customWidth="1"/>
    <col min="14" max="14" width="4.7109375" bestFit="1" customWidth="1"/>
    <col min="15" max="15" width="4.28515625" bestFit="1" customWidth="1"/>
    <col min="16" max="16" width="12.140625" bestFit="1" customWidth="1"/>
    <col min="17" max="17" width="6.28515625" bestFit="1" customWidth="1"/>
    <col min="20" max="20" width="3.140625" bestFit="1" customWidth="1"/>
    <col min="21" max="21" width="5" bestFit="1" customWidth="1"/>
  </cols>
  <sheetData>
    <row r="1" spans="1:19" x14ac:dyDescent="0.25">
      <c r="A1" t="s">
        <v>40</v>
      </c>
      <c r="B1" s="2" t="s">
        <v>10</v>
      </c>
      <c r="C1" t="s">
        <v>12</v>
      </c>
      <c r="D1" t="s">
        <v>25</v>
      </c>
      <c r="E1" t="s">
        <v>27</v>
      </c>
      <c r="F1" t="s">
        <v>8</v>
      </c>
      <c r="G1" t="s">
        <v>23</v>
      </c>
      <c r="H1" t="s">
        <v>21</v>
      </c>
      <c r="I1" t="s">
        <v>19</v>
      </c>
      <c r="J1" t="s">
        <v>17</v>
      </c>
      <c r="K1" t="s">
        <v>16</v>
      </c>
      <c r="L1" t="s">
        <v>14</v>
      </c>
      <c r="M1" t="s">
        <v>6</v>
      </c>
      <c r="N1" t="s">
        <v>36</v>
      </c>
      <c r="O1" t="s">
        <v>2</v>
      </c>
      <c r="P1" t="s">
        <v>29</v>
      </c>
    </row>
    <row r="2" spans="1:19" x14ac:dyDescent="0.25">
      <c r="A2" t="s">
        <v>38</v>
      </c>
      <c r="B2" t="s">
        <v>32</v>
      </c>
      <c r="C2" t="s">
        <v>33</v>
      </c>
      <c r="D2" t="s">
        <v>34</v>
      </c>
      <c r="E2" t="s">
        <v>35</v>
      </c>
      <c r="F2" t="s">
        <v>31</v>
      </c>
      <c r="G2" t="s">
        <v>37</v>
      </c>
      <c r="H2" s="2" t="s">
        <v>24</v>
      </c>
      <c r="I2" t="s">
        <v>26</v>
      </c>
      <c r="J2" s="2" t="s">
        <v>20</v>
      </c>
    </row>
    <row r="3" spans="1:19" x14ac:dyDescent="0.25">
      <c r="A3" t="s">
        <v>39</v>
      </c>
      <c r="B3" t="s">
        <v>1</v>
      </c>
      <c r="C3" t="s">
        <v>5</v>
      </c>
      <c r="D3" t="s">
        <v>18</v>
      </c>
      <c r="E3" t="s">
        <v>15</v>
      </c>
      <c r="F3" t="s">
        <v>13</v>
      </c>
      <c r="G3" t="s">
        <v>24</v>
      </c>
      <c r="H3" t="s">
        <v>9</v>
      </c>
      <c r="I3" t="s">
        <v>11</v>
      </c>
      <c r="J3" t="s">
        <v>22</v>
      </c>
      <c r="K3" t="s">
        <v>4</v>
      </c>
      <c r="L3" t="s">
        <v>0</v>
      </c>
      <c r="M3" t="s">
        <v>28</v>
      </c>
      <c r="N3" t="s">
        <v>7</v>
      </c>
      <c r="O3" t="s">
        <v>3</v>
      </c>
      <c r="P3" t="s">
        <v>30</v>
      </c>
      <c r="Q3" t="s">
        <v>26</v>
      </c>
      <c r="R3" t="s">
        <v>6</v>
      </c>
      <c r="S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DAL - Projections</vt:lpstr>
      <vt:lpstr>PHI - Projections</vt:lpstr>
      <vt:lpstr>Point Matrix</vt:lpstr>
      <vt:lpstr>Headers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2025-08-21T14:59:09Z</dcterms:created>
  <dcterms:modified xsi:type="dcterms:W3CDTF">2025-08-26T23:24:26Z</dcterms:modified>
</cp:coreProperties>
</file>