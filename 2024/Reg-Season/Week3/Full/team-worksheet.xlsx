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510" yWindow="810" windowWidth="19575" windowHeight="7080"/>
  </bookViews>
  <sheets>
    <sheet name="Teams" sheetId="3" r:id="rId1"/>
    <sheet name="DEF" sheetId="6" r:id="rId2"/>
    <sheet name="QB" sheetId="8" r:id="rId3"/>
    <sheet name="RB" sheetId="9" r:id="rId4"/>
    <sheet name="TE" sheetId="12" r:id="rId5"/>
    <sheet name="WR" sheetId="10" r:id="rId6"/>
    <sheet name="FLEX" sheetId="11" r:id="rId7"/>
  </sheets>
  <definedNames>
    <definedName name="_xlnm._FilterDatabase" localSheetId="4" hidden="1">TE!$A$1:$F$179</definedName>
    <definedName name="def">DEF!$J$2:$J$27</definedName>
    <definedName name="deflkp">DEF!$A$2:$Q$27</definedName>
    <definedName name="flex">FLEX!$D$2:$D$27</definedName>
    <definedName name="flexlkp">FLEX!$A$2:$Q$27</definedName>
    <definedName name="qb">QB!$D$2:$D$27</definedName>
    <definedName name="qblkp">QB!$A$2:$Q$27</definedName>
    <definedName name="rb">RB!$D$2:$D$29</definedName>
    <definedName name="rblkp">RB!$A$2:$Q$29</definedName>
    <definedName name="te">TE!$D$2:$D$27</definedName>
    <definedName name="telkp">TE!$A$2:$Q$27</definedName>
    <definedName name="wr">WR!$D$2:$D$77</definedName>
    <definedName name="wrlkp">WR!$A$2:$Q$77</definedName>
  </definedNames>
  <calcPr calcId="145621"/>
</workbook>
</file>

<file path=xl/calcChain.xml><?xml version="1.0" encoding="utf-8"?>
<calcChain xmlns="http://schemas.openxmlformats.org/spreadsheetml/2006/main">
  <c r="C3" i="3" l="1"/>
  <c r="N22" i="3" l="1"/>
  <c r="N21" i="3"/>
  <c r="N20" i="3"/>
  <c r="N19" i="3"/>
  <c r="N18" i="3"/>
  <c r="N17" i="3"/>
  <c r="N16" i="3"/>
  <c r="N15" i="3"/>
  <c r="N14" i="3"/>
  <c r="I22" i="3"/>
  <c r="I21" i="3"/>
  <c r="I20" i="3"/>
  <c r="I19" i="3"/>
  <c r="I18" i="3"/>
  <c r="I17" i="3"/>
  <c r="I16" i="3"/>
  <c r="I15" i="3"/>
  <c r="I14" i="3"/>
  <c r="D22" i="3"/>
  <c r="D21" i="3"/>
  <c r="D20" i="3"/>
  <c r="D19" i="3"/>
  <c r="D18" i="3"/>
  <c r="D17" i="3"/>
  <c r="D16" i="3"/>
  <c r="D15" i="3"/>
  <c r="D14" i="3"/>
  <c r="N10" i="3"/>
  <c r="N9" i="3"/>
  <c r="N8" i="3"/>
  <c r="N7" i="3"/>
  <c r="N6" i="3"/>
  <c r="N5" i="3"/>
  <c r="N4" i="3"/>
  <c r="N3" i="3"/>
  <c r="N2" i="3"/>
  <c r="I10" i="3"/>
  <c r="I9" i="3"/>
  <c r="I8" i="3"/>
  <c r="I7" i="3"/>
  <c r="I6" i="3"/>
  <c r="I5" i="3"/>
  <c r="I4" i="3"/>
  <c r="I3" i="3"/>
  <c r="I2" i="3"/>
  <c r="D10" i="3"/>
  <c r="D9" i="3"/>
  <c r="D8" i="3"/>
  <c r="D7" i="3"/>
  <c r="D6" i="3"/>
  <c r="D5" i="3"/>
  <c r="D4" i="3"/>
  <c r="D3" i="3"/>
  <c r="D2" i="3"/>
  <c r="M22" i="3"/>
  <c r="O22" i="3" s="1"/>
  <c r="M21" i="3"/>
  <c r="O21" i="3" s="1"/>
  <c r="M20" i="3"/>
  <c r="O20" i="3" s="1"/>
  <c r="M19" i="3"/>
  <c r="O19" i="3" s="1"/>
  <c r="M18" i="3"/>
  <c r="O18" i="3" s="1"/>
  <c r="M17" i="3"/>
  <c r="O17" i="3" s="1"/>
  <c r="M16" i="3"/>
  <c r="O16" i="3" s="1"/>
  <c r="M15" i="3"/>
  <c r="O15" i="3" s="1"/>
  <c r="M14" i="3"/>
  <c r="O14" i="3" s="1"/>
  <c r="H22" i="3"/>
  <c r="J22" i="3" s="1"/>
  <c r="H21" i="3"/>
  <c r="J21" i="3" s="1"/>
  <c r="H20" i="3"/>
  <c r="J20" i="3" s="1"/>
  <c r="H19" i="3"/>
  <c r="J19" i="3" s="1"/>
  <c r="H18" i="3"/>
  <c r="J18" i="3" s="1"/>
  <c r="H17" i="3"/>
  <c r="J17" i="3" s="1"/>
  <c r="H16" i="3"/>
  <c r="J16" i="3" s="1"/>
  <c r="H15" i="3"/>
  <c r="J15" i="3" s="1"/>
  <c r="H14" i="3"/>
  <c r="J14" i="3" s="1"/>
  <c r="C22" i="3"/>
  <c r="E22" i="3" s="1"/>
  <c r="C21" i="3"/>
  <c r="E21" i="3" s="1"/>
  <c r="C20" i="3"/>
  <c r="E20" i="3" s="1"/>
  <c r="C19" i="3"/>
  <c r="E19" i="3" s="1"/>
  <c r="C18" i="3"/>
  <c r="E18" i="3" s="1"/>
  <c r="C17" i="3"/>
  <c r="E17" i="3" s="1"/>
  <c r="C16" i="3"/>
  <c r="E16" i="3" s="1"/>
  <c r="C15" i="3"/>
  <c r="E15" i="3" s="1"/>
  <c r="C14" i="3"/>
  <c r="E14" i="3" s="1"/>
  <c r="M10" i="3"/>
  <c r="O10" i="3" s="1"/>
  <c r="M9" i="3"/>
  <c r="O9" i="3" s="1"/>
  <c r="M8" i="3"/>
  <c r="O8" i="3" s="1"/>
  <c r="M7" i="3"/>
  <c r="O7" i="3" s="1"/>
  <c r="M6" i="3"/>
  <c r="O6" i="3" s="1"/>
  <c r="M5" i="3"/>
  <c r="O5" i="3" s="1"/>
  <c r="M4" i="3"/>
  <c r="O4" i="3" s="1"/>
  <c r="M3" i="3"/>
  <c r="O3" i="3" s="1"/>
  <c r="M2" i="3"/>
  <c r="O2" i="3" s="1"/>
  <c r="H10" i="3"/>
  <c r="J10" i="3" s="1"/>
  <c r="H9" i="3"/>
  <c r="J9" i="3" s="1"/>
  <c r="H8" i="3"/>
  <c r="J8" i="3" s="1"/>
  <c r="H7" i="3"/>
  <c r="J7" i="3" s="1"/>
  <c r="H6" i="3"/>
  <c r="J6" i="3" s="1"/>
  <c r="H5" i="3"/>
  <c r="J5" i="3" s="1"/>
  <c r="H4" i="3"/>
  <c r="J4" i="3" s="1"/>
  <c r="H3" i="3"/>
  <c r="J3" i="3" s="1"/>
  <c r="H2" i="3"/>
  <c r="J2" i="3" s="1"/>
  <c r="C10" i="3"/>
  <c r="E10" i="3" s="1"/>
  <c r="C9" i="3"/>
  <c r="E9" i="3" s="1"/>
  <c r="C6" i="3"/>
  <c r="E6" i="3" s="1"/>
  <c r="C7" i="3"/>
  <c r="E7" i="3" s="1"/>
  <c r="C5" i="3"/>
  <c r="E5" i="3" s="1"/>
  <c r="C8" i="3"/>
  <c r="E8" i="3" s="1"/>
  <c r="C4" i="3"/>
  <c r="E4" i="3" s="1"/>
  <c r="C2" i="3"/>
  <c r="E2" i="3" s="1"/>
  <c r="E3" i="3"/>
  <c r="H11" i="3" l="1"/>
  <c r="D23" i="3"/>
  <c r="N23" i="3"/>
  <c r="I23" i="3" l="1"/>
  <c r="M23" i="3"/>
  <c r="C23" i="3"/>
  <c r="H23" i="3"/>
  <c r="C11" i="3"/>
  <c r="I11" i="3"/>
  <c r="N11" i="3"/>
  <c r="D11" i="3"/>
  <c r="M11" i="3"/>
</calcChain>
</file>

<file path=xl/sharedStrings.xml><?xml version="1.0" encoding="utf-8"?>
<sst xmlns="http://schemas.openxmlformats.org/spreadsheetml/2006/main" count="2062" uniqueCount="763">
  <si>
    <t>POSITION</t>
  </si>
  <si>
    <t>SALARY</t>
  </si>
  <si>
    <t>RB</t>
  </si>
  <si>
    <t>MIA</t>
  </si>
  <si>
    <t>Alvin Kamara</t>
  </si>
  <si>
    <t>NO</t>
  </si>
  <si>
    <t>ARI</t>
  </si>
  <si>
    <t>FLEX</t>
  </si>
  <si>
    <t>Nico Collins</t>
  </si>
  <si>
    <t>HOU</t>
  </si>
  <si>
    <t>ATL</t>
  </si>
  <si>
    <t>MIN</t>
  </si>
  <si>
    <t>IND</t>
  </si>
  <si>
    <t>Jahmyr Gibbs</t>
  </si>
  <si>
    <t>DET</t>
  </si>
  <si>
    <t>CAR</t>
  </si>
  <si>
    <t>QB</t>
  </si>
  <si>
    <t>LAR</t>
  </si>
  <si>
    <t>David Montgomery</t>
  </si>
  <si>
    <t>Bijan Robinson</t>
  </si>
  <si>
    <t>D'Andre Swift</t>
  </si>
  <si>
    <t>WR</t>
  </si>
  <si>
    <t>Tyreek Hill</t>
  </si>
  <si>
    <t>TE</t>
  </si>
  <si>
    <t>Sam LaPorta</t>
  </si>
  <si>
    <t>Chris Olave</t>
  </si>
  <si>
    <t>Jaylen Waddle</t>
  </si>
  <si>
    <t>D</t>
  </si>
  <si>
    <t>RB1</t>
  </si>
  <si>
    <t>RB2</t>
  </si>
  <si>
    <t>WR1</t>
  </si>
  <si>
    <t>WR2</t>
  </si>
  <si>
    <t>WR3</t>
  </si>
  <si>
    <t>DEF</t>
  </si>
  <si>
    <t>PLAYER</t>
  </si>
  <si>
    <t>Kirk Cousins</t>
  </si>
  <si>
    <t>Jared Goff</t>
  </si>
  <si>
    <t>C.J. Stroud</t>
  </si>
  <si>
    <t>TOTALS</t>
  </si>
  <si>
    <t>CHI</t>
  </si>
  <si>
    <t>TB</t>
  </si>
  <si>
    <t>SEA</t>
  </si>
  <si>
    <t>Matthew Stafford</t>
  </si>
  <si>
    <t>CLE</t>
  </si>
  <si>
    <t>Baker Mayfield</t>
  </si>
  <si>
    <t>Deshaun Watson</t>
  </si>
  <si>
    <t>Geno Smith</t>
  </si>
  <si>
    <t>LV</t>
  </si>
  <si>
    <t>Derek Carr</t>
  </si>
  <si>
    <t>Bryce Young</t>
  </si>
  <si>
    <t>Gardner Minshew II</t>
  </si>
  <si>
    <t>Kyren Williams</t>
  </si>
  <si>
    <t>Davante Adams</t>
  </si>
  <si>
    <t>DJ Moore</t>
  </si>
  <si>
    <t>Amon-Ra St. Brown</t>
  </si>
  <si>
    <t>Mike Evans</t>
  </si>
  <si>
    <t>DK Metcalf</t>
  </si>
  <si>
    <t>Adam Thielen</t>
  </si>
  <si>
    <t>Cole Kmet</t>
  </si>
  <si>
    <t>Calvin Ridley</t>
  </si>
  <si>
    <t>Jonnu Smith</t>
  </si>
  <si>
    <t>David Njoku</t>
  </si>
  <si>
    <t>INJ</t>
  </si>
  <si>
    <t>Jonathan Taylor</t>
  </si>
  <si>
    <t>Jerome Ford</t>
  </si>
  <si>
    <t>Rachaad White</t>
  </si>
  <si>
    <t>Zamir White</t>
  </si>
  <si>
    <t>Chuba Hubbard</t>
  </si>
  <si>
    <t>Devin Singletary</t>
  </si>
  <si>
    <t>Cade Otton</t>
  </si>
  <si>
    <t>Kylen Granson</t>
  </si>
  <si>
    <t>Colby Parkinson</t>
  </si>
  <si>
    <t>Josh Oliver</t>
  </si>
  <si>
    <t>Will Dissly</t>
  </si>
  <si>
    <t>Trey McBride</t>
  </si>
  <si>
    <t>Jakobi Meyers</t>
  </si>
  <si>
    <t>Josh Reynolds</t>
  </si>
  <si>
    <t>Amari Cooper</t>
  </si>
  <si>
    <t>Drake London</t>
  </si>
  <si>
    <t>Chris Godwin</t>
  </si>
  <si>
    <t>Tyler Boyd</t>
  </si>
  <si>
    <t>Tank Dell</t>
  </si>
  <si>
    <t>Darnell Mooney</t>
  </si>
  <si>
    <t>Elijah Moore</t>
  </si>
  <si>
    <t>Jameson Williams</t>
  </si>
  <si>
    <t>Rashid Shaheed</t>
  </si>
  <si>
    <t>Michael Wilson</t>
  </si>
  <si>
    <t>Brandon Powell</t>
  </si>
  <si>
    <t>Alec Pierce</t>
  </si>
  <si>
    <t>Kalif Raymond</t>
  </si>
  <si>
    <t>Braxton Berrios</t>
  </si>
  <si>
    <t>Jaxon Smith-Njigba</t>
  </si>
  <si>
    <t>Van Jefferson</t>
  </si>
  <si>
    <t>Ray-Ray McCloud III</t>
  </si>
  <si>
    <t>DAL</t>
  </si>
  <si>
    <t>PIT</t>
  </si>
  <si>
    <t>LAC</t>
  </si>
  <si>
    <t>NYG</t>
  </si>
  <si>
    <t>TEN</t>
  </si>
  <si>
    <t>DEN</t>
  </si>
  <si>
    <t>Anthony Richardson</t>
  </si>
  <si>
    <t>Kyler Murray</t>
  </si>
  <si>
    <t>Dak Prescott</t>
  </si>
  <si>
    <t>Justin Herbert</t>
  </si>
  <si>
    <t>Caleb Williams</t>
  </si>
  <si>
    <t>Will Levis</t>
  </si>
  <si>
    <t>Daniel Jones</t>
  </si>
  <si>
    <t>Sam Darnold</t>
  </si>
  <si>
    <t>Bo Nix</t>
  </si>
  <si>
    <t>De'Von Achane</t>
  </si>
  <si>
    <t>Aaron Jones</t>
  </si>
  <si>
    <t>Najee Harris</t>
  </si>
  <si>
    <t>Tony Pollard</t>
  </si>
  <si>
    <t>Javonte Williams</t>
  </si>
  <si>
    <t>James Conner</t>
  </si>
  <si>
    <t>Justin Jefferson</t>
  </si>
  <si>
    <t>Stefon Diggs</t>
  </si>
  <si>
    <t>Marvin Harrison Jr.</t>
  </si>
  <si>
    <t>George Pickens</t>
  </si>
  <si>
    <t>Malik Nabers</t>
  </si>
  <si>
    <t>Rome Odunze</t>
  </si>
  <si>
    <t>Jerry Jeudy</t>
  </si>
  <si>
    <t>Diontae Johnson</t>
  </si>
  <si>
    <t>Courtland Sutton</t>
  </si>
  <si>
    <t>Adonai Mitchell</t>
  </si>
  <si>
    <t>Ladd McConkey</t>
  </si>
  <si>
    <t>Brandin Cooks</t>
  </si>
  <si>
    <t>Jalen McMillan</t>
  </si>
  <si>
    <t>Joshua Palmer</t>
  </si>
  <si>
    <t>Xavier Legette</t>
  </si>
  <si>
    <t>Quentin Johnston</t>
  </si>
  <si>
    <t>Jalen Tolbert</t>
  </si>
  <si>
    <t>Wan'Dale Robinson</t>
  </si>
  <si>
    <t>Tre Tucker</t>
  </si>
  <si>
    <t>Darius Slayton</t>
  </si>
  <si>
    <t>Calvin Austin III</t>
  </si>
  <si>
    <t>Demarcus Robinson</t>
  </si>
  <si>
    <t>Jake Ferguson</t>
  </si>
  <si>
    <t>Pat Freiermuth</t>
  </si>
  <si>
    <t>Daniel Bellinger</t>
  </si>
  <si>
    <t>Chig Okonkwo</t>
  </si>
  <si>
    <t>Juwan Johnson</t>
  </si>
  <si>
    <t>PPTS</t>
  </si>
  <si>
    <t>Id</t>
  </si>
  <si>
    <t>Position</t>
  </si>
  <si>
    <t>First Name</t>
  </si>
  <si>
    <t>Nickname</t>
  </si>
  <si>
    <t>Last Name</t>
  </si>
  <si>
    <t>FPPG</t>
  </si>
  <si>
    <t>Played</t>
  </si>
  <si>
    <t>Salary</t>
  </si>
  <si>
    <t>Game</t>
  </si>
  <si>
    <t>Team</t>
  </si>
  <si>
    <t>Opponent</t>
  </si>
  <si>
    <t>Injury Indicator</t>
  </si>
  <si>
    <t>Injury Details</t>
  </si>
  <si>
    <t>Tier</t>
  </si>
  <si>
    <t>Points</t>
  </si>
  <si>
    <t>Projected Points</t>
  </si>
  <si>
    <t>Roster Position</t>
  </si>
  <si>
    <t>Indianapolis</t>
  </si>
  <si>
    <t>Indianapolis Colts</t>
  </si>
  <si>
    <t>Colts</t>
  </si>
  <si>
    <t>Seattle</t>
  </si>
  <si>
    <t>Seattle Seahawks</t>
  </si>
  <si>
    <t>Seahawks</t>
  </si>
  <si>
    <t>New Orleans</t>
  </si>
  <si>
    <t>New Orleans Saints</t>
  </si>
  <si>
    <t>Saints</t>
  </si>
  <si>
    <t>Los Angeles</t>
  </si>
  <si>
    <t>Los Angeles Chargers</t>
  </si>
  <si>
    <t>Chargers</t>
  </si>
  <si>
    <t>LV@LAC</t>
  </si>
  <si>
    <t>Denver</t>
  </si>
  <si>
    <t>Denver Broncos</t>
  </si>
  <si>
    <t>Broncos</t>
  </si>
  <si>
    <t>Atlanta</t>
  </si>
  <si>
    <t>Atlanta Falcons</t>
  </si>
  <si>
    <t>Falcons</t>
  </si>
  <si>
    <t>PIT@ATL</t>
  </si>
  <si>
    <t>Detroit</t>
  </si>
  <si>
    <t>Detroit Lions</t>
  </si>
  <si>
    <t>Lions</t>
  </si>
  <si>
    <t>Dallas</t>
  </si>
  <si>
    <t>Dallas Cowboys</t>
  </si>
  <si>
    <t>Cowboys</t>
  </si>
  <si>
    <t>Pittsburgh</t>
  </si>
  <si>
    <t>Pittsburgh Steelers</t>
  </si>
  <si>
    <t>Steelers</t>
  </si>
  <si>
    <t>Las Vegas</t>
  </si>
  <si>
    <t>Las Vegas Raiders</t>
  </si>
  <si>
    <t>Raiders</t>
  </si>
  <si>
    <t>Houston</t>
  </si>
  <si>
    <t>Houston Texans</t>
  </si>
  <si>
    <t>Texans</t>
  </si>
  <si>
    <t>Tampa Bay</t>
  </si>
  <si>
    <t>Tampa Bay Buccaneers</t>
  </si>
  <si>
    <t>Buccaneers</t>
  </si>
  <si>
    <t>Chicago</t>
  </si>
  <si>
    <t>Chicago Bears</t>
  </si>
  <si>
    <t>Bears</t>
  </si>
  <si>
    <t>Arizona</t>
  </si>
  <si>
    <t>Arizona Cardinals</t>
  </si>
  <si>
    <t>Cardinals</t>
  </si>
  <si>
    <t>Los Angeles Rams</t>
  </si>
  <si>
    <t>Rams</t>
  </si>
  <si>
    <t>New York</t>
  </si>
  <si>
    <t>New York Giants</t>
  </si>
  <si>
    <t>Giants</t>
  </si>
  <si>
    <t>Minnesota</t>
  </si>
  <si>
    <t>Minnesota Vikings</t>
  </si>
  <si>
    <t>Vikings</t>
  </si>
  <si>
    <t>Miami</t>
  </si>
  <si>
    <t>Miami Dolphins</t>
  </si>
  <si>
    <t>Dolphins</t>
  </si>
  <si>
    <t>Tennessee</t>
  </si>
  <si>
    <t>Tennessee Titans</t>
  </si>
  <si>
    <t>Titans</t>
  </si>
  <si>
    <t>Cleveland</t>
  </si>
  <si>
    <t>Cleveland Browns</t>
  </si>
  <si>
    <t>Browns</t>
  </si>
  <si>
    <t>Carolina</t>
  </si>
  <si>
    <t>Carolina Panthers</t>
  </si>
  <si>
    <t>Panthers</t>
  </si>
  <si>
    <t>Geno</t>
  </si>
  <si>
    <t>Smith</t>
  </si>
  <si>
    <t>Kyler</t>
  </si>
  <si>
    <t>Murray</t>
  </si>
  <si>
    <t>Dak</t>
  </si>
  <si>
    <t>Prescott</t>
  </si>
  <si>
    <t>Jayden</t>
  </si>
  <si>
    <t>Jared</t>
  </si>
  <si>
    <t>Goff</t>
  </si>
  <si>
    <t>Justin</t>
  </si>
  <si>
    <t>Herbert</t>
  </si>
  <si>
    <t>Josh</t>
  </si>
  <si>
    <t>Wilson</t>
  </si>
  <si>
    <t>Matthew</t>
  </si>
  <si>
    <t>Stafford</t>
  </si>
  <si>
    <t>Daniel</t>
  </si>
  <si>
    <t>Jones</t>
  </si>
  <si>
    <t>Anthony</t>
  </si>
  <si>
    <t>Richardson</t>
  </si>
  <si>
    <t>Deshaun</t>
  </si>
  <si>
    <t>Watson</t>
  </si>
  <si>
    <t>Derek</t>
  </si>
  <si>
    <t>Carr</t>
  </si>
  <si>
    <t>Baker</t>
  </si>
  <si>
    <t>Mayfield</t>
  </si>
  <si>
    <t>Kirk</t>
  </si>
  <si>
    <t>Cousins</t>
  </si>
  <si>
    <t>C.J.</t>
  </si>
  <si>
    <t>Stroud</t>
  </si>
  <si>
    <t>Sam</t>
  </si>
  <si>
    <t>Darnold</t>
  </si>
  <si>
    <t>Caleb</t>
  </si>
  <si>
    <t>Williams</t>
  </si>
  <si>
    <t>Bryce</t>
  </si>
  <si>
    <t>Young</t>
  </si>
  <si>
    <t>Bo</t>
  </si>
  <si>
    <t>Nix</t>
  </si>
  <si>
    <t>Gardner</t>
  </si>
  <si>
    <t>Minshew II</t>
  </si>
  <si>
    <t>Will</t>
  </si>
  <si>
    <t>Levis</t>
  </si>
  <si>
    <t>Zach</t>
  </si>
  <si>
    <t>Mitchell</t>
  </si>
  <si>
    <t>Taylor</t>
  </si>
  <si>
    <t>Dalton</t>
  </si>
  <si>
    <t>Cooper</t>
  </si>
  <si>
    <t>Jake</t>
  </si>
  <si>
    <t>Mike</t>
  </si>
  <si>
    <t>White</t>
  </si>
  <si>
    <t>Drake</t>
  </si>
  <si>
    <t>Michael</t>
  </si>
  <si>
    <t>Trey</t>
  </si>
  <si>
    <t>RB/FLEX</t>
  </si>
  <si>
    <t>De'Von</t>
  </si>
  <si>
    <t>Achane</t>
  </si>
  <si>
    <t>David</t>
  </si>
  <si>
    <t>Montgomery</t>
  </si>
  <si>
    <t>Chuba</t>
  </si>
  <si>
    <t>Hubbard</t>
  </si>
  <si>
    <t>Jerome</t>
  </si>
  <si>
    <t>Ford</t>
  </si>
  <si>
    <t>Jahmyr</t>
  </si>
  <si>
    <t>Gibbs</t>
  </si>
  <si>
    <t>Devin</t>
  </si>
  <si>
    <t>Singletary</t>
  </si>
  <si>
    <t>Rachaad</t>
  </si>
  <si>
    <t>D'Andre</t>
  </si>
  <si>
    <t>Swift</t>
  </si>
  <si>
    <t>Kyren</t>
  </si>
  <si>
    <t>James</t>
  </si>
  <si>
    <t>Tony</t>
  </si>
  <si>
    <t>Pollard</t>
  </si>
  <si>
    <t>Alvin</t>
  </si>
  <si>
    <t>Kamara</t>
  </si>
  <si>
    <t>Jonathan</t>
  </si>
  <si>
    <t>Travis</t>
  </si>
  <si>
    <t>Conner</t>
  </si>
  <si>
    <t>Javonte</t>
  </si>
  <si>
    <t>Najee</t>
  </si>
  <si>
    <t>Harris</t>
  </si>
  <si>
    <t>Aaron</t>
  </si>
  <si>
    <t>105738-91578</t>
  </si>
  <si>
    <t>Zamir</t>
  </si>
  <si>
    <t>105738-136855</t>
  </si>
  <si>
    <t>Bijan</t>
  </si>
  <si>
    <t>Robinson</t>
  </si>
  <si>
    <t>Amari</t>
  </si>
  <si>
    <t>WR/FLEX</t>
  </si>
  <si>
    <t>George</t>
  </si>
  <si>
    <t>Pickens</t>
  </si>
  <si>
    <t>DK</t>
  </si>
  <si>
    <t>Metcalf</t>
  </si>
  <si>
    <t>Tank</t>
  </si>
  <si>
    <t>Dell</t>
  </si>
  <si>
    <t>Davante</t>
  </si>
  <si>
    <t>Adams</t>
  </si>
  <si>
    <t>Adam</t>
  </si>
  <si>
    <t>Thielen</t>
  </si>
  <si>
    <t>Noah</t>
  </si>
  <si>
    <t>Brown</t>
  </si>
  <si>
    <t>Jaylen</t>
  </si>
  <si>
    <t>Waddle</t>
  </si>
  <si>
    <t>Jefferson</t>
  </si>
  <si>
    <t>Chris</t>
  </si>
  <si>
    <t>Godwin</t>
  </si>
  <si>
    <t>Brandin</t>
  </si>
  <si>
    <t>Cooks</t>
  </si>
  <si>
    <t>Jakobi</t>
  </si>
  <si>
    <t>Meyers</t>
  </si>
  <si>
    <t>Marvin</t>
  </si>
  <si>
    <t>Darius</t>
  </si>
  <si>
    <t>Slayton</t>
  </si>
  <si>
    <t>Diontae</t>
  </si>
  <si>
    <t>Johnson</t>
  </si>
  <si>
    <t>Elijah</t>
  </si>
  <si>
    <t>Moore</t>
  </si>
  <si>
    <t>DJ</t>
  </si>
  <si>
    <t>Tyreek</t>
  </si>
  <si>
    <t>Hill</t>
  </si>
  <si>
    <t>Tre</t>
  </si>
  <si>
    <t>Tucker</t>
  </si>
  <si>
    <t>Calvin</t>
  </si>
  <si>
    <t>Austin III</t>
  </si>
  <si>
    <t>Nico</t>
  </si>
  <si>
    <t>Collins</t>
  </si>
  <si>
    <t>Jerry</t>
  </si>
  <si>
    <t>Jeudy</t>
  </si>
  <si>
    <t>Kalif</t>
  </si>
  <si>
    <t>Raymond</t>
  </si>
  <si>
    <t>Wan'Dale</t>
  </si>
  <si>
    <t>Demarcus</t>
  </si>
  <si>
    <t>Evans</t>
  </si>
  <si>
    <t>Ladd</t>
  </si>
  <si>
    <t>McConkey</t>
  </si>
  <si>
    <t>Malik</t>
  </si>
  <si>
    <t>Nabers</t>
  </si>
  <si>
    <t>Courtland</t>
  </si>
  <si>
    <t>Sutton</t>
  </si>
  <si>
    <t>Rashid</t>
  </si>
  <si>
    <t>Shaheed</t>
  </si>
  <si>
    <t>Christian</t>
  </si>
  <si>
    <t>Braxton</t>
  </si>
  <si>
    <t>Berrios</t>
  </si>
  <si>
    <t>Jaxon</t>
  </si>
  <si>
    <t>Smith-Njigba</t>
  </si>
  <si>
    <t>Amon-Ra</t>
  </si>
  <si>
    <t>St. Brown</t>
  </si>
  <si>
    <t>Jameson</t>
  </si>
  <si>
    <t>Jalen</t>
  </si>
  <si>
    <t>McMillan</t>
  </si>
  <si>
    <t>London</t>
  </si>
  <si>
    <t>Joshua</t>
  </si>
  <si>
    <t>Palmer</t>
  </si>
  <si>
    <t>Reynolds</t>
  </si>
  <si>
    <t>Tolbert</t>
  </si>
  <si>
    <t>Stefon</t>
  </si>
  <si>
    <t>Diggs</t>
  </si>
  <si>
    <t>Darnell</t>
  </si>
  <si>
    <t>Mooney</t>
  </si>
  <si>
    <t>Ray-Ray</t>
  </si>
  <si>
    <t>McCloud III</t>
  </si>
  <si>
    <t>Greg</t>
  </si>
  <si>
    <t>Tyler</t>
  </si>
  <si>
    <t>Quentin</t>
  </si>
  <si>
    <t>Johnston</t>
  </si>
  <si>
    <t>Van</t>
  </si>
  <si>
    <t>Jackson</t>
  </si>
  <si>
    <t>Rome</t>
  </si>
  <si>
    <t>Odunze</t>
  </si>
  <si>
    <t>Xavier</t>
  </si>
  <si>
    <t>Legette</t>
  </si>
  <si>
    <t>Harrison Jr.</t>
  </si>
  <si>
    <t>Adonai</t>
  </si>
  <si>
    <t>Olave</t>
  </si>
  <si>
    <t>Alec</t>
  </si>
  <si>
    <t>Pierce</t>
  </si>
  <si>
    <t>Brandon</t>
  </si>
  <si>
    <t>Powell</t>
  </si>
  <si>
    <t>Njoku</t>
  </si>
  <si>
    <t>TE/FLEX</t>
  </si>
  <si>
    <t>McBride</t>
  </si>
  <si>
    <t>Henry</t>
  </si>
  <si>
    <t>Juwan</t>
  </si>
  <si>
    <t>Ferguson</t>
  </si>
  <si>
    <t>Pat</t>
  </si>
  <si>
    <t>Freiermuth</t>
  </si>
  <si>
    <t>Cade</t>
  </si>
  <si>
    <t>Otton</t>
  </si>
  <si>
    <t>Jonnu</t>
  </si>
  <si>
    <t>LaPorta</t>
  </si>
  <si>
    <t>Cole</t>
  </si>
  <si>
    <t>Kmet</t>
  </si>
  <si>
    <t>Oliver</t>
  </si>
  <si>
    <t>Colby</t>
  </si>
  <si>
    <t>Parkinson</t>
  </si>
  <si>
    <t>Dissly</t>
  </si>
  <si>
    <t>Kylen</t>
  </si>
  <si>
    <t>Granson</t>
  </si>
  <si>
    <t>Bellinger</t>
  </si>
  <si>
    <t>Ridley</t>
  </si>
  <si>
    <t>Boyd</t>
  </si>
  <si>
    <t>Chig</t>
  </si>
  <si>
    <t>Okonkwo</t>
  </si>
  <si>
    <t>107027-12537</t>
  </si>
  <si>
    <t>CAR@LV</t>
  </si>
  <si>
    <t>107027-12529</t>
  </si>
  <si>
    <t>NYG@CLE</t>
  </si>
  <si>
    <t>107027-12547</t>
  </si>
  <si>
    <t>LAC@PIT</t>
  </si>
  <si>
    <t>107027-12551</t>
  </si>
  <si>
    <t>DEN@TB</t>
  </si>
  <si>
    <t>107027-12550</t>
  </si>
  <si>
    <t>MIA@SEA</t>
  </si>
  <si>
    <t>107027-12536</t>
  </si>
  <si>
    <t>Kansas City</t>
  </si>
  <si>
    <t>Kansas City Chiefs</t>
  </si>
  <si>
    <t>Chiefs</t>
  </si>
  <si>
    <t>KC@ATL</t>
  </si>
  <si>
    <t>KC</t>
  </si>
  <si>
    <t>107027-12549</t>
  </si>
  <si>
    <t>San Francisco</t>
  </si>
  <si>
    <t>San Francisco 49ers</t>
  </si>
  <si>
    <t>49ers</t>
  </si>
  <si>
    <t>SF@LAR</t>
  </si>
  <si>
    <t>SF</t>
  </si>
  <si>
    <t>107027-12542</t>
  </si>
  <si>
    <t>PHI@NO</t>
  </si>
  <si>
    <t>PHI</t>
  </si>
  <si>
    <t>107027-12556</t>
  </si>
  <si>
    <t>HOU@MIN</t>
  </si>
  <si>
    <t>107027-12540</t>
  </si>
  <si>
    <t>107027-12555</t>
  </si>
  <si>
    <t>Baltimore</t>
  </si>
  <si>
    <t>Baltimore Ravens</t>
  </si>
  <si>
    <t>Ravens</t>
  </si>
  <si>
    <t>BAL@DAL</t>
  </si>
  <si>
    <t>BAL</t>
  </si>
  <si>
    <t>107027-12533</t>
  </si>
  <si>
    <t>Green Bay</t>
  </si>
  <si>
    <t>Green Bay Packers</t>
  </si>
  <si>
    <t>Packers</t>
  </si>
  <si>
    <t>GB@TEN</t>
  </si>
  <si>
    <t>GB</t>
  </si>
  <si>
    <t>107027-12530</t>
  </si>
  <si>
    <t>107027-12548</t>
  </si>
  <si>
    <t>107027-12527</t>
  </si>
  <si>
    <t>CHI@IND</t>
  </si>
  <si>
    <t>107027-12535</t>
  </si>
  <si>
    <t>107027-12545</t>
  </si>
  <si>
    <t>Philadelphia</t>
  </si>
  <si>
    <t>Philadelphia Eagles</t>
  </si>
  <si>
    <t>Eagles</t>
  </si>
  <si>
    <t>107027-12534</t>
  </si>
  <si>
    <t>107027-12546</t>
  </si>
  <si>
    <t>DET@ARI</t>
  </si>
  <si>
    <t>107027-12532</t>
  </si>
  <si>
    <t>107027-12539</t>
  </si>
  <si>
    <t>107027-12538</t>
  </si>
  <si>
    <t>107027-12543</t>
  </si>
  <si>
    <t>107027-12531</t>
  </si>
  <si>
    <t>107027-12525</t>
  </si>
  <si>
    <t>107027-12553</t>
  </si>
  <si>
    <t>107027-63115</t>
  </si>
  <si>
    <t>Lamar</t>
  </si>
  <si>
    <t>Lamar Jackson</t>
  </si>
  <si>
    <t>107027-57439</t>
  </si>
  <si>
    <t>Patrick</t>
  </si>
  <si>
    <t>Patrick Mahomes</t>
  </si>
  <si>
    <t>Mahomes</t>
  </si>
  <si>
    <t>107027-69531</t>
  </si>
  <si>
    <t>Jalen Hurts</t>
  </si>
  <si>
    <t>Hurts</t>
  </si>
  <si>
    <t>107027-63484</t>
  </si>
  <si>
    <t>107027-129471</t>
  </si>
  <si>
    <t>107027-129315</t>
  </si>
  <si>
    <t>107027-45859</t>
  </si>
  <si>
    <t>107027-31716</t>
  </si>
  <si>
    <t>107027-41535</t>
  </si>
  <si>
    <t>107027-26483</t>
  </si>
  <si>
    <t>107027-38435</t>
  </si>
  <si>
    <t>107027-85607</t>
  </si>
  <si>
    <t>Brock</t>
  </si>
  <si>
    <t>Brock Purdy</t>
  </si>
  <si>
    <t>Purdy</t>
  </si>
  <si>
    <t>107027-54879</t>
  </si>
  <si>
    <t>107027-69189</t>
  </si>
  <si>
    <t>Q</t>
  </si>
  <si>
    <t>Ankle</t>
  </si>
  <si>
    <t>107027-22038</t>
  </si>
  <si>
    <t>107027-61798</t>
  </si>
  <si>
    <t>107027-6654</t>
  </si>
  <si>
    <t>107027-63589</t>
  </si>
  <si>
    <t>107027-152113</t>
  </si>
  <si>
    <t>107027-87691</t>
  </si>
  <si>
    <t>Malik Willis</t>
  </si>
  <si>
    <t>Willis</t>
  </si>
  <si>
    <t>107027-63519</t>
  </si>
  <si>
    <t>107027-86243</t>
  </si>
  <si>
    <t>107027-91591</t>
  </si>
  <si>
    <t>Justin Fields</t>
  </si>
  <si>
    <t>Fields</t>
  </si>
  <si>
    <t>107027-69294</t>
  </si>
  <si>
    <t>Skylar</t>
  </si>
  <si>
    <t>Skylar Thompson</t>
  </si>
  <si>
    <t>Thompson</t>
  </si>
  <si>
    <t>107027-102965</t>
  </si>
  <si>
    <t>107027-119606</t>
  </si>
  <si>
    <t>107027-64401</t>
  </si>
  <si>
    <t>Saquon</t>
  </si>
  <si>
    <t>Saquon Barkley</t>
  </si>
  <si>
    <t>Barkley</t>
  </si>
  <si>
    <t>107027-136855</t>
  </si>
  <si>
    <t>107027-42104</t>
  </si>
  <si>
    <t>107027-86875</t>
  </si>
  <si>
    <t>Jordan</t>
  </si>
  <si>
    <t>Jordan Mason</t>
  </si>
  <si>
    <t>Mason</t>
  </si>
  <si>
    <t>107027-89675</t>
  </si>
  <si>
    <t>107027-129368</t>
  </si>
  <si>
    <t>107027-39280</t>
  </si>
  <si>
    <t>Derrick</t>
  </si>
  <si>
    <t>Derrick Henry</t>
  </si>
  <si>
    <t>107027-138820</t>
  </si>
  <si>
    <t>107027-104433</t>
  </si>
  <si>
    <t>107027-40687</t>
  </si>
  <si>
    <t>107027-72731</t>
  </si>
  <si>
    <t>Josh Jacobs</t>
  </si>
  <si>
    <t>Jacobs</t>
  </si>
  <si>
    <t>107027-87787</t>
  </si>
  <si>
    <t>J.K.</t>
  </si>
  <si>
    <t>J.K. Dobbins</t>
  </si>
  <si>
    <t>Dobbins</t>
  </si>
  <si>
    <t>107027-73273</t>
  </si>
  <si>
    <t>107027-137902</t>
  </si>
  <si>
    <t>107027-63759</t>
  </si>
  <si>
    <t>107027-103376</t>
  </si>
  <si>
    <t>Zach Charbonnet</t>
  </si>
  <si>
    <t>Charbonnet</t>
  </si>
  <si>
    <t>107027-40442</t>
  </si>
  <si>
    <t>107027-90533</t>
  </si>
  <si>
    <t>107027-90575</t>
  </si>
  <si>
    <t>107027-91598</t>
  </si>
  <si>
    <t>107027-91578</t>
  </si>
  <si>
    <t>107027-70603</t>
  </si>
  <si>
    <t>107027-93541</t>
  </si>
  <si>
    <t>107027-87467</t>
  </si>
  <si>
    <t>107027-156523</t>
  </si>
  <si>
    <t>Carson</t>
  </si>
  <si>
    <t>Carson Steele</t>
  </si>
  <si>
    <t>Steele</t>
  </si>
  <si>
    <t>107027-28827</t>
  </si>
  <si>
    <t>Dare</t>
  </si>
  <si>
    <t>Dare Ogunbowale</t>
  </si>
  <si>
    <t>Ogunbowale</t>
  </si>
  <si>
    <t>107027-33076</t>
  </si>
  <si>
    <t>Travis Kelce</t>
  </si>
  <si>
    <t>Kelce</t>
  </si>
  <si>
    <t>107027-105646</t>
  </si>
  <si>
    <t>107027-91750</t>
  </si>
  <si>
    <t>107027-52436</t>
  </si>
  <si>
    <t>Mark</t>
  </si>
  <si>
    <t>Mark Andrews</t>
  </si>
  <si>
    <t>Andrews</t>
  </si>
  <si>
    <t>107027-151794</t>
  </si>
  <si>
    <t>Brock Bowers</t>
  </si>
  <si>
    <t>Bowers</t>
  </si>
  <si>
    <t>107027-86080</t>
  </si>
  <si>
    <t>Kyle</t>
  </si>
  <si>
    <t>Kyle Pitts</t>
  </si>
  <si>
    <t>Pitts</t>
  </si>
  <si>
    <t>107027-83074</t>
  </si>
  <si>
    <t>Dallas Goedert</t>
  </si>
  <si>
    <t>Goedert</t>
  </si>
  <si>
    <t>107027-55335</t>
  </si>
  <si>
    <t>O</t>
  </si>
  <si>
    <t>107027-55042</t>
  </si>
  <si>
    <t>Dalton Schultz</t>
  </si>
  <si>
    <t>Schultz</t>
  </si>
  <si>
    <t>107027-89680</t>
  </si>
  <si>
    <t>107027-89588</t>
  </si>
  <si>
    <t>107027-86244</t>
  </si>
  <si>
    <t>107027-64808</t>
  </si>
  <si>
    <t>107027-88297</t>
  </si>
  <si>
    <t>107027-91047</t>
  </si>
  <si>
    <t>107027-48116</t>
  </si>
  <si>
    <t>107027-86811</t>
  </si>
  <si>
    <t>107027-160303</t>
  </si>
  <si>
    <t>Tucker Kraft</t>
  </si>
  <si>
    <t>Kraft</t>
  </si>
  <si>
    <t>107027-71705</t>
  </si>
  <si>
    <t>Noah Fant</t>
  </si>
  <si>
    <t>Fant</t>
  </si>
  <si>
    <t>107027-71143</t>
  </si>
  <si>
    <t>107027-56708</t>
  </si>
  <si>
    <t>107027-63907</t>
  </si>
  <si>
    <t>107027-90307</t>
  </si>
  <si>
    <t>107027-91931</t>
  </si>
  <si>
    <t>Greg Dulcich</t>
  </si>
  <si>
    <t>Dulcich</t>
  </si>
  <si>
    <t>107027-91101</t>
  </si>
  <si>
    <t>Tommy</t>
  </si>
  <si>
    <t>Tommy Tremble</t>
  </si>
  <si>
    <t>Tremble</t>
  </si>
  <si>
    <t>107027-79980</t>
  </si>
  <si>
    <t>Eric</t>
  </si>
  <si>
    <t>Eric Saubert</t>
  </si>
  <si>
    <t>Saubert</t>
  </si>
  <si>
    <t>107027-86631</t>
  </si>
  <si>
    <t>CeeDee</t>
  </si>
  <si>
    <t>CeeDee Lamb</t>
  </si>
  <si>
    <t>Lamb</t>
  </si>
  <si>
    <t>107027-85671</t>
  </si>
  <si>
    <t>107027-86997</t>
  </si>
  <si>
    <t>107027-53681</t>
  </si>
  <si>
    <t>107027-72846</t>
  </si>
  <si>
    <t>A.J.</t>
  </si>
  <si>
    <t>A.J. Brown</t>
  </si>
  <si>
    <t>Hamstring</t>
  </si>
  <si>
    <t>107027-32384</t>
  </si>
  <si>
    <t>107027-45889</t>
  </si>
  <si>
    <t>107027-91419</t>
  </si>
  <si>
    <t>107027-152651</t>
  </si>
  <si>
    <t>107027-111311</t>
  </si>
  <si>
    <t>Rashee</t>
  </si>
  <si>
    <t>Rashee Rice</t>
  </si>
  <si>
    <t>Rice</t>
  </si>
  <si>
    <t>107027-73048</t>
  </si>
  <si>
    <t>107027-151761</t>
  </si>
  <si>
    <t>107027-25079</t>
  </si>
  <si>
    <t>107027-112295</t>
  </si>
  <si>
    <t>Zay</t>
  </si>
  <si>
    <t>Zay Flowers</t>
  </si>
  <si>
    <t>Flowers</t>
  </si>
  <si>
    <t>107027-87770</t>
  </si>
  <si>
    <t>107027-90573</t>
  </si>
  <si>
    <t>107027-55635</t>
  </si>
  <si>
    <t>107027-63043</t>
  </si>
  <si>
    <t>107027-85798</t>
  </si>
  <si>
    <t>Brandon Aiyuk</t>
  </si>
  <si>
    <t>Aiyuk</t>
  </si>
  <si>
    <t>107027-112745</t>
  </si>
  <si>
    <t>107027-64555</t>
  </si>
  <si>
    <t>107027-111631</t>
  </si>
  <si>
    <t>107027-170287</t>
  </si>
  <si>
    <t>107027-110246</t>
  </si>
  <si>
    <t>107027-129291</t>
  </si>
  <si>
    <t>107027-120033</t>
  </si>
  <si>
    <t>107027-38264</t>
  </si>
  <si>
    <t>107027-129458</t>
  </si>
  <si>
    <t>107027-31001</t>
  </si>
  <si>
    <t>107027-158974</t>
  </si>
  <si>
    <t>Xavier Worthy</t>
  </si>
  <si>
    <t>Worthy</t>
  </si>
  <si>
    <t>107027-29501</t>
  </si>
  <si>
    <t>107027-92859</t>
  </si>
  <si>
    <t>Jalen Nailor</t>
  </si>
  <si>
    <t>Nailor</t>
  </si>
  <si>
    <t>107027-27050</t>
  </si>
  <si>
    <t>Tyler Lockett</t>
  </si>
  <si>
    <t>Lockett</t>
  </si>
  <si>
    <t>107027-90561</t>
  </si>
  <si>
    <t>107027-86312</t>
  </si>
  <si>
    <t>107027-68712</t>
  </si>
  <si>
    <t>Tyler Johnson</t>
  </si>
  <si>
    <t>107027-89455</t>
  </si>
  <si>
    <t>Jayden Reed</t>
  </si>
  <si>
    <t>Reed</t>
  </si>
  <si>
    <t>107027-133472</t>
  </si>
  <si>
    <t>107027-120639</t>
  </si>
  <si>
    <t>107027-103539</t>
  </si>
  <si>
    <t>107027-129305</t>
  </si>
  <si>
    <t>Josh Downs</t>
  </si>
  <si>
    <t>Downs</t>
  </si>
  <si>
    <t>107027-169776</t>
  </si>
  <si>
    <t>Christian Watson</t>
  </si>
  <si>
    <t>107027-87418</t>
  </si>
  <si>
    <t>Elbow</t>
  </si>
  <si>
    <t>107027-16606</t>
  </si>
  <si>
    <t>DeAndre</t>
  </si>
  <si>
    <t>DeAndre Hopkins</t>
  </si>
  <si>
    <t>Hopkins</t>
  </si>
  <si>
    <t>107027-69777</t>
  </si>
  <si>
    <t>107027-66008</t>
  </si>
  <si>
    <t>107027-57403</t>
  </si>
  <si>
    <t>107027-151789</t>
  </si>
  <si>
    <t>107027-63634</t>
  </si>
  <si>
    <t>107027-53097</t>
  </si>
  <si>
    <t>107027-94370</t>
  </si>
  <si>
    <t>Romeo</t>
  </si>
  <si>
    <t>Romeo Doubs</t>
  </si>
  <si>
    <t>Doubs</t>
  </si>
  <si>
    <t>107027-61593</t>
  </si>
  <si>
    <t>Jauan</t>
  </si>
  <si>
    <t>Jauan Jennings</t>
  </si>
  <si>
    <t>Jennings</t>
  </si>
  <si>
    <t>107027-39716</t>
  </si>
  <si>
    <t>107027-89612</t>
  </si>
  <si>
    <t>107027-120042</t>
  </si>
  <si>
    <t>107027-62055</t>
  </si>
  <si>
    <t>107027-85845</t>
  </si>
  <si>
    <t>Rashod</t>
  </si>
  <si>
    <t>Rashod Bateman</t>
  </si>
  <si>
    <t>Bateman</t>
  </si>
  <si>
    <t>107027-88575</t>
  </si>
  <si>
    <t>107027-88548</t>
  </si>
  <si>
    <t>107027-40669</t>
  </si>
  <si>
    <t>107027-70422</t>
  </si>
  <si>
    <t>107027-63819</t>
  </si>
  <si>
    <t>107027-64581</t>
  </si>
  <si>
    <t>107027-103511</t>
  </si>
  <si>
    <t>Devaughn</t>
  </si>
  <si>
    <t>Devaughn Vele</t>
  </si>
  <si>
    <t>Vele</t>
  </si>
  <si>
    <t>107027-83083</t>
  </si>
  <si>
    <t>Justin Watson</t>
  </si>
  <si>
    <t>107027-103619</t>
  </si>
  <si>
    <t>107027-114198</t>
  </si>
  <si>
    <t>107027-62628</t>
  </si>
  <si>
    <t>DeAndre Carter</t>
  </si>
  <si>
    <t>Carter</t>
  </si>
  <si>
    <t>107027-103195</t>
  </si>
  <si>
    <t>Jordan Whittington</t>
  </si>
  <si>
    <t>Whittington</t>
  </si>
  <si>
    <t>107027-52345</t>
  </si>
  <si>
    <t>107027-29683</t>
  </si>
  <si>
    <t>Nelson</t>
  </si>
  <si>
    <t>Nelson Agholor</t>
  </si>
  <si>
    <t>Agholor</t>
  </si>
  <si>
    <t>107027-52495</t>
  </si>
  <si>
    <t>107027-69581</t>
  </si>
  <si>
    <t>Cedrick</t>
  </si>
  <si>
    <t>Cedrick Wilson Jr.</t>
  </si>
  <si>
    <t>Wilson Jr.</t>
  </si>
  <si>
    <t>107027-90870</t>
  </si>
  <si>
    <t>107027-30403</t>
  </si>
  <si>
    <t>Chris Conley</t>
  </si>
  <si>
    <t>Conley</t>
  </si>
  <si>
    <t>107027-33047</t>
  </si>
  <si>
    <t>Chris Moore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</si>
</sst>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5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Dialog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00">
    <xf numFmtId="0" fontId="0" fillId="0" borderId="0"/>
    <xf numFmtId="0" fontId="6" fillId="0" borderId="0"/>
    <xf numFmtId="0" fontId="8" fillId="0" borderId="0" applyNumberFormat="0" applyFill="0" applyBorder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1" fillId="0" borderId="0" applyNumberFormat="0" applyFill="0" applyBorder="0" applyAlignment="0" applyProtection="0"/>
    <xf numFmtId="0" fontId="12" fillId="2" borderId="0" applyNumberFormat="0" applyBorder="0" applyAlignment="0" applyProtection="0"/>
    <xf numFmtId="0" fontId="13" fillId="3" borderId="0" applyNumberFormat="0" applyBorder="0" applyAlignment="0" applyProtection="0"/>
    <xf numFmtId="0" fontId="14" fillId="4" borderId="0" applyNumberFormat="0" applyBorder="0" applyAlignment="0" applyProtection="0"/>
    <xf numFmtId="0" fontId="15" fillId="5" borderId="5" applyNumberFormat="0" applyAlignment="0" applyProtection="0"/>
    <xf numFmtId="0" fontId="16" fillId="6" borderId="6" applyNumberFormat="0" applyAlignment="0" applyProtection="0"/>
    <xf numFmtId="0" fontId="17" fillId="6" borderId="5" applyNumberFormat="0" applyAlignment="0" applyProtection="0"/>
    <xf numFmtId="0" fontId="18" fillId="0" borderId="7" applyNumberFormat="0" applyFill="0" applyAlignment="0" applyProtection="0"/>
    <xf numFmtId="0" fontId="19" fillId="7" borderId="8" applyNumberFormat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10" applyNumberFormat="0" applyFill="0" applyAlignment="0" applyProtection="0"/>
    <xf numFmtId="0" fontId="2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23" fillId="12" borderId="0" applyNumberFormat="0" applyBorder="0" applyAlignment="0" applyProtection="0"/>
    <xf numFmtId="0" fontId="2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3" fillId="16" borderId="0" applyNumberFormat="0" applyBorder="0" applyAlignment="0" applyProtection="0"/>
    <xf numFmtId="0" fontId="2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3" fillId="20" borderId="0" applyNumberFormat="0" applyBorder="0" applyAlignment="0" applyProtection="0"/>
    <xf numFmtId="0" fontId="2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3" fillId="24" borderId="0" applyNumberFormat="0" applyBorder="0" applyAlignment="0" applyProtection="0"/>
    <xf numFmtId="0" fontId="2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3" fillId="28" borderId="0" applyNumberFormat="0" applyBorder="0" applyAlignment="0" applyProtection="0"/>
    <xf numFmtId="0" fontId="2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3" fillId="32" borderId="0" applyNumberFormat="0" applyBorder="0" applyAlignment="0" applyProtection="0"/>
    <xf numFmtId="0" fontId="5" fillId="0" borderId="0"/>
    <xf numFmtId="0" fontId="5" fillId="8" borderId="9" applyNumberFormat="0" applyFont="0" applyAlignment="0" applyProtection="0"/>
    <xf numFmtId="0" fontId="4" fillId="0" borderId="0"/>
    <xf numFmtId="0" fontId="4" fillId="8" borderId="9" applyNumberFormat="0" applyFont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9" applyNumberFormat="0" applyFont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9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48">
    <xf numFmtId="0" fontId="0" fillId="0" borderId="0" xfId="0"/>
    <xf numFmtId="0" fontId="0" fillId="0" borderId="0" xfId="0" applyProtection="1">
      <protection locked="0"/>
    </xf>
    <xf numFmtId="0" fontId="7" fillId="0" borderId="0" xfId="0" applyFont="1"/>
    <xf numFmtId="0" fontId="0" fillId="0" borderId="1" xfId="0" applyBorder="1"/>
    <xf numFmtId="0" fontId="0" fillId="0" borderId="0" xfId="0" applyBorder="1"/>
    <xf numFmtId="0" fontId="7" fillId="0" borderId="0" xfId="0" applyFont="1" applyBorder="1"/>
    <xf numFmtId="0" fontId="7" fillId="0" borderId="1" xfId="0" applyFont="1" applyBorder="1"/>
    <xf numFmtId="0" fontId="0" fillId="0" borderId="1" xfId="0" applyBorder="1" applyProtection="1">
      <protection locked="0"/>
    </xf>
    <xf numFmtId="0" fontId="0" fillId="0" borderId="0" xfId="0" applyBorder="1" applyProtection="1">
      <protection locked="0"/>
    </xf>
    <xf numFmtId="0" fontId="7" fillId="0" borderId="1" xfId="0" applyFont="1" applyBorder="1" applyProtection="1"/>
    <xf numFmtId="0" fontId="7" fillId="0" borderId="1" xfId="0" applyFont="1" applyBorder="1" applyAlignment="1">
      <alignment horizontal="center"/>
    </xf>
    <xf numFmtId="0" fontId="24" fillId="0" borderId="0" xfId="0" applyFont="1" applyAlignment="1">
      <alignment horizontal="right"/>
    </xf>
    <xf numFmtId="0" fontId="7" fillId="0" borderId="11" xfId="0" applyFont="1" applyBorder="1"/>
    <xf numFmtId="0" fontId="0" fillId="0" borderId="0" xfId="0"/>
    <xf numFmtId="0" fontId="0" fillId="0" borderId="1" xfId="0" applyBorder="1" applyAlignment="1">
      <alignment horizontal="right"/>
    </xf>
    <xf numFmtId="0" fontId="7" fillId="0" borderId="1" xfId="0" applyFont="1" applyBorder="1" applyAlignment="1">
      <alignment horizontal="right"/>
    </xf>
    <xf numFmtId="0" fontId="3" fillId="0" borderId="0" xfId="58"/>
    <xf numFmtId="0" fontId="3" fillId="0" borderId="0" xfId="58"/>
    <xf numFmtId="0" fontId="3" fillId="0" borderId="0" xfId="58"/>
    <xf numFmtId="0" fontId="3" fillId="0" borderId="0" xfId="58"/>
    <xf numFmtId="0" fontId="3" fillId="0" borderId="0" xfId="58"/>
    <xf numFmtId="0" fontId="3" fillId="0" borderId="0" xfId="58"/>
    <xf numFmtId="0" fontId="3" fillId="0" borderId="0" xfId="58"/>
    <xf numFmtId="0" fontId="3" fillId="0" borderId="0" xfId="58"/>
    <xf numFmtId="0" fontId="3" fillId="0" borderId="0" xfId="58"/>
    <xf numFmtId="0" fontId="3" fillId="0" borderId="0" xfId="58"/>
    <xf numFmtId="0" fontId="3" fillId="0" borderId="0" xfId="58"/>
    <xf numFmtId="0" fontId="3" fillId="0" borderId="0" xfId="58"/>
    <xf numFmtId="0" fontId="3" fillId="0" borderId="0" xfId="58"/>
    <xf numFmtId="0" fontId="3" fillId="0" borderId="0" xfId="58"/>
    <xf numFmtId="0" fontId="3" fillId="0" borderId="0" xfId="58"/>
    <xf numFmtId="0" fontId="3" fillId="0" borderId="0" xfId="58"/>
    <xf numFmtId="0" fontId="3" fillId="0" borderId="0" xfId="58"/>
    <xf numFmtId="0" fontId="3" fillId="0" borderId="0" xfId="58"/>
    <xf numFmtId="0" fontId="3" fillId="0" borderId="0" xfId="58"/>
    <xf numFmtId="0" fontId="2" fillId="0" borderId="0" xfId="72"/>
    <xf numFmtId="0" fontId="2" fillId="0" borderId="0" xfId="72"/>
    <xf numFmtId="0" fontId="2" fillId="0" borderId="0" xfId="72"/>
    <xf numFmtId="0" fontId="2" fillId="0" borderId="0" xfId="72"/>
    <xf numFmtId="0" fontId="2" fillId="0" borderId="0" xfId="72"/>
    <xf numFmtId="0" fontId="2" fillId="0" borderId="0" xfId="72"/>
    <xf numFmtId="0" fontId="2" fillId="0" borderId="0" xfId="72"/>
    <xf numFmtId="0" fontId="1" fillId="0" borderId="0" xfId="86"/>
    <xf numFmtId="0" fontId="1" fillId="0" borderId="0" xfId="86"/>
    <xf numFmtId="0" fontId="1" fillId="0" borderId="0" xfId="86"/>
    <xf numFmtId="0" fontId="1" fillId="0" borderId="0" xfId="86"/>
    <xf numFmtId="0" fontId="1" fillId="0" borderId="0" xfId="86"/>
    <xf numFmtId="0" fontId="1" fillId="0" borderId="0" xfId="86"/>
  </cellXfs>
  <cellStyles count="100">
    <cellStyle name="20% - Accent1" xfId="19" builtinId="30" customBuiltin="1"/>
    <cellStyle name="20% - Accent1 2" xfId="46"/>
    <cellStyle name="20% - Accent1 3" xfId="60"/>
    <cellStyle name="20% - Accent1 4" xfId="74"/>
    <cellStyle name="20% - Accent1 5" xfId="88"/>
    <cellStyle name="20% - Accent2" xfId="23" builtinId="34" customBuiltin="1"/>
    <cellStyle name="20% - Accent2 2" xfId="48"/>
    <cellStyle name="20% - Accent2 3" xfId="62"/>
    <cellStyle name="20% - Accent2 4" xfId="76"/>
    <cellStyle name="20% - Accent2 5" xfId="90"/>
    <cellStyle name="20% - Accent3" xfId="27" builtinId="38" customBuiltin="1"/>
    <cellStyle name="20% - Accent3 2" xfId="50"/>
    <cellStyle name="20% - Accent3 3" xfId="64"/>
    <cellStyle name="20% - Accent3 4" xfId="78"/>
    <cellStyle name="20% - Accent3 5" xfId="92"/>
    <cellStyle name="20% - Accent4" xfId="31" builtinId="42" customBuiltin="1"/>
    <cellStyle name="20% - Accent4 2" xfId="52"/>
    <cellStyle name="20% - Accent4 3" xfId="66"/>
    <cellStyle name="20% - Accent4 4" xfId="80"/>
    <cellStyle name="20% - Accent4 5" xfId="94"/>
    <cellStyle name="20% - Accent5" xfId="35" builtinId="46" customBuiltin="1"/>
    <cellStyle name="20% - Accent5 2" xfId="54"/>
    <cellStyle name="20% - Accent5 3" xfId="68"/>
    <cellStyle name="20% - Accent5 4" xfId="82"/>
    <cellStyle name="20% - Accent5 5" xfId="96"/>
    <cellStyle name="20% - Accent6" xfId="39" builtinId="50" customBuiltin="1"/>
    <cellStyle name="20% - Accent6 2" xfId="56"/>
    <cellStyle name="20% - Accent6 3" xfId="70"/>
    <cellStyle name="20% - Accent6 4" xfId="84"/>
    <cellStyle name="20% - Accent6 5" xfId="98"/>
    <cellStyle name="40% - Accent1" xfId="20" builtinId="31" customBuiltin="1"/>
    <cellStyle name="40% - Accent1 2" xfId="47"/>
    <cellStyle name="40% - Accent1 3" xfId="61"/>
    <cellStyle name="40% - Accent1 4" xfId="75"/>
    <cellStyle name="40% - Accent1 5" xfId="89"/>
    <cellStyle name="40% - Accent2" xfId="24" builtinId="35" customBuiltin="1"/>
    <cellStyle name="40% - Accent2 2" xfId="49"/>
    <cellStyle name="40% - Accent2 3" xfId="63"/>
    <cellStyle name="40% - Accent2 4" xfId="77"/>
    <cellStyle name="40% - Accent2 5" xfId="91"/>
    <cellStyle name="40% - Accent3" xfId="28" builtinId="39" customBuiltin="1"/>
    <cellStyle name="40% - Accent3 2" xfId="51"/>
    <cellStyle name="40% - Accent3 3" xfId="65"/>
    <cellStyle name="40% - Accent3 4" xfId="79"/>
    <cellStyle name="40% - Accent3 5" xfId="93"/>
    <cellStyle name="40% - Accent4" xfId="32" builtinId="43" customBuiltin="1"/>
    <cellStyle name="40% - Accent4 2" xfId="53"/>
    <cellStyle name="40% - Accent4 3" xfId="67"/>
    <cellStyle name="40% - Accent4 4" xfId="81"/>
    <cellStyle name="40% - Accent4 5" xfId="95"/>
    <cellStyle name="40% - Accent5" xfId="36" builtinId="47" customBuiltin="1"/>
    <cellStyle name="40% - Accent5 2" xfId="55"/>
    <cellStyle name="40% - Accent5 3" xfId="69"/>
    <cellStyle name="40% - Accent5 4" xfId="83"/>
    <cellStyle name="40% - Accent5 5" xfId="97"/>
    <cellStyle name="40% - Accent6" xfId="40" builtinId="51" customBuiltin="1"/>
    <cellStyle name="40% - Accent6 2" xfId="57"/>
    <cellStyle name="40% - Accent6 3" xfId="71"/>
    <cellStyle name="40% - Accent6 4" xfId="85"/>
    <cellStyle name="40% - Accent6 5" xfId="99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1"/>
    <cellStyle name="Normal 3" xfId="42"/>
    <cellStyle name="Normal 4" xfId="44"/>
    <cellStyle name="Normal 5" xfId="58"/>
    <cellStyle name="Normal 6" xfId="72"/>
    <cellStyle name="Normal 7" xfId="86"/>
    <cellStyle name="Note 2" xfId="43"/>
    <cellStyle name="Note 3" xfId="45"/>
    <cellStyle name="Note 4" xfId="59"/>
    <cellStyle name="Note 5" xfId="73"/>
    <cellStyle name="Note 6" xfId="87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12"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J38"/>
  <sheetViews>
    <sheetView tabSelected="1" workbookViewId="0">
      <selection activeCell="B3" sqref="B3"/>
    </sheetView>
  </sheetViews>
  <sheetFormatPr defaultRowHeight="15"/>
  <cols>
    <col min="1" max="1" width="9.5703125" bestFit="1" customWidth="1"/>
    <col min="2" max="2" width="18.140625" style="1" bestFit="1" customWidth="1"/>
    <col min="3" max="3" width="8.42578125" bestFit="1" customWidth="1"/>
    <col min="4" max="5" width="6" customWidth="1"/>
    <col min="7" max="7" width="16.28515625" style="1" bestFit="1" customWidth="1"/>
    <col min="8" max="8" width="7.7109375" bestFit="1" customWidth="1"/>
    <col min="9" max="10" width="6.28515625" customWidth="1"/>
    <col min="12" max="12" width="19" style="1" bestFit="1" customWidth="1"/>
    <col min="13" max="13" width="7.7109375" bestFit="1" customWidth="1"/>
    <col min="14" max="15" width="6.28515625" customWidth="1"/>
    <col min="16" max="16" width="9.140625" style="13"/>
    <col min="17" max="17" width="19" style="13" bestFit="1" customWidth="1"/>
    <col min="18" max="18" width="7.7109375" style="1" bestFit="1" customWidth="1"/>
    <col min="19" max="20" width="6.28515625" style="1" customWidth="1"/>
    <col min="21" max="21" width="9.140625" style="1"/>
    <col min="22" max="22" width="19" style="1" bestFit="1" customWidth="1"/>
    <col min="23" max="23" width="7.7109375" style="1" bestFit="1" customWidth="1"/>
    <col min="24" max="25" width="6.28515625" style="1" customWidth="1"/>
    <col min="26" max="26" width="9.140625" style="1"/>
    <col min="27" max="27" width="19" style="1" bestFit="1" customWidth="1"/>
    <col min="28" max="28" width="7.7109375" style="1" bestFit="1" customWidth="1"/>
    <col min="29" max="30" width="6.28515625" style="1" customWidth="1"/>
    <col min="31" max="31" width="9.140625" style="1"/>
    <col min="32" max="32" width="19" style="4" bestFit="1" customWidth="1"/>
    <col min="33" max="33" width="7.7109375" style="4" bestFit="1" customWidth="1"/>
    <col min="34" max="34" width="5.140625" style="4" bestFit="1" customWidth="1"/>
  </cols>
  <sheetData>
    <row r="1" spans="1:36">
      <c r="A1" s="6" t="s">
        <v>0</v>
      </c>
      <c r="B1" s="6" t="s">
        <v>34</v>
      </c>
      <c r="C1" s="15" t="s">
        <v>1</v>
      </c>
      <c r="D1" s="15" t="s">
        <v>142</v>
      </c>
      <c r="E1" s="10" t="s">
        <v>62</v>
      </c>
      <c r="F1" s="4"/>
      <c r="G1" s="6" t="s">
        <v>34</v>
      </c>
      <c r="H1" s="15" t="s">
        <v>1</v>
      </c>
      <c r="I1" s="15" t="s">
        <v>142</v>
      </c>
      <c r="J1" s="10" t="s">
        <v>62</v>
      </c>
      <c r="K1" s="12"/>
      <c r="L1" s="9" t="s">
        <v>34</v>
      </c>
      <c r="M1" s="15" t="s">
        <v>1</v>
      </c>
      <c r="N1" s="15" t="s">
        <v>142</v>
      </c>
      <c r="O1" s="10" t="s">
        <v>62</v>
      </c>
      <c r="AF1" s="5"/>
      <c r="AG1" s="5"/>
      <c r="AH1" s="5"/>
      <c r="AI1" s="2"/>
      <c r="AJ1" s="2"/>
    </row>
    <row r="2" spans="1:36">
      <c r="A2" s="6" t="s">
        <v>16</v>
      </c>
      <c r="B2" s="7" t="s">
        <v>44</v>
      </c>
      <c r="C2" s="14">
        <f>IFERROR(IF(INDEX(qblkp,MATCH(B2,qb,0),MATCH($C$1,QB!$1:$1,0))=0,"",INDEX(qblkp,MATCH(B2,qb,0),MATCH($C$1,QB!$1:$1,0))),"")</f>
        <v>7700</v>
      </c>
      <c r="D2" s="14">
        <f>IFERROR(IF(INDEX(qblkp,MATCH(B2,qb,0),MATCH("Projected Points",QB!$1:$1,0))=0,"",INDEX(qblkp,MATCH(B2,qb,0),MATCH("Projected Points",QB!$1:$1,0))),"")</f>
        <v>24.7299995422363</v>
      </c>
      <c r="E2" s="14" t="str">
        <f>IFERROR(IF(INDEX(qblkp,MATCH(C2,qb,0),MATCH("Injury Indicator",QB!$1:$1,0))=0,"",INDEX(qblkp,MATCH(C2,qb,0),MATCH("Injury Indicator",QB!$1:$1,0))),"")</f>
        <v/>
      </c>
      <c r="F2" s="4"/>
      <c r="G2" s="7"/>
      <c r="H2" s="14" t="str">
        <f>IFERROR(IF(INDEX(qblkp,MATCH(G2,qb,0),MATCH($C$1,QB!$1:$1,0))=0,"",INDEX(qblkp,MATCH(G2,qb,0),MATCH($C$1,QB!$1:$1,0))),"")</f>
        <v/>
      </c>
      <c r="I2" s="14" t="str">
        <f>IFERROR(IF(INDEX(qblkp,MATCH(G2,qb,0),MATCH("Projected Points",QB!$1:$1,0))=0,"",INDEX(qblkp,MATCH(G2,qb,0),MATCH("Projected Points",QB!$1:$1,0))),"")</f>
        <v/>
      </c>
      <c r="J2" s="14" t="str">
        <f>IFERROR(IF(INDEX(qblkp,MATCH(H2,qb,0),MATCH("Injury Indicator",QB!$1:$1,0))=0,"",INDEX(qblkp,MATCH(H2,qb,0),MATCH("Injury Indicator",QB!$1:$1,0))),"")</f>
        <v/>
      </c>
      <c r="K2" s="8"/>
      <c r="L2" s="7"/>
      <c r="M2" s="14" t="str">
        <f>IFERROR(IF(INDEX(qblkp,MATCH(L2,qb,0),MATCH($C$1,QB!$1:$1,0))=0,"",INDEX(qblkp,MATCH(L2,qb,0),MATCH($C$1,QB!$1:$1,0))),"")</f>
        <v/>
      </c>
      <c r="N2" s="14" t="str">
        <f>IFERROR(IF(INDEX(qblkp,MATCH(L2,qb,0),MATCH("Projected Points",QB!$1:$1,0))=0,"",INDEX(qblkp,MATCH(L2,qb,0),MATCH("Projected Points",QB!$1:$1,0))),"")</f>
        <v/>
      </c>
      <c r="O2" s="14" t="str">
        <f>IFERROR(IF(INDEX(qblkp,MATCH(M2,qb,0),MATCH("Injury Indicator",QB!$1:$1,0))=0,"",INDEX(qblkp,MATCH(M2,qb,0),MATCH("Injury Indicator",QB!$1:$1,0))),"")</f>
        <v/>
      </c>
    </row>
    <row r="3" spans="1:36">
      <c r="A3" s="6" t="s">
        <v>28</v>
      </c>
      <c r="B3" s="7" t="s">
        <v>560</v>
      </c>
      <c r="C3" s="14">
        <f>IFERROR(IF(INDEX(rblkp,MATCH(B3,rb,0),MATCH($C$1,RB!$1:$1,0))=0,"",INDEX(rblkp,MATCH(B3,rb,0),MATCH($C$1,RB!$1:$1,0))),"")</f>
        <v>6700</v>
      </c>
      <c r="D3" s="14">
        <f>IFERROR(IF(INDEX(rblkp,MATCH(B3,rb,0),MATCH("Projected Points",RB!$1:$1,0))=0,"",INDEX(rblkp,MATCH(B3,rb,0),MATCH("Projected Points",RB!$1:$1,0))),"")</f>
        <v>13.25</v>
      </c>
      <c r="E3" s="14" t="str">
        <f>IFERROR(IF(INDEX(rblkp,MATCH(C3,rb,0),MATCH("Injury Indicator",RB!$1:$1,0))=0,"",INDEX(rblkp,MATCH(C3,rb,0),MATCH("Injury Indicator",RB!$1:$1,0))),"")</f>
        <v/>
      </c>
      <c r="F3" s="4"/>
      <c r="G3" s="7"/>
      <c r="H3" s="14" t="str">
        <f>IFERROR(IF(INDEX(rblkp,MATCH(G3,rb,0),MATCH($C$1,RB!$1:$1,0))=0,"",INDEX(rblkp,MATCH(G3,rb,0),MATCH($C$1,RB!$1:$1,0))),"")</f>
        <v/>
      </c>
      <c r="I3" s="14" t="str">
        <f>IFERROR(IF(INDEX(rblkp,MATCH(G3,rb,0),MATCH("Projected Points",RB!$1:$1,0))=0,"",INDEX(rblkp,MATCH(G3,rb,0),MATCH("Projected Points",RB!$1:$1,0))),"")</f>
        <v/>
      </c>
      <c r="J3" s="14" t="str">
        <f>IFERROR(IF(INDEX(rblkp,MATCH(H3,rb,0),MATCH("Injury Indicator",RB!$1:$1,0))=0,"",INDEX(rblkp,MATCH(H3,rb,0),MATCH("Injury Indicator",RB!$1:$1,0))),"")</f>
        <v/>
      </c>
      <c r="L3" s="7"/>
      <c r="M3" s="14" t="str">
        <f>IFERROR(IF(INDEX(rblkp,MATCH(L3,rb,0),MATCH($C$1,RB!$1:$1,0))=0,"",INDEX(rblkp,MATCH(L3,rb,0),MATCH($C$1,RB!$1:$1,0))),"")</f>
        <v/>
      </c>
      <c r="N3" s="14" t="str">
        <f>IFERROR(IF(INDEX(rblkp,MATCH(L3,rb,0),MATCH("Projected Points",RB!$1:$1,0))=0,"",INDEX(rblkp,MATCH(L3,rb,0),MATCH("Projected Points",RB!$1:$1,0))),"")</f>
        <v/>
      </c>
      <c r="O3" s="14" t="str">
        <f>IFERROR(IF(INDEX(rblkp,MATCH(M3,rb,0),MATCH("Injury Indicator",RB!$1:$1,0))=0,"",INDEX(rblkp,MATCH(M3,rb,0),MATCH("Injury Indicator",RB!$1:$1,0))),"")</f>
        <v/>
      </c>
      <c r="P3"/>
    </row>
    <row r="4" spans="1:36">
      <c r="A4" s="6" t="s">
        <v>29</v>
      </c>
      <c r="B4" s="34" t="s">
        <v>64</v>
      </c>
      <c r="C4" s="14">
        <f>IFERROR(IF(INDEX(rblkp,MATCH(B4,rb,0),MATCH($C$1,RB!$1:$1,0))=0,"",INDEX(rblkp,MATCH(B4,rb,0),MATCH($C$1,RB!$1:$1,0))),"")</f>
        <v>6500</v>
      </c>
      <c r="D4" s="14">
        <f>IFERROR(IF(INDEX(rblkp,MATCH(B4,rb,0),MATCH("Projected Points",RB!$1:$1,0))=0,"",INDEX(rblkp,MATCH(B4,rb,0),MATCH("Projected Points",RB!$1:$1,0))),"")</f>
        <v>11.399999618530201</v>
      </c>
      <c r="E4" s="14" t="str">
        <f>IFERROR(IF(INDEX(rblkp,MATCH(C4,rb,0),MATCH("Injury Indicator",RB!$1:$1,0))=0,"",INDEX(rblkp,MATCH(C4,rb,0),MATCH("Injury Indicator",RB!$1:$1,0))),"")</f>
        <v/>
      </c>
      <c r="F4" s="4"/>
      <c r="G4" s="7"/>
      <c r="H4" s="14" t="str">
        <f>IFERROR(IF(INDEX(rblkp,MATCH(G4,rb,0),MATCH($C$1,RB!$1:$1,0))=0,"",INDEX(rblkp,MATCH(G4,rb,0),MATCH($C$1,RB!$1:$1,0))),"")</f>
        <v/>
      </c>
      <c r="I4" s="14" t="str">
        <f>IFERROR(IF(INDEX(rblkp,MATCH(G4,rb,0),MATCH("Projected Points",RB!$1:$1,0))=0,"",INDEX(rblkp,MATCH(G4,rb,0),MATCH("Projected Points",RB!$1:$1,0))),"")</f>
        <v/>
      </c>
      <c r="J4" s="14" t="str">
        <f>IFERROR(IF(INDEX(rblkp,MATCH(H4,rb,0),MATCH("Injury Indicator",RB!$1:$1,0))=0,"",INDEX(rblkp,MATCH(H4,rb,0),MATCH("Injury Indicator",RB!$1:$1,0))),"")</f>
        <v/>
      </c>
      <c r="L4" s="7"/>
      <c r="M4" s="14" t="str">
        <f>IFERROR(IF(INDEX(rblkp,MATCH(L4,rb,0),MATCH($C$1,RB!$1:$1,0))=0,"",INDEX(rblkp,MATCH(L4,rb,0),MATCH($C$1,RB!$1:$1,0))),"")</f>
        <v/>
      </c>
      <c r="N4" s="14" t="str">
        <f>IFERROR(IF(INDEX(rblkp,MATCH(L4,rb,0),MATCH("Projected Points",RB!$1:$1,0))=0,"",INDEX(rblkp,MATCH(L4,rb,0),MATCH("Projected Points",RB!$1:$1,0))),"")</f>
        <v/>
      </c>
      <c r="O4" s="14" t="str">
        <f>IFERROR(IF(INDEX(rblkp,MATCH(M4,rb,0),MATCH("Injury Indicator",RB!$1:$1,0))=0,"",INDEX(rblkp,MATCH(M4,rb,0),MATCH("Injury Indicator",RB!$1:$1,0))),"")</f>
        <v/>
      </c>
    </row>
    <row r="5" spans="1:36">
      <c r="A5" s="6" t="s">
        <v>30</v>
      </c>
      <c r="B5" s="7" t="s">
        <v>55</v>
      </c>
      <c r="C5" s="14">
        <f>IFERROR(IF(INDEX(wrlkp,MATCH(B5,wr,0),MATCH($C$1,WR!$1:$1,0))=0,"",INDEX(wrlkp,MATCH(B5,wr,0),MATCH($C$1,WR!$1:$1,0))),"")</f>
        <v>8300</v>
      </c>
      <c r="D5" s="14">
        <f>IFERROR(IF(INDEX(wrlkp,MATCH(B5,wr,0),MATCH("Projected Points",WR!$1:$1,0))=0,"",INDEX(wrlkp,MATCH(B5,wr,0),MATCH("Projected Points",WR!$1:$1,0))),"")</f>
        <v>13.149999618530201</v>
      </c>
      <c r="E5" s="14" t="str">
        <f>IFERROR(IF(INDEX(wrlkp,MATCH(C5,wr,0),MATCH("Injury Indicator",WR!$1:$1,0))=0,"",INDEX(wrlkp,MATCH(C5,wr,0),MATCH("Injury Indicator",WR!$1:$1,0))),"")</f>
        <v/>
      </c>
      <c r="F5" s="4"/>
      <c r="G5" s="7"/>
      <c r="H5" s="14" t="str">
        <f>IFERROR(IF(INDEX(wrlkp,MATCH(G5,wr,0),MATCH($C$1,WR!$1:$1,0))=0,"",INDEX(wrlkp,MATCH(G5,wr,0),MATCH($C$1,WR!$1:$1,0))),"")</f>
        <v/>
      </c>
      <c r="I5" s="14" t="str">
        <f>IFERROR(IF(INDEX(wrlkp,MATCH(G5,wr,0),MATCH("Projected Points",WR!$1:$1,0))=0,"",INDEX(wrlkp,MATCH(G5,wr,0),MATCH("Projected Points",WR!$1:$1,0))),"")</f>
        <v/>
      </c>
      <c r="J5" s="14" t="str">
        <f>IFERROR(IF(INDEX(wrlkp,MATCH(H5,wr,0),MATCH("Injury Indicator",WR!$1:$1,0))=0,"",INDEX(wrlkp,MATCH(H5,wr,0),MATCH("Injury Indicator",WR!$1:$1,0))),"")</f>
        <v/>
      </c>
      <c r="L5" s="7"/>
      <c r="M5" s="14" t="str">
        <f>IFERROR(IF(INDEX(wrlkp,MATCH(L5,wr,0),MATCH($C$1,WR!$1:$1,0))=0,"",INDEX(wrlkp,MATCH(L5,wr,0),MATCH($C$1,WR!$1:$1,0))),"")</f>
        <v/>
      </c>
      <c r="N5" s="14" t="str">
        <f>IFERROR(IF(INDEX(wrlkp,MATCH(L5,wr,0),MATCH("Projected Points",WR!$1:$1,0))=0,"",INDEX(wrlkp,MATCH(L5,wr,0),MATCH("Projected Points",WR!$1:$1,0))),"")</f>
        <v/>
      </c>
      <c r="O5" s="14" t="str">
        <f>IFERROR(IF(INDEX(wrlkp,MATCH(M5,wr,0),MATCH("Injury Indicator",WR!$1:$1,0))=0,"",INDEX(wrlkp,MATCH(M5,wr,0),MATCH("Injury Indicator",WR!$1:$1,0))),"")</f>
        <v/>
      </c>
    </row>
    <row r="6" spans="1:36">
      <c r="A6" s="6" t="s">
        <v>31</v>
      </c>
      <c r="B6" s="7" t="s">
        <v>84</v>
      </c>
      <c r="C6" s="14">
        <f>IFERROR(IF(INDEX(wrlkp,MATCH(B6,wr,0),MATCH($C$1,WR!$1:$1,0))=0,"",INDEX(wrlkp,MATCH(B6,wr,0),MATCH($C$1,WR!$1:$1,0))),"")</f>
        <v>6300</v>
      </c>
      <c r="D6" s="14">
        <f>IFERROR(IF(INDEX(wrlkp,MATCH(B6,wr,0),MATCH("Projected Points",WR!$1:$1,0))=0,"",INDEX(wrlkp,MATCH(B6,wr,0),MATCH("Projected Points",WR!$1:$1,0))),"")</f>
        <v>18.399999618530199</v>
      </c>
      <c r="E6" s="14" t="str">
        <f>IFERROR(IF(INDEX(wrlkp,MATCH(C6,wr,0),MATCH("Injury Indicator",WR!$1:$1,0))=0,"",INDEX(wrlkp,MATCH(C6,wr,0),MATCH("Injury Indicator",WR!$1:$1,0))),"")</f>
        <v/>
      </c>
      <c r="F6" s="4"/>
      <c r="G6" s="7"/>
      <c r="H6" s="14" t="str">
        <f>IFERROR(IF(INDEX(wrlkp,MATCH(G6,wr,0),MATCH($C$1,WR!$1:$1,0))=0,"",INDEX(wrlkp,MATCH(G6,wr,0),MATCH($C$1,WR!$1:$1,0))),"")</f>
        <v/>
      </c>
      <c r="I6" s="14" t="str">
        <f>IFERROR(IF(INDEX(wrlkp,MATCH(G6,wr,0),MATCH("Projected Points",WR!$1:$1,0))=0,"",INDEX(wrlkp,MATCH(G6,wr,0),MATCH("Projected Points",WR!$1:$1,0))),"")</f>
        <v/>
      </c>
      <c r="J6" s="14" t="str">
        <f>IFERROR(IF(INDEX(wrlkp,MATCH(H6,wr,0),MATCH("Injury Indicator",WR!$1:$1,0))=0,"",INDEX(wrlkp,MATCH(H6,wr,0),MATCH("Injury Indicator",WR!$1:$1,0))),"")</f>
        <v/>
      </c>
      <c r="L6" s="7"/>
      <c r="M6" s="14" t="str">
        <f>IFERROR(IF(INDEX(wrlkp,MATCH(L6,wr,0),MATCH($C$1,WR!$1:$1,0))=0,"",INDEX(wrlkp,MATCH(L6,wr,0),MATCH($C$1,WR!$1:$1,0))),"")</f>
        <v/>
      </c>
      <c r="N6" s="14" t="str">
        <f>IFERROR(IF(INDEX(wrlkp,MATCH(L6,wr,0),MATCH("Projected Points",WR!$1:$1,0))=0,"",INDEX(wrlkp,MATCH(L6,wr,0),MATCH("Projected Points",WR!$1:$1,0))),"")</f>
        <v/>
      </c>
      <c r="O6" s="14" t="str">
        <f>IFERROR(IF(INDEX(wrlkp,MATCH(M6,wr,0),MATCH("Injury Indicator",WR!$1:$1,0))=0,"",INDEX(wrlkp,MATCH(M6,wr,0),MATCH("Injury Indicator",WR!$1:$1,0))),"")</f>
        <v/>
      </c>
    </row>
    <row r="7" spans="1:36">
      <c r="A7" s="6" t="s">
        <v>32</v>
      </c>
      <c r="B7" s="7" t="s">
        <v>85</v>
      </c>
      <c r="C7" s="14">
        <f>IFERROR(IF(INDEX(wrlkp,MATCH(B7,wr,0),MATCH($C$1,WR!$1:$1,0))=0,"",INDEX(wrlkp,MATCH(B7,wr,0),MATCH($C$1,WR!$1:$1,0))),"")</f>
        <v>6300</v>
      </c>
      <c r="D7" s="14">
        <f>IFERROR(IF(INDEX(wrlkp,MATCH(B7,wr,0),MATCH("Projected Points",WR!$1:$1,0))=0,"",INDEX(wrlkp,MATCH(B7,wr,0),MATCH("Projected Points",WR!$1:$1,0))),"")</f>
        <v>16.850000381469702</v>
      </c>
      <c r="E7" s="14" t="str">
        <f>IFERROR(IF(INDEX(wrlkp,MATCH(C7,wr,0),MATCH("Injury Indicator",WR!$1:$1,0))=0,"",INDEX(wrlkp,MATCH(C7,wr,0),MATCH("Injury Indicator",WR!$1:$1,0))),"")</f>
        <v/>
      </c>
      <c r="F7" s="4"/>
      <c r="G7" s="7"/>
      <c r="H7" s="14" t="str">
        <f>IFERROR(IF(INDEX(wrlkp,MATCH(G7,wr,0),MATCH($C$1,WR!$1:$1,0))=0,"",INDEX(wrlkp,MATCH(G7,wr,0),MATCH($C$1,WR!$1:$1,0))),"")</f>
        <v/>
      </c>
      <c r="I7" s="14" t="str">
        <f>IFERROR(IF(INDEX(wrlkp,MATCH(G7,wr,0),MATCH("Projected Points",WR!$1:$1,0))=0,"",INDEX(wrlkp,MATCH(G7,wr,0),MATCH("Projected Points",WR!$1:$1,0))),"")</f>
        <v/>
      </c>
      <c r="J7" s="14" t="str">
        <f>IFERROR(IF(INDEX(wrlkp,MATCH(H7,wr,0),MATCH("Injury Indicator",WR!$1:$1,0))=0,"",INDEX(wrlkp,MATCH(H7,wr,0),MATCH("Injury Indicator",WR!$1:$1,0))),"")</f>
        <v/>
      </c>
      <c r="L7" s="7"/>
      <c r="M7" s="14" t="str">
        <f>IFERROR(IF(INDEX(wrlkp,MATCH(L7,wr,0),MATCH($C$1,WR!$1:$1,0))=0,"",INDEX(wrlkp,MATCH(L7,wr,0),MATCH($C$1,WR!$1:$1,0))),"")</f>
        <v/>
      </c>
      <c r="N7" s="14" t="str">
        <f>IFERROR(IF(INDEX(wrlkp,MATCH(L7,wr,0),MATCH("Projected Points",WR!$1:$1,0))=0,"",INDEX(wrlkp,MATCH(L7,wr,0),MATCH("Projected Points",WR!$1:$1,0))),"")</f>
        <v/>
      </c>
      <c r="O7" s="14" t="str">
        <f>IFERROR(IF(INDEX(wrlkp,MATCH(M7,wr,0),MATCH("Injury Indicator",WR!$1:$1,0))=0,"",INDEX(wrlkp,MATCH(M7,wr,0),MATCH("Injury Indicator",WR!$1:$1,0))),"")</f>
        <v/>
      </c>
    </row>
    <row r="8" spans="1:36">
      <c r="A8" s="6" t="s">
        <v>23</v>
      </c>
      <c r="B8" s="7" t="s">
        <v>588</v>
      </c>
      <c r="C8" s="14">
        <f>IFERROR(IF(INDEX(telkp,MATCH(B8,te,0),MATCH($C$1,TE!$1:$1,0))=0,"",INDEX(telkp,MATCH(B8,te,0),MATCH($C$1,TE!$1:$1,0))),"")</f>
        <v>6300</v>
      </c>
      <c r="D8" s="14">
        <f>IFERROR(IF(INDEX(telkp,MATCH(B8,te,0),MATCH("Projected Points",TE!$1:$1,0))=0,"",INDEX(telkp,MATCH(B8,te,0),MATCH("Projected Points",TE!$1:$1,0))),"")</f>
        <v>11.550000190734799</v>
      </c>
      <c r="E8" s="14" t="str">
        <f>IFERROR(IF(INDEX(telkp,MATCH(C8,te,0),MATCH("Injury Indicator",TE!$1:$1,0))=0,"",INDEX(telkp,MATCH(C8,te,0),MATCH("Injury Indicator",TE!$1:$1,0))),"")</f>
        <v/>
      </c>
      <c r="F8" s="4"/>
      <c r="G8" s="7"/>
      <c r="H8" s="14" t="str">
        <f>IFERROR(IF(INDEX(telkp,MATCH(G8,te,0),MATCH($C$1,TE!$1:$1,0))=0,"",INDEX(telkp,MATCH(G8,te,0),MATCH($C$1,TE!$1:$1,0))),"")</f>
        <v/>
      </c>
      <c r="I8" s="14" t="str">
        <f>IFERROR(IF(INDEX(telkp,MATCH(G8,te,0),MATCH("Projected Points",TE!$1:$1,0))=0,"",INDEX(telkp,MATCH(G8,te,0),MATCH("Projected Points",TE!$1:$1,0))),"")</f>
        <v/>
      </c>
      <c r="J8" s="14" t="str">
        <f>IFERROR(IF(INDEX(telkp,MATCH(H8,te,0),MATCH("Injury Indicator",TE!$1:$1,0))=0,"",INDEX(telkp,MATCH(H8,te,0),MATCH("Injury Indicator",TE!$1:$1,0))),"")</f>
        <v/>
      </c>
      <c r="L8" s="7"/>
      <c r="M8" s="14" t="str">
        <f>IFERROR(IF(INDEX(telkp,MATCH(L8,te,0),MATCH($C$1,TE!$1:$1,0))=0,"",INDEX(telkp,MATCH(L8,te,0),MATCH($C$1,TE!$1:$1,0))),"")</f>
        <v/>
      </c>
      <c r="N8" s="14" t="str">
        <f>IFERROR(IF(INDEX(telkp,MATCH(L8,te,0),MATCH("Projected Points",TE!$1:$1,0))=0,"",INDEX(telkp,MATCH(L8,te,0),MATCH("Projected Points",TE!$1:$1,0))),"")</f>
        <v/>
      </c>
      <c r="O8" s="14" t="str">
        <f>IFERROR(IF(INDEX(telkp,MATCH(M8,te,0),MATCH("Injury Indicator",TE!$1:$1,0))=0,"",INDEX(telkp,MATCH(M8,te,0),MATCH("Injury Indicator",TE!$1:$1,0))),"")</f>
        <v/>
      </c>
    </row>
    <row r="9" spans="1:36">
      <c r="A9" s="6" t="s">
        <v>7</v>
      </c>
      <c r="B9" s="7" t="s">
        <v>114</v>
      </c>
      <c r="C9" s="14">
        <f>IFERROR(IF(INDEX(flexlkp,MATCH(B9,flex,0),MATCH($C$1,FLEX!$1:$1,0))=0,"",INDEX(flexlkp,MATCH(B9,flex,0),MATCH($C$1,FLEX!$1:$1,0))),"")</f>
        <v>7400</v>
      </c>
      <c r="D9" s="14">
        <f>IFERROR(IF(INDEX(flexlkp,MATCH(B9,flex,0),MATCH("Projected Points",FLEX!$1:$1,0))=0,"",INDEX(flexlkp,MATCH(B9,flex,0),MATCH("Projected Points",FLEX!$1:$1,0))),"")</f>
        <v>19.850000381469702</v>
      </c>
      <c r="E9" s="14" t="str">
        <f>IFERROR(IF(INDEX(flexlkp,MATCH(C9,flex,0),MATCH("Injury Indicator",FLEX!$1:$1,0))=0,"",INDEX(flexlkp,MATCH(C9,flex,0),MATCH("Injury Indicator",FLEX!$1:$1,0))),"")</f>
        <v/>
      </c>
      <c r="F9" s="4"/>
      <c r="G9" s="7"/>
      <c r="H9" s="14" t="str">
        <f>IFERROR(IF(INDEX(flexlkp,MATCH(G9,flex,0),MATCH($C$1,FLEX!$1:$1,0))=0,"",INDEX(flexlkp,MATCH(G9,flex,0),MATCH($C$1,FLEX!$1:$1,0))),"")</f>
        <v/>
      </c>
      <c r="I9" s="14" t="str">
        <f>IFERROR(IF(INDEX(flexlkp,MATCH(G9,flex,0),MATCH("Projected Points",FLEX!$1:$1,0))=0,"",INDEX(flexlkp,MATCH(G9,flex,0),MATCH("Projected Points",FLEX!$1:$1,0))),"")</f>
        <v/>
      </c>
      <c r="J9" s="14" t="str">
        <f>IFERROR(IF(INDEX(flexlkp,MATCH(H9,flex,0),MATCH("Injury Indicator",FLEX!$1:$1,0))=0,"",INDEX(flexlkp,MATCH(H9,flex,0),MATCH("Injury Indicator",FLEX!$1:$1,0))),"")</f>
        <v/>
      </c>
      <c r="L9" s="7"/>
      <c r="M9" s="14" t="str">
        <f>IFERROR(IF(INDEX(flexlkp,MATCH(L9,flex,0),MATCH($C$1,FLEX!$1:$1,0))=0,"",INDEX(flexlkp,MATCH(L9,flex,0),MATCH($C$1,FLEX!$1:$1,0))),"")</f>
        <v/>
      </c>
      <c r="N9" s="14" t="str">
        <f>IFERROR(IF(INDEX(flexlkp,MATCH(L9,flex,0),MATCH("Projected Points",FLEX!$1:$1,0))=0,"",INDEX(flexlkp,MATCH(L9,flex,0),MATCH("Projected Points",FLEX!$1:$1,0))),"")</f>
        <v/>
      </c>
      <c r="O9" s="14" t="str">
        <f>IFERROR(IF(INDEX(flexlkp,MATCH(M9,flex,0),MATCH("Injury Indicator",FLEX!$1:$1,0))=0,"",INDEX(flexlkp,MATCH(M9,flex,0),MATCH("Injury Indicator",FLEX!$1:$1,0))),"")</f>
        <v/>
      </c>
    </row>
    <row r="10" spans="1:36">
      <c r="A10" s="6" t="s">
        <v>33</v>
      </c>
      <c r="B10" s="7" t="s">
        <v>11</v>
      </c>
      <c r="C10" s="14">
        <f>IFERROR(IF(INDEX(deflkp,MATCH(B10,def,0),MATCH($C$1,DEF!$1:$1,0))=0,"",INDEX(deflkp,MATCH(B10,def,0),MATCH($C$1,DEF!$1:$1,0))),"")</f>
        <v>4100</v>
      </c>
      <c r="D10" s="14">
        <f>IFERROR(IF(INDEX(deflkp,MATCH(B10,def,0),MATCH("Projected Points",DEF!$1:$1,0))=0,"",INDEX(deflkp,MATCH(B10,def,0),MATCH("Projected Points",DEF!$1:$1,0))),"")</f>
        <v>17.5</v>
      </c>
      <c r="E10" s="14" t="str">
        <f>IFERROR(IF(INDEX(deflkp,MATCH(C10,def,0),MATCH("Injury Indicator",DEF!$1:$1,0))=0,"",INDEX(deflkp,MATCH(C10,def,0),MATCH("Injury Indicator",DEF!$1:$1,0))),"")</f>
        <v/>
      </c>
      <c r="F10" s="4"/>
      <c r="G10" s="7"/>
      <c r="H10" s="14" t="str">
        <f>IFERROR(IF(INDEX(deflkp,MATCH(G10,def,0),MATCH($C$1,DEF!$1:$1,0))=0,"",INDEX(deflkp,MATCH(G10,def,0),MATCH($C$1,DEF!$1:$1,0))),"")</f>
        <v/>
      </c>
      <c r="I10" s="14" t="str">
        <f>IFERROR(IF(INDEX(deflkp,MATCH(G10,def,0),MATCH("Projected Points",DEF!$1:$1,0))=0,"",INDEX(deflkp,MATCH(G10,def,0),MATCH("Projected Points",DEF!$1:$1,0))),"")</f>
        <v/>
      </c>
      <c r="J10" s="14" t="str">
        <f>IFERROR(IF(INDEX(deflkp,MATCH(H10,def,0),MATCH("Injury Indicator",DEF!$1:$1,0))=0,"",INDEX(deflkp,MATCH(H10,def,0),MATCH("Injury Indicator",DEF!$1:$1,0))),"")</f>
        <v/>
      </c>
      <c r="L10" s="7"/>
      <c r="M10" s="14" t="str">
        <f>IFERROR(IF(INDEX(deflkp,MATCH(L10,def,0),MATCH($C$1,DEF!$1:$1,0))=0,"",INDEX(deflkp,MATCH(L10,def,0),MATCH($C$1,DEF!$1:$1,0))),"")</f>
        <v/>
      </c>
      <c r="N10" s="14" t="str">
        <f>IFERROR(IF(INDEX(deflkp,MATCH(L10,def,0),MATCH("Projected Points",DEF!$1:$1,0))=0,"",INDEX(deflkp,MATCH(L10,def,0),MATCH("Projected Points",DEF!$1:$1,0))),"")</f>
        <v/>
      </c>
      <c r="O10" s="14" t="str">
        <f>IFERROR(IF(INDEX(deflkp,MATCH(M10,def,0),MATCH("Injury Indicator",DEF!$1:$1,0))=0,"",INDEX(deflkp,MATCH(M10,def,0),MATCH("Injury Indicator",DEF!$1:$1,0))),"")</f>
        <v/>
      </c>
    </row>
    <row r="11" spans="1:36">
      <c r="A11" s="5" t="s">
        <v>38</v>
      </c>
      <c r="B11" s="8"/>
      <c r="C11" s="3">
        <f>60000-SUM(C2:C10)</f>
        <v>400</v>
      </c>
      <c r="D11" s="3">
        <f>SUM(D2:D10)</f>
        <v>146.6799993515011</v>
      </c>
      <c r="E11" s="4"/>
      <c r="F11" s="4"/>
      <c r="G11" s="8"/>
      <c r="H11" s="3">
        <f>60000-SUM(H2:H10)</f>
        <v>60000</v>
      </c>
      <c r="I11" s="3">
        <f>SUM(I2:I10)</f>
        <v>0</v>
      </c>
      <c r="J11" s="4"/>
      <c r="L11" s="8"/>
      <c r="M11" s="3">
        <f>60000-SUM(M2:M10)</f>
        <v>60000</v>
      </c>
      <c r="N11" s="3">
        <f>SUM(N2:N10)</f>
        <v>0</v>
      </c>
      <c r="O11" s="4"/>
    </row>
    <row r="12" spans="1:36">
      <c r="C12" s="4"/>
      <c r="D12" s="4"/>
      <c r="E12" s="4"/>
      <c r="F12" s="4"/>
    </row>
    <row r="13" spans="1:36" s="13" customFormat="1">
      <c r="A13" s="6"/>
      <c r="B13" s="6" t="s">
        <v>34</v>
      </c>
      <c r="C13" s="15" t="s">
        <v>1</v>
      </c>
      <c r="D13" s="15" t="s">
        <v>142</v>
      </c>
      <c r="E13" s="10" t="s">
        <v>62</v>
      </c>
      <c r="F13" s="4"/>
      <c r="G13" s="6" t="s">
        <v>34</v>
      </c>
      <c r="H13" s="15" t="s">
        <v>1</v>
      </c>
      <c r="I13" s="15" t="s">
        <v>142</v>
      </c>
      <c r="J13" s="10" t="s">
        <v>62</v>
      </c>
      <c r="L13" s="9" t="s">
        <v>34</v>
      </c>
      <c r="M13" s="15" t="s">
        <v>1</v>
      </c>
      <c r="N13" s="15" t="s">
        <v>142</v>
      </c>
      <c r="O13" s="10" t="s">
        <v>62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5"/>
      <c r="AG13" s="5"/>
      <c r="AH13" s="5"/>
      <c r="AI13" s="2"/>
      <c r="AJ13" s="2"/>
    </row>
    <row r="14" spans="1:36">
      <c r="A14" s="6" t="s">
        <v>16</v>
      </c>
      <c r="B14" s="7"/>
      <c r="C14" s="14" t="str">
        <f>IFERROR(IF(INDEX(qblkp,MATCH(B14,qb,0),MATCH($C$1,QB!$1:$1,0))=0,"",INDEX(qblkp,MATCH(B14,qb,0),MATCH($C$1,QB!$1:$1,0))),"")</f>
        <v/>
      </c>
      <c r="D14" s="14" t="str">
        <f>IFERROR(IF(INDEX(qblkp,MATCH(B14,qb,0),MATCH("Projected Points",QB!$1:$1,0))=0,"",INDEX(qblkp,MATCH(B14,qb,0),MATCH("Projected Points",QB!$1:$1,0))),"")</f>
        <v/>
      </c>
      <c r="E14" s="14" t="str">
        <f>IFERROR(IF(INDEX(qblkp,MATCH(C14,qb,0),MATCH("Injury Indicator",QB!$1:$1,0))=0,"",INDEX(qblkp,MATCH(C14,qb,0),MATCH("Injury Indicator",QB!$1:$1,0))),"")</f>
        <v/>
      </c>
      <c r="F14" s="4"/>
      <c r="G14" s="7"/>
      <c r="H14" s="14" t="str">
        <f>IFERROR(IF(INDEX(qblkp,MATCH(G14,qb,0),MATCH($C$1,QB!$1:$1,0))=0,"",INDEX(qblkp,MATCH(G14,qb,0),MATCH($C$1,QB!$1:$1,0))),"")</f>
        <v/>
      </c>
      <c r="I14" s="14" t="str">
        <f>IFERROR(IF(INDEX(qblkp,MATCH(G14,qb,0),MATCH("Projected Points",QB!$1:$1,0))=0,"",INDEX(qblkp,MATCH(G14,qb,0),MATCH("Projected Points",QB!$1:$1,0))),"")</f>
        <v/>
      </c>
      <c r="J14" s="14" t="str">
        <f>IFERROR(IF(INDEX(qblkp,MATCH(H14,qb,0),MATCH("Injury Indicator",QB!$1:$1,0))=0,"",INDEX(qblkp,MATCH(H14,qb,0),MATCH("Injury Indicator",QB!$1:$1,0))),"")</f>
        <v/>
      </c>
      <c r="L14" s="7"/>
      <c r="M14" s="14" t="str">
        <f>IFERROR(IF(INDEX(qblkp,MATCH(L14,qb,0),MATCH($C$1,QB!$1:$1,0))=0,"",INDEX(qblkp,MATCH(L14,qb,0),MATCH($C$1,QB!$1:$1,0))),"")</f>
        <v/>
      </c>
      <c r="N14" s="14" t="str">
        <f>IFERROR(IF(INDEX(qblkp,MATCH(L14,qb,0),MATCH("Projected Points",QB!$1:$1,0))=0,"",INDEX(qblkp,MATCH(L14,qb,0),MATCH("Projected Points",QB!$1:$1,0))),"")</f>
        <v/>
      </c>
      <c r="O14" s="14" t="str">
        <f>IFERROR(IF(INDEX(qblkp,MATCH(M14,qb,0),MATCH("Injury Indicator",QB!$1:$1,0))=0,"",INDEX(qblkp,MATCH(M14,qb,0),MATCH("Injury Indicator",QB!$1:$1,0))),"")</f>
        <v/>
      </c>
    </row>
    <row r="15" spans="1:36">
      <c r="A15" s="6" t="s">
        <v>28</v>
      </c>
      <c r="B15" s="7"/>
      <c r="C15" s="14" t="str">
        <f>IFERROR(IF(INDEX(rblkp,MATCH(B15,rb,0),MATCH($C$1,RB!$1:$1,0))=0,"",INDEX(rblkp,MATCH(B15,rb,0),MATCH($C$1,RB!$1:$1,0))),"")</f>
        <v/>
      </c>
      <c r="D15" s="14" t="str">
        <f>IFERROR(IF(INDEX(rblkp,MATCH(B15,rb,0),MATCH("Projected Points",RB!$1:$1,0))=0,"",INDEX(rblkp,MATCH(B15,rb,0),MATCH("Projected Points",RB!$1:$1,0))),"")</f>
        <v/>
      </c>
      <c r="E15" s="14" t="str">
        <f>IFERROR(IF(INDEX(rblkp,MATCH(C15,rb,0),MATCH("Injury Indicator",RB!$1:$1,0))=0,"",INDEX(rblkp,MATCH(C15,rb,0),MATCH("Injury Indicator",RB!$1:$1,0))),"")</f>
        <v/>
      </c>
      <c r="F15" s="4"/>
      <c r="G15" s="7"/>
      <c r="H15" s="14" t="str">
        <f>IFERROR(IF(INDEX(rblkp,MATCH(G15,rb,0),MATCH($C$1,RB!$1:$1,0))=0,"",INDEX(rblkp,MATCH(G15,rb,0),MATCH($C$1,RB!$1:$1,0))),"")</f>
        <v/>
      </c>
      <c r="I15" s="14" t="str">
        <f>IFERROR(IF(INDEX(rblkp,MATCH(G15,rb,0),MATCH("Projected Points",RB!$1:$1,0))=0,"",INDEX(rblkp,MATCH(G15,rb,0),MATCH("Projected Points",RB!$1:$1,0))),"")</f>
        <v/>
      </c>
      <c r="J15" s="14" t="str">
        <f>IFERROR(IF(INDEX(rblkp,MATCH(H15,rb,0),MATCH("Injury Indicator",RB!$1:$1,0))=0,"",INDEX(rblkp,MATCH(H15,rb,0),MATCH("Injury Indicator",RB!$1:$1,0))),"")</f>
        <v/>
      </c>
      <c r="L15" s="7"/>
      <c r="M15" s="14" t="str">
        <f>IFERROR(IF(INDEX(rblkp,MATCH(L15,rb,0),MATCH($C$1,RB!$1:$1,0))=0,"",INDEX(rblkp,MATCH(L15,rb,0),MATCH($C$1,RB!$1:$1,0))),"")</f>
        <v/>
      </c>
      <c r="N15" s="14" t="str">
        <f>IFERROR(IF(INDEX(rblkp,MATCH(L15,rb,0),MATCH("Projected Points",RB!$1:$1,0))=0,"",INDEX(rblkp,MATCH(L15,rb,0),MATCH("Projected Points",RB!$1:$1,0))),"")</f>
        <v/>
      </c>
      <c r="O15" s="14" t="str">
        <f>IFERROR(IF(INDEX(rblkp,MATCH(M15,rb,0),MATCH("Injury Indicator",RB!$1:$1,0))=0,"",INDEX(rblkp,MATCH(M15,rb,0),MATCH("Injury Indicator",RB!$1:$1,0))),"")</f>
        <v/>
      </c>
    </row>
    <row r="16" spans="1:36">
      <c r="A16" s="6" t="s">
        <v>29</v>
      </c>
      <c r="B16" s="34"/>
      <c r="C16" s="14" t="str">
        <f>IFERROR(IF(INDEX(rblkp,MATCH(B16,rb,0),MATCH($C$1,RB!$1:$1,0))=0,"",INDEX(rblkp,MATCH(B16,rb,0),MATCH($C$1,RB!$1:$1,0))),"")</f>
        <v/>
      </c>
      <c r="D16" s="14" t="str">
        <f>IFERROR(IF(INDEX(rblkp,MATCH(B16,rb,0),MATCH("Projected Points",RB!$1:$1,0))=0,"",INDEX(rblkp,MATCH(B16,rb,0),MATCH("Projected Points",RB!$1:$1,0))),"")</f>
        <v/>
      </c>
      <c r="E16" s="14" t="str">
        <f>IFERROR(IF(INDEX(rblkp,MATCH(C16,rb,0),MATCH("Injury Indicator",RB!$1:$1,0))=0,"",INDEX(rblkp,MATCH(C16,rb,0),MATCH("Injury Indicator",RB!$1:$1,0))),"")</f>
        <v/>
      </c>
      <c r="F16" s="4"/>
      <c r="G16" s="7"/>
      <c r="H16" s="14" t="str">
        <f>IFERROR(IF(INDEX(rblkp,MATCH(G16,rb,0),MATCH($C$1,RB!$1:$1,0))=0,"",INDEX(rblkp,MATCH(G16,rb,0),MATCH($C$1,RB!$1:$1,0))),"")</f>
        <v/>
      </c>
      <c r="I16" s="14" t="str">
        <f>IFERROR(IF(INDEX(rblkp,MATCH(G16,rb,0),MATCH("Projected Points",RB!$1:$1,0))=0,"",INDEX(rblkp,MATCH(G16,rb,0),MATCH("Projected Points",RB!$1:$1,0))),"")</f>
        <v/>
      </c>
      <c r="J16" s="14" t="str">
        <f>IFERROR(IF(INDEX(rblkp,MATCH(H16,rb,0),MATCH("Injury Indicator",RB!$1:$1,0))=0,"",INDEX(rblkp,MATCH(H16,rb,0),MATCH("Injury Indicator",RB!$1:$1,0))),"")</f>
        <v/>
      </c>
      <c r="L16" s="7"/>
      <c r="M16" s="14" t="str">
        <f>IFERROR(IF(INDEX(rblkp,MATCH(L16,rb,0),MATCH($C$1,RB!$1:$1,0))=0,"",INDEX(rblkp,MATCH(L16,rb,0),MATCH($C$1,RB!$1:$1,0))),"")</f>
        <v/>
      </c>
      <c r="N16" s="14" t="str">
        <f>IFERROR(IF(INDEX(rblkp,MATCH(L16,rb,0),MATCH("Projected Points",RB!$1:$1,0))=0,"",INDEX(rblkp,MATCH(L16,rb,0),MATCH("Projected Points",RB!$1:$1,0))),"")</f>
        <v/>
      </c>
      <c r="O16" s="14" t="str">
        <f>IFERROR(IF(INDEX(rblkp,MATCH(M16,rb,0),MATCH("Injury Indicator",RB!$1:$1,0))=0,"",INDEX(rblkp,MATCH(M16,rb,0),MATCH("Injury Indicator",RB!$1:$1,0))),"")</f>
        <v/>
      </c>
    </row>
    <row r="17" spans="1:34">
      <c r="A17" s="6" t="s">
        <v>30</v>
      </c>
      <c r="B17" s="7"/>
      <c r="C17" s="14" t="str">
        <f>IFERROR(IF(INDEX(wrlkp,MATCH(B17,wr,0),MATCH($C$1,WR!$1:$1,0))=0,"",INDEX(wrlkp,MATCH(B17,wr,0),MATCH($C$1,WR!$1:$1,0))),"")</f>
        <v/>
      </c>
      <c r="D17" s="14" t="str">
        <f>IFERROR(IF(INDEX(wrlkp,MATCH(B17,wr,0),MATCH("Projected Points",WR!$1:$1,0))=0,"",INDEX(wrlkp,MATCH(B17,wr,0),MATCH("Projected Points",WR!$1:$1,0))),"")</f>
        <v/>
      </c>
      <c r="E17" s="14" t="str">
        <f>IFERROR(IF(INDEX(wrlkp,MATCH(C17,wr,0),MATCH("Injury Indicator",WR!$1:$1,0))=0,"",INDEX(wrlkp,MATCH(C17,wr,0),MATCH("Injury Indicator",WR!$1:$1,0))),"")</f>
        <v/>
      </c>
      <c r="F17" s="4"/>
      <c r="G17" s="7"/>
      <c r="H17" s="14" t="str">
        <f>IFERROR(IF(INDEX(wrlkp,MATCH(G17,wr,0),MATCH($C$1,WR!$1:$1,0))=0,"",INDEX(wrlkp,MATCH(G17,wr,0),MATCH($C$1,WR!$1:$1,0))),"")</f>
        <v/>
      </c>
      <c r="I17" s="14" t="str">
        <f>IFERROR(IF(INDEX(wrlkp,MATCH(G17,wr,0),MATCH("Projected Points",WR!$1:$1,0))=0,"",INDEX(wrlkp,MATCH(G17,wr,0),MATCH("Projected Points",WR!$1:$1,0))),"")</f>
        <v/>
      </c>
      <c r="J17" s="14" t="str">
        <f>IFERROR(IF(INDEX(wrlkp,MATCH(H17,wr,0),MATCH("Injury Indicator",WR!$1:$1,0))=0,"",INDEX(wrlkp,MATCH(H17,wr,0),MATCH("Injury Indicator",WR!$1:$1,0))),"")</f>
        <v/>
      </c>
      <c r="L17" s="7"/>
      <c r="M17" s="14" t="str">
        <f>IFERROR(IF(INDEX(wrlkp,MATCH(L17,wr,0),MATCH($C$1,WR!$1:$1,0))=0,"",INDEX(wrlkp,MATCH(L17,wr,0),MATCH($C$1,WR!$1:$1,0))),"")</f>
        <v/>
      </c>
      <c r="N17" s="14" t="str">
        <f>IFERROR(IF(INDEX(wrlkp,MATCH(L17,wr,0),MATCH("Projected Points",WR!$1:$1,0))=0,"",INDEX(wrlkp,MATCH(L17,wr,0),MATCH("Projected Points",WR!$1:$1,0))),"")</f>
        <v/>
      </c>
      <c r="O17" s="14" t="str">
        <f>IFERROR(IF(INDEX(wrlkp,MATCH(M17,wr,0),MATCH("Injury Indicator",WR!$1:$1,0))=0,"",INDEX(wrlkp,MATCH(M17,wr,0),MATCH("Injury Indicator",WR!$1:$1,0))),"")</f>
        <v/>
      </c>
    </row>
    <row r="18" spans="1:34">
      <c r="A18" s="6" t="s">
        <v>31</v>
      </c>
      <c r="B18" s="7"/>
      <c r="C18" s="14" t="str">
        <f>IFERROR(IF(INDEX(wrlkp,MATCH(B18,wr,0),MATCH($C$1,WR!$1:$1,0))=0,"",INDEX(wrlkp,MATCH(B18,wr,0),MATCH($C$1,WR!$1:$1,0))),"")</f>
        <v/>
      </c>
      <c r="D18" s="14" t="str">
        <f>IFERROR(IF(INDEX(wrlkp,MATCH(B18,wr,0),MATCH("Projected Points",WR!$1:$1,0))=0,"",INDEX(wrlkp,MATCH(B18,wr,0),MATCH("Projected Points",WR!$1:$1,0))),"")</f>
        <v/>
      </c>
      <c r="E18" s="14" t="str">
        <f>IFERROR(IF(INDEX(wrlkp,MATCH(C18,wr,0),MATCH("Injury Indicator",WR!$1:$1,0))=0,"",INDEX(wrlkp,MATCH(C18,wr,0),MATCH("Injury Indicator",WR!$1:$1,0))),"")</f>
        <v/>
      </c>
      <c r="F18" s="4"/>
      <c r="G18" s="7"/>
      <c r="H18" s="14" t="str">
        <f>IFERROR(IF(INDEX(wrlkp,MATCH(G18,wr,0),MATCH($C$1,WR!$1:$1,0))=0,"",INDEX(wrlkp,MATCH(G18,wr,0),MATCH($C$1,WR!$1:$1,0))),"")</f>
        <v/>
      </c>
      <c r="I18" s="14" t="str">
        <f>IFERROR(IF(INDEX(wrlkp,MATCH(G18,wr,0),MATCH("Projected Points",WR!$1:$1,0))=0,"",INDEX(wrlkp,MATCH(G18,wr,0),MATCH("Projected Points",WR!$1:$1,0))),"")</f>
        <v/>
      </c>
      <c r="J18" s="14" t="str">
        <f>IFERROR(IF(INDEX(wrlkp,MATCH(H18,wr,0),MATCH("Injury Indicator",WR!$1:$1,0))=0,"",INDEX(wrlkp,MATCH(H18,wr,0),MATCH("Injury Indicator",WR!$1:$1,0))),"")</f>
        <v/>
      </c>
      <c r="L18" s="7"/>
      <c r="M18" s="14" t="str">
        <f>IFERROR(IF(INDEX(wrlkp,MATCH(L18,wr,0),MATCH($C$1,WR!$1:$1,0))=0,"",INDEX(wrlkp,MATCH(L18,wr,0),MATCH($C$1,WR!$1:$1,0))),"")</f>
        <v/>
      </c>
      <c r="N18" s="14" t="str">
        <f>IFERROR(IF(INDEX(wrlkp,MATCH(L18,wr,0),MATCH("Projected Points",WR!$1:$1,0))=0,"",INDEX(wrlkp,MATCH(L18,wr,0),MATCH("Projected Points",WR!$1:$1,0))),"")</f>
        <v/>
      </c>
      <c r="O18" s="14" t="str">
        <f>IFERROR(IF(INDEX(wrlkp,MATCH(M18,wr,0),MATCH("Injury Indicator",WR!$1:$1,0))=0,"",INDEX(wrlkp,MATCH(M18,wr,0),MATCH("Injury Indicator",WR!$1:$1,0))),"")</f>
        <v/>
      </c>
    </row>
    <row r="19" spans="1:34">
      <c r="A19" s="6" t="s">
        <v>32</v>
      </c>
      <c r="B19" s="7"/>
      <c r="C19" s="14" t="str">
        <f>IFERROR(IF(INDEX(wrlkp,MATCH(B19,wr,0),MATCH($C$1,WR!$1:$1,0))=0,"",INDEX(wrlkp,MATCH(B19,wr,0),MATCH($C$1,WR!$1:$1,0))),"")</f>
        <v/>
      </c>
      <c r="D19" s="14" t="str">
        <f>IFERROR(IF(INDEX(wrlkp,MATCH(B19,wr,0),MATCH("Projected Points",WR!$1:$1,0))=0,"",INDEX(wrlkp,MATCH(B19,wr,0),MATCH("Projected Points",WR!$1:$1,0))),"")</f>
        <v/>
      </c>
      <c r="E19" s="14" t="str">
        <f>IFERROR(IF(INDEX(wrlkp,MATCH(C19,wr,0),MATCH("Injury Indicator",WR!$1:$1,0))=0,"",INDEX(wrlkp,MATCH(C19,wr,0),MATCH("Injury Indicator",WR!$1:$1,0))),"")</f>
        <v/>
      </c>
      <c r="F19" s="4"/>
      <c r="G19" s="7"/>
      <c r="H19" s="14" t="str">
        <f>IFERROR(IF(INDEX(wrlkp,MATCH(G19,wr,0),MATCH($C$1,WR!$1:$1,0))=0,"",INDEX(wrlkp,MATCH(G19,wr,0),MATCH($C$1,WR!$1:$1,0))),"")</f>
        <v/>
      </c>
      <c r="I19" s="14" t="str">
        <f>IFERROR(IF(INDEX(wrlkp,MATCH(G19,wr,0),MATCH("Projected Points",WR!$1:$1,0))=0,"",INDEX(wrlkp,MATCH(G19,wr,0),MATCH("Projected Points",WR!$1:$1,0))),"")</f>
        <v/>
      </c>
      <c r="J19" s="14" t="str">
        <f>IFERROR(IF(INDEX(wrlkp,MATCH(H19,wr,0),MATCH("Injury Indicator",WR!$1:$1,0))=0,"",INDEX(wrlkp,MATCH(H19,wr,0),MATCH("Injury Indicator",WR!$1:$1,0))),"")</f>
        <v/>
      </c>
      <c r="L19" s="7"/>
      <c r="M19" s="14" t="str">
        <f>IFERROR(IF(INDEX(wrlkp,MATCH(L19,wr,0),MATCH($C$1,WR!$1:$1,0))=0,"",INDEX(wrlkp,MATCH(L19,wr,0),MATCH($C$1,WR!$1:$1,0))),"")</f>
        <v/>
      </c>
      <c r="N19" s="14" t="str">
        <f>IFERROR(IF(INDEX(wrlkp,MATCH(L19,wr,0),MATCH("Projected Points",WR!$1:$1,0))=0,"",INDEX(wrlkp,MATCH(L19,wr,0),MATCH("Projected Points",WR!$1:$1,0))),"")</f>
        <v/>
      </c>
      <c r="O19" s="14" t="str">
        <f>IFERROR(IF(INDEX(wrlkp,MATCH(M19,wr,0),MATCH("Injury Indicator",WR!$1:$1,0))=0,"",INDEX(wrlkp,MATCH(M19,wr,0),MATCH("Injury Indicator",WR!$1:$1,0))),"")</f>
        <v/>
      </c>
    </row>
    <row r="20" spans="1:34">
      <c r="A20" s="6" t="s">
        <v>23</v>
      </c>
      <c r="B20" s="7"/>
      <c r="C20" s="14" t="str">
        <f>IFERROR(IF(INDEX(telkp,MATCH(B20,te,0),MATCH($C$1,TE!$1:$1,0))=0,"",INDEX(telkp,MATCH(B20,te,0),MATCH($C$1,TE!$1:$1,0))),"")</f>
        <v/>
      </c>
      <c r="D20" s="14" t="str">
        <f>IFERROR(IF(INDEX(telkp,MATCH(B20,te,0),MATCH("Projected Points",TE!$1:$1,0))=0,"",INDEX(telkp,MATCH(B20,te,0),MATCH("Projected Points",TE!$1:$1,0))),"")</f>
        <v/>
      </c>
      <c r="E20" s="14" t="str">
        <f>IFERROR(IF(INDEX(telkp,MATCH(C20,te,0),MATCH("Injury Indicator",TE!$1:$1,0))=0,"",INDEX(telkp,MATCH(C20,te,0),MATCH("Injury Indicator",TE!$1:$1,0))),"")</f>
        <v/>
      </c>
      <c r="F20" s="4"/>
      <c r="G20" s="7"/>
      <c r="H20" s="14" t="str">
        <f>IFERROR(IF(INDEX(telkp,MATCH(G20,te,0),MATCH($C$1,TE!$1:$1,0))=0,"",INDEX(telkp,MATCH(G20,te,0),MATCH($C$1,TE!$1:$1,0))),"")</f>
        <v/>
      </c>
      <c r="I20" s="14" t="str">
        <f>IFERROR(IF(INDEX(telkp,MATCH(G20,te,0),MATCH("Projected Points",TE!$1:$1,0))=0,"",INDEX(telkp,MATCH(G20,te,0),MATCH("Projected Points",TE!$1:$1,0))),"")</f>
        <v/>
      </c>
      <c r="J20" s="14" t="str">
        <f>IFERROR(IF(INDEX(telkp,MATCH(H20,te,0),MATCH("Injury Indicator",TE!$1:$1,0))=0,"",INDEX(telkp,MATCH(H20,te,0),MATCH("Injury Indicator",TE!$1:$1,0))),"")</f>
        <v/>
      </c>
      <c r="L20" s="7"/>
      <c r="M20" s="14" t="str">
        <f>IFERROR(IF(INDEX(telkp,MATCH(L20,te,0),MATCH($C$1,TE!$1:$1,0))=0,"",INDEX(telkp,MATCH(L20,te,0),MATCH($C$1,TE!$1:$1,0))),"")</f>
        <v/>
      </c>
      <c r="N20" s="14" t="str">
        <f>IFERROR(IF(INDEX(telkp,MATCH(L20,te,0),MATCH("Projected Points",TE!$1:$1,0))=0,"",INDEX(telkp,MATCH(L20,te,0),MATCH("Projected Points",TE!$1:$1,0))),"")</f>
        <v/>
      </c>
      <c r="O20" s="14" t="str">
        <f>IFERROR(IF(INDEX(telkp,MATCH(M20,te,0),MATCH("Injury Indicator",TE!$1:$1,0))=0,"",INDEX(telkp,MATCH(M20,te,0),MATCH("Injury Indicator",TE!$1:$1,0))),"")</f>
        <v/>
      </c>
    </row>
    <row r="21" spans="1:34">
      <c r="A21" s="6" t="s">
        <v>7</v>
      </c>
      <c r="B21" s="7"/>
      <c r="C21" s="14" t="str">
        <f>IFERROR(IF(INDEX(flexlkp,MATCH(B21,flex,0),MATCH($C$1,FLEX!$1:$1,0))=0,"",INDEX(flexlkp,MATCH(B21,flex,0),MATCH($C$1,FLEX!$1:$1,0))),"")</f>
        <v/>
      </c>
      <c r="D21" s="14" t="str">
        <f>IFERROR(IF(INDEX(flexlkp,MATCH(B21,flex,0),MATCH("Projected Points",FLEX!$1:$1,0))=0,"",INDEX(flexlkp,MATCH(B21,flex,0),MATCH("Projected Points",FLEX!$1:$1,0))),"")</f>
        <v/>
      </c>
      <c r="E21" s="14" t="str">
        <f>IFERROR(IF(INDEX(flexlkp,MATCH(C21,flex,0),MATCH("Injury Indicator",FLEX!$1:$1,0))=0,"",INDEX(flexlkp,MATCH(C21,flex,0),MATCH("Injury Indicator",FLEX!$1:$1,0))),"")</f>
        <v/>
      </c>
      <c r="F21" s="4"/>
      <c r="G21" s="7"/>
      <c r="H21" s="14" t="str">
        <f>IFERROR(IF(INDEX(flexlkp,MATCH(G21,flex,0),MATCH($C$1,FLEX!$1:$1,0))=0,"",INDEX(flexlkp,MATCH(G21,flex,0),MATCH($C$1,FLEX!$1:$1,0))),"")</f>
        <v/>
      </c>
      <c r="I21" s="14" t="str">
        <f>IFERROR(IF(INDEX(flexlkp,MATCH(G21,flex,0),MATCH("Projected Points",FLEX!$1:$1,0))=0,"",INDEX(flexlkp,MATCH(G21,flex,0),MATCH("Projected Points",FLEX!$1:$1,0))),"")</f>
        <v/>
      </c>
      <c r="J21" s="14" t="str">
        <f>IFERROR(IF(INDEX(flexlkp,MATCH(H21,flex,0),MATCH("Injury Indicator",FLEX!$1:$1,0))=0,"",INDEX(flexlkp,MATCH(H21,flex,0),MATCH("Injury Indicator",FLEX!$1:$1,0))),"")</f>
        <v/>
      </c>
      <c r="L21" s="7"/>
      <c r="M21" s="14" t="str">
        <f>IFERROR(IF(INDEX(flexlkp,MATCH(L21,flex,0),MATCH($C$1,FLEX!$1:$1,0))=0,"",INDEX(flexlkp,MATCH(L21,flex,0),MATCH($C$1,FLEX!$1:$1,0))),"")</f>
        <v/>
      </c>
      <c r="N21" s="14" t="str">
        <f>IFERROR(IF(INDEX(flexlkp,MATCH(L21,flex,0),MATCH("Projected Points",FLEX!$1:$1,0))=0,"",INDEX(flexlkp,MATCH(L21,flex,0),MATCH("Projected Points",FLEX!$1:$1,0))),"")</f>
        <v/>
      </c>
      <c r="O21" s="14" t="str">
        <f>IFERROR(IF(INDEX(flexlkp,MATCH(M21,flex,0),MATCH("Injury Indicator",FLEX!$1:$1,0))=0,"",INDEX(flexlkp,MATCH(M21,flex,0),MATCH("Injury Indicator",FLEX!$1:$1,0))),"")</f>
        <v/>
      </c>
    </row>
    <row r="22" spans="1:34">
      <c r="A22" s="6" t="s">
        <v>33</v>
      </c>
      <c r="B22" s="7"/>
      <c r="C22" s="14" t="str">
        <f>IFERROR(IF(INDEX(deflkp,MATCH(B22,def,0),MATCH($C$1,DEF!$1:$1,0))=0,"",INDEX(deflkp,MATCH(B22,def,0),MATCH($C$1,DEF!$1:$1,0))),"")</f>
        <v/>
      </c>
      <c r="D22" s="14" t="str">
        <f>IFERROR(IF(INDEX(deflkp,MATCH(B22,def,0),MATCH("Projected Points",DEF!$1:$1,0))=0,"",INDEX(deflkp,MATCH(B22,def,0),MATCH("Projected Points",DEF!$1:$1,0))),"")</f>
        <v/>
      </c>
      <c r="E22" s="14" t="str">
        <f>IFERROR(IF(INDEX(deflkp,MATCH(C22,def,0),MATCH("Injury Indicator",DEF!$1:$1,0))=0,"",INDEX(deflkp,MATCH(C22,def,0),MATCH("Injury Indicator",DEF!$1:$1,0))),"")</f>
        <v/>
      </c>
      <c r="F22" s="4"/>
      <c r="G22" s="7"/>
      <c r="H22" s="14" t="str">
        <f>IFERROR(IF(INDEX(deflkp,MATCH(G22,def,0),MATCH($C$1,DEF!$1:$1,0))=0,"",INDEX(deflkp,MATCH(G22,def,0),MATCH($C$1,DEF!$1:$1,0))),"")</f>
        <v/>
      </c>
      <c r="I22" s="14" t="str">
        <f>IFERROR(IF(INDEX(deflkp,MATCH(G22,def,0),MATCH("Projected Points",DEF!$1:$1,0))=0,"",INDEX(deflkp,MATCH(G22,def,0),MATCH("Projected Points",DEF!$1:$1,0))),"")</f>
        <v/>
      </c>
      <c r="J22" s="14" t="str">
        <f>IFERROR(IF(INDEX(deflkp,MATCH(H22,def,0),MATCH("Injury Indicator",DEF!$1:$1,0))=0,"",INDEX(deflkp,MATCH(H22,def,0),MATCH("Injury Indicator",DEF!$1:$1,0))),"")</f>
        <v/>
      </c>
      <c r="L22" s="7"/>
      <c r="M22" s="14" t="str">
        <f>IFERROR(IF(INDEX(deflkp,MATCH(L22,def,0),MATCH($C$1,DEF!$1:$1,0))=0,"",INDEX(deflkp,MATCH(L22,def,0),MATCH($C$1,DEF!$1:$1,0))),"")</f>
        <v/>
      </c>
      <c r="N22" s="14" t="str">
        <f>IFERROR(IF(INDEX(deflkp,MATCH(L22,def,0),MATCH("Projected Points",DEF!$1:$1,0))=0,"",INDEX(deflkp,MATCH(L22,def,0),MATCH("Projected Points",DEF!$1:$1,0))),"")</f>
        <v/>
      </c>
      <c r="O22" s="14" t="str">
        <f>IFERROR(IF(INDEX(deflkp,MATCH(M22,def,0),MATCH("Injury Indicator",DEF!$1:$1,0))=0,"",INDEX(deflkp,MATCH(M22,def,0),MATCH("Injury Indicator",DEF!$1:$1,0))),"")</f>
        <v/>
      </c>
    </row>
    <row r="23" spans="1:34" s="13" customFormat="1">
      <c r="A23" s="5" t="s">
        <v>38</v>
      </c>
      <c r="B23" s="8"/>
      <c r="C23" s="3">
        <f>60000-SUM(C14:C22)</f>
        <v>60000</v>
      </c>
      <c r="D23" s="3">
        <f>SUM(D14:D22)</f>
        <v>0</v>
      </c>
      <c r="E23" s="4"/>
      <c r="F23" s="4"/>
      <c r="G23" s="8"/>
      <c r="H23" s="3">
        <f>60000-SUM(H14:H22)</f>
        <v>60000</v>
      </c>
      <c r="I23" s="3">
        <f>SUM(I14:I22)</f>
        <v>0</v>
      </c>
      <c r="J23" s="4"/>
      <c r="L23" s="8"/>
      <c r="M23" s="3">
        <f>60000-SUM(M14:M22)</f>
        <v>60000</v>
      </c>
      <c r="N23" s="3">
        <f>SUM(N14:N22)</f>
        <v>0</v>
      </c>
      <c r="O23" s="4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4"/>
      <c r="AG23" s="4"/>
      <c r="AH23" s="4"/>
    </row>
    <row r="24" spans="1:34">
      <c r="B24" s="13"/>
    </row>
    <row r="25" spans="1:34">
      <c r="B25" s="13"/>
    </row>
    <row r="26" spans="1:34">
      <c r="B26" s="13"/>
    </row>
    <row r="27" spans="1:34">
      <c r="B27" s="13"/>
    </row>
    <row r="28" spans="1:34">
      <c r="B28" s="13"/>
    </row>
    <row r="29" spans="1:34">
      <c r="B29" s="13"/>
    </row>
    <row r="30" spans="1:34">
      <c r="B30" s="13"/>
    </row>
    <row r="31" spans="1:34">
      <c r="B31" s="13"/>
    </row>
    <row r="32" spans="1:34">
      <c r="B32" s="13"/>
    </row>
    <row r="33" spans="2:2">
      <c r="B33" s="13"/>
    </row>
    <row r="34" spans="2:2">
      <c r="B34" s="13"/>
    </row>
    <row r="35" spans="2:2">
      <c r="B35" s="13"/>
    </row>
    <row r="36" spans="2:2">
      <c r="B36" s="13"/>
    </row>
    <row r="37" spans="2:2">
      <c r="B37" s="13"/>
    </row>
    <row r="38" spans="2:2">
      <c r="B38" s="13"/>
    </row>
  </sheetData>
  <sortState ref="B38:B52">
    <sortCondition ref="B38:B52"/>
  </sortState>
  <conditionalFormatting sqref="C11">
    <cfRule type="cellIs" dxfId="11" priority="11" operator="lessThan">
      <formula>0</formula>
    </cfRule>
    <cfRule type="cellIs" dxfId="10" priority="35" operator="greaterThan">
      <formula>60000</formula>
    </cfRule>
  </conditionalFormatting>
  <conditionalFormatting sqref="H11">
    <cfRule type="cellIs" dxfId="9" priority="9" operator="lessThan">
      <formula>0</formula>
    </cfRule>
    <cfRule type="cellIs" dxfId="8" priority="10" operator="greaterThan">
      <formula>60000</formula>
    </cfRule>
  </conditionalFormatting>
  <conditionalFormatting sqref="M11">
    <cfRule type="cellIs" dxfId="7" priority="7" operator="lessThan">
      <formula>0</formula>
    </cfRule>
    <cfRule type="cellIs" dxfId="6" priority="8" operator="greaterThan">
      <formula>60000</formula>
    </cfRule>
  </conditionalFormatting>
  <conditionalFormatting sqref="C23">
    <cfRule type="cellIs" dxfId="5" priority="5" operator="lessThan">
      <formula>0</formula>
    </cfRule>
    <cfRule type="cellIs" dxfId="4" priority="6" operator="greaterThan">
      <formula>60000</formula>
    </cfRule>
  </conditionalFormatting>
  <conditionalFormatting sqref="H23">
    <cfRule type="cellIs" dxfId="3" priority="3" operator="lessThan">
      <formula>0</formula>
    </cfRule>
    <cfRule type="cellIs" dxfId="2" priority="4" operator="greaterThan">
      <formula>60000</formula>
    </cfRule>
  </conditionalFormatting>
  <conditionalFormatting sqref="M23">
    <cfRule type="cellIs" dxfId="1" priority="1" operator="lessThan">
      <formula>0</formula>
    </cfRule>
    <cfRule type="cellIs" dxfId="0" priority="2" operator="greaterThan">
      <formula>60000</formula>
    </cfRule>
  </conditionalFormatting>
  <dataValidations count="12">
    <dataValidation type="list" allowBlank="1" showInputMessage="1" showErrorMessage="1" sqref="U2:V2 Z2:AA2 K2:L2 P2 Q14 V14 AA14 G14 B14 G2 B2 L14">
      <formula1>qb</formula1>
    </dataValidation>
    <dataValidation type="list" allowBlank="1" showInputMessage="1" showErrorMessage="1" sqref="L3:L4 B3:B4 B15:B16 G15:G16 V3:V4 AA3:AA4 AA15:AA16 Q3 G3:G4 Q15:Q16 V15:V16 L15:L16">
      <formula1>rb</formula1>
    </dataValidation>
    <dataValidation type="list" allowBlank="1" showInputMessage="1" showErrorMessage="1" sqref="L5:L7 B5:B7 B17:B19 Q5:Q7 V5:V7 AA5:AA7 AA17:AA19 G17:G19 G5:G7 Q17:Q19 V17:V19 L17:L19">
      <formula1>wr</formula1>
    </dataValidation>
    <dataValidation type="list" allowBlank="1" showInputMessage="1" showErrorMessage="1" sqref="L8 B8 B20 Q8 V8 AA8 AA20 G20 G8 Q20 V20 L20">
      <formula1>te</formula1>
    </dataValidation>
    <dataValidation type="list" allowBlank="1" showInputMessage="1" showErrorMessage="1" sqref="L9 B9 B21 Q9 V9 AA9 AA21 G21 G9 Q21 V21 L21">
      <formula1>flex</formula1>
    </dataValidation>
    <dataValidation type="list" allowBlank="1" showInputMessage="1" showErrorMessage="1" sqref="AF10 AF22">
      <formula1>$B$8:$B$21</formula1>
    </dataValidation>
    <dataValidation type="list" allowBlank="1" showInputMessage="1" showErrorMessage="1" sqref="L10 B10 B22 Q10 V10 AA10 AA22 G22 G10 Q22 V22 L22">
      <formula1>def</formula1>
    </dataValidation>
    <dataValidation type="list" allowBlank="1" showInputMessage="1" showErrorMessage="1" sqref="AF3:AF4 AF15:AF16 AF8 AF20">
      <formula1>#REF!</formula1>
    </dataValidation>
    <dataValidation type="list" allowBlank="1" showInputMessage="1" showErrorMessage="1" sqref="AF9 AF21">
      <formula1>$B$22:$B$23</formula1>
    </dataValidation>
    <dataValidation type="list" allowBlank="1" showInputMessage="1" showErrorMessage="1" sqref="AF2 AF14">
      <formula1>#REF!</formula1>
    </dataValidation>
    <dataValidation type="list" allowBlank="1" showInputMessage="1" showErrorMessage="1" sqref="AF5:AF7 AF17:AF19">
      <formula1>#REF!</formula1>
    </dataValidation>
    <dataValidation type="list" allowBlank="1" showInputMessage="1" showErrorMessage="1" sqref="L23 L11 G11 Q11 V11 AA11 G23 Q23 V23 AA23 B23 B11">
      <formula1>#REF!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Q442"/>
  <sheetViews>
    <sheetView workbookViewId="0"/>
  </sheetViews>
  <sheetFormatPr defaultRowHeight="15"/>
  <cols>
    <col min="1" max="1" width="12.7109375" style="13" bestFit="1" customWidth="1"/>
    <col min="2" max="2" width="8.28515625" style="13" bestFit="1" customWidth="1"/>
    <col min="3" max="3" width="12.5703125" style="13" bestFit="1" customWidth="1"/>
    <col min="4" max="4" width="24.140625" style="13" bestFit="1" customWidth="1"/>
    <col min="5" max="5" width="12.7109375" style="13" bestFit="1" customWidth="1"/>
    <col min="6" max="6" width="12" bestFit="1" customWidth="1"/>
    <col min="7" max="7" width="7" bestFit="1" customWidth="1"/>
    <col min="8" max="8" width="6.28515625" bestFit="1" customWidth="1"/>
    <col min="9" max="9" width="10.28515625" bestFit="1" customWidth="1"/>
    <col min="10" max="10" width="5.85546875" bestFit="1" customWidth="1"/>
    <col min="11" max="11" width="10" bestFit="1" customWidth="1"/>
    <col min="12" max="12" width="14.5703125" bestFit="1" customWidth="1"/>
    <col min="13" max="13" width="12.7109375" bestFit="1" customWidth="1"/>
    <col min="14" max="14" width="4.42578125" bestFit="1" customWidth="1"/>
    <col min="15" max="15" width="6.5703125" bestFit="1" customWidth="1"/>
    <col min="16" max="16" width="15.7109375" bestFit="1" customWidth="1"/>
    <col min="17" max="17" width="14.5703125" bestFit="1" customWidth="1"/>
  </cols>
  <sheetData>
    <row r="1" spans="1:17">
      <c r="A1" s="35" t="s">
        <v>143</v>
      </c>
      <c r="B1" s="35" t="s">
        <v>144</v>
      </c>
      <c r="C1" s="35" t="s">
        <v>145</v>
      </c>
      <c r="D1" s="35" t="s">
        <v>146</v>
      </c>
      <c r="E1" s="35" t="s">
        <v>147</v>
      </c>
      <c r="F1" s="35" t="s">
        <v>148</v>
      </c>
      <c r="G1" s="35" t="s">
        <v>149</v>
      </c>
      <c r="H1" s="35" t="s">
        <v>150</v>
      </c>
      <c r="I1" s="35" t="s">
        <v>151</v>
      </c>
      <c r="J1" s="35" t="s">
        <v>152</v>
      </c>
      <c r="K1" s="35" t="s">
        <v>153</v>
      </c>
      <c r="L1" s="35" t="s">
        <v>154</v>
      </c>
      <c r="M1" s="35" t="s">
        <v>155</v>
      </c>
      <c r="N1" s="35" t="s">
        <v>156</v>
      </c>
      <c r="O1" s="35" t="s">
        <v>157</v>
      </c>
      <c r="P1" s="35" t="s">
        <v>158</v>
      </c>
      <c r="Q1" s="35" t="s">
        <v>159</v>
      </c>
    </row>
    <row r="2" spans="1:17">
      <c r="A2" s="42" t="s">
        <v>427</v>
      </c>
      <c r="B2" s="42" t="s">
        <v>27</v>
      </c>
      <c r="C2" s="42" t="s">
        <v>189</v>
      </c>
      <c r="D2" s="42" t="s">
        <v>190</v>
      </c>
      <c r="E2" s="42" t="s">
        <v>191</v>
      </c>
      <c r="F2" s="42">
        <v>2.5</v>
      </c>
      <c r="G2" s="42">
        <v>2</v>
      </c>
      <c r="H2" s="42">
        <v>5000</v>
      </c>
      <c r="I2" s="42" t="s">
        <v>428</v>
      </c>
      <c r="J2" s="42" t="s">
        <v>47</v>
      </c>
      <c r="K2" s="42" t="s">
        <v>15</v>
      </c>
      <c r="L2" s="42"/>
      <c r="M2" s="42"/>
      <c r="N2" s="42">
        <v>1</v>
      </c>
      <c r="O2" s="42"/>
      <c r="P2" s="42">
        <v>2.5</v>
      </c>
      <c r="Q2" s="42" t="s">
        <v>33</v>
      </c>
    </row>
    <row r="3" spans="1:17">
      <c r="A3" s="42" t="s">
        <v>429</v>
      </c>
      <c r="B3" s="42" t="s">
        <v>27</v>
      </c>
      <c r="C3" s="42" t="s">
        <v>218</v>
      </c>
      <c r="D3" s="42" t="s">
        <v>219</v>
      </c>
      <c r="E3" s="42" t="s">
        <v>220</v>
      </c>
      <c r="F3" s="42">
        <v>6.5</v>
      </c>
      <c r="G3" s="42">
        <v>2</v>
      </c>
      <c r="H3" s="42">
        <v>4900</v>
      </c>
      <c r="I3" s="42" t="s">
        <v>430</v>
      </c>
      <c r="J3" s="42" t="s">
        <v>43</v>
      </c>
      <c r="K3" s="42" t="s">
        <v>97</v>
      </c>
      <c r="L3" s="42"/>
      <c r="M3" s="42"/>
      <c r="N3" s="42">
        <v>1</v>
      </c>
      <c r="O3" s="42"/>
      <c r="P3" s="42">
        <v>6.5</v>
      </c>
      <c r="Q3" s="42" t="s">
        <v>33</v>
      </c>
    </row>
    <row r="4" spans="1:17">
      <c r="A4" s="42" t="s">
        <v>431</v>
      </c>
      <c r="B4" s="42" t="s">
        <v>27</v>
      </c>
      <c r="C4" s="42" t="s">
        <v>186</v>
      </c>
      <c r="D4" s="42" t="s">
        <v>187</v>
      </c>
      <c r="E4" s="42" t="s">
        <v>188</v>
      </c>
      <c r="F4" s="42">
        <v>12.5</v>
      </c>
      <c r="G4" s="42">
        <v>2</v>
      </c>
      <c r="H4" s="42">
        <v>4800</v>
      </c>
      <c r="I4" s="42" t="s">
        <v>432</v>
      </c>
      <c r="J4" s="42" t="s">
        <v>95</v>
      </c>
      <c r="K4" s="42" t="s">
        <v>96</v>
      </c>
      <c r="L4" s="42"/>
      <c r="M4" s="42"/>
      <c r="N4" s="42">
        <v>1</v>
      </c>
      <c r="O4" s="42"/>
      <c r="P4" s="42">
        <v>12.5</v>
      </c>
      <c r="Q4" s="42" t="s">
        <v>33</v>
      </c>
    </row>
    <row r="5" spans="1:17">
      <c r="A5" s="42" t="s">
        <v>433</v>
      </c>
      <c r="B5" s="42" t="s">
        <v>27</v>
      </c>
      <c r="C5" s="42" t="s">
        <v>195</v>
      </c>
      <c r="D5" s="42" t="s">
        <v>196</v>
      </c>
      <c r="E5" s="42" t="s">
        <v>197</v>
      </c>
      <c r="F5" s="42">
        <v>4</v>
      </c>
      <c r="G5" s="42">
        <v>2</v>
      </c>
      <c r="H5" s="42">
        <v>4700</v>
      </c>
      <c r="I5" s="42" t="s">
        <v>434</v>
      </c>
      <c r="J5" s="42" t="s">
        <v>40</v>
      </c>
      <c r="K5" s="42" t="s">
        <v>99</v>
      </c>
      <c r="L5" s="42"/>
      <c r="M5" s="42"/>
      <c r="N5" s="42">
        <v>1</v>
      </c>
      <c r="O5" s="42"/>
      <c r="P5" s="42">
        <v>4</v>
      </c>
      <c r="Q5" s="42" t="s">
        <v>33</v>
      </c>
    </row>
    <row r="6" spans="1:17">
      <c r="A6" s="42" t="s">
        <v>435</v>
      </c>
      <c r="B6" s="42" t="s">
        <v>27</v>
      </c>
      <c r="C6" s="42" t="s">
        <v>163</v>
      </c>
      <c r="D6" s="42" t="s">
        <v>164</v>
      </c>
      <c r="E6" s="42" t="s">
        <v>165</v>
      </c>
      <c r="F6" s="42">
        <v>7.5</v>
      </c>
      <c r="G6" s="42">
        <v>2</v>
      </c>
      <c r="H6" s="42">
        <v>4600</v>
      </c>
      <c r="I6" s="42" t="s">
        <v>436</v>
      </c>
      <c r="J6" s="42" t="s">
        <v>41</v>
      </c>
      <c r="K6" s="42" t="s">
        <v>3</v>
      </c>
      <c r="L6" s="42"/>
      <c r="M6" s="42"/>
      <c r="N6" s="42">
        <v>1</v>
      </c>
      <c r="O6" s="42"/>
      <c r="P6" s="42">
        <v>7.5</v>
      </c>
      <c r="Q6" s="42" t="s">
        <v>33</v>
      </c>
    </row>
    <row r="7" spans="1:17">
      <c r="A7" s="42" t="s">
        <v>437</v>
      </c>
      <c r="B7" s="42" t="s">
        <v>27</v>
      </c>
      <c r="C7" s="42" t="s">
        <v>438</v>
      </c>
      <c r="D7" s="42" t="s">
        <v>439</v>
      </c>
      <c r="E7" s="42" t="s">
        <v>440</v>
      </c>
      <c r="F7" s="42">
        <v>7.5</v>
      </c>
      <c r="G7" s="42">
        <v>2</v>
      </c>
      <c r="H7" s="42">
        <v>4500</v>
      </c>
      <c r="I7" s="42" t="s">
        <v>441</v>
      </c>
      <c r="J7" s="42" t="s">
        <v>442</v>
      </c>
      <c r="K7" s="42" t="s">
        <v>10</v>
      </c>
      <c r="L7" s="42"/>
      <c r="M7" s="42"/>
      <c r="N7" s="42">
        <v>1</v>
      </c>
      <c r="O7" s="42"/>
      <c r="P7" s="42">
        <v>7.5</v>
      </c>
      <c r="Q7" s="42" t="s">
        <v>33</v>
      </c>
    </row>
    <row r="8" spans="1:17">
      <c r="A8" s="42" t="s">
        <v>443</v>
      </c>
      <c r="B8" s="42" t="s">
        <v>27</v>
      </c>
      <c r="C8" s="42" t="s">
        <v>444</v>
      </c>
      <c r="D8" s="42" t="s">
        <v>445</v>
      </c>
      <c r="E8" s="42" t="s">
        <v>446</v>
      </c>
      <c r="F8" s="42">
        <v>7</v>
      </c>
      <c r="G8" s="42">
        <v>2</v>
      </c>
      <c r="H8" s="42">
        <v>4400</v>
      </c>
      <c r="I8" s="42" t="s">
        <v>447</v>
      </c>
      <c r="J8" s="42" t="s">
        <v>448</v>
      </c>
      <c r="K8" s="42" t="s">
        <v>17</v>
      </c>
      <c r="L8" s="42"/>
      <c r="M8" s="42"/>
      <c r="N8" s="42">
        <v>1</v>
      </c>
      <c r="O8" s="42"/>
      <c r="P8" s="42">
        <v>7</v>
      </c>
      <c r="Q8" s="42" t="s">
        <v>33</v>
      </c>
    </row>
    <row r="9" spans="1:17">
      <c r="A9" s="42" t="s">
        <v>449</v>
      </c>
      <c r="B9" s="42" t="s">
        <v>27</v>
      </c>
      <c r="C9" s="42" t="s">
        <v>166</v>
      </c>
      <c r="D9" s="42" t="s">
        <v>167</v>
      </c>
      <c r="E9" s="42" t="s">
        <v>168</v>
      </c>
      <c r="F9" s="42">
        <v>11</v>
      </c>
      <c r="G9" s="42">
        <v>2</v>
      </c>
      <c r="H9" s="42">
        <v>4300</v>
      </c>
      <c r="I9" s="42" t="s">
        <v>450</v>
      </c>
      <c r="J9" s="42" t="s">
        <v>5</v>
      </c>
      <c r="K9" s="42" t="s">
        <v>451</v>
      </c>
      <c r="L9" s="42"/>
      <c r="M9" s="42"/>
      <c r="N9" s="42">
        <v>1</v>
      </c>
      <c r="O9" s="42"/>
      <c r="P9" s="42">
        <v>11</v>
      </c>
      <c r="Q9" s="42" t="s">
        <v>33</v>
      </c>
    </row>
    <row r="10" spans="1:17">
      <c r="A10" s="42" t="s">
        <v>452</v>
      </c>
      <c r="B10" s="42" t="s">
        <v>27</v>
      </c>
      <c r="C10" s="42" t="s">
        <v>192</v>
      </c>
      <c r="D10" s="42" t="s">
        <v>193</v>
      </c>
      <c r="E10" s="42" t="s">
        <v>194</v>
      </c>
      <c r="F10" s="42">
        <v>9.5</v>
      </c>
      <c r="G10" s="42">
        <v>2</v>
      </c>
      <c r="H10" s="42">
        <v>4200</v>
      </c>
      <c r="I10" s="42" t="s">
        <v>453</v>
      </c>
      <c r="J10" s="42" t="s">
        <v>9</v>
      </c>
      <c r="K10" s="42" t="s">
        <v>11</v>
      </c>
      <c r="L10" s="42"/>
      <c r="M10" s="42"/>
      <c r="N10" s="42">
        <v>1</v>
      </c>
      <c r="O10" s="42"/>
      <c r="P10" s="42">
        <v>9.5</v>
      </c>
      <c r="Q10" s="42" t="s">
        <v>33</v>
      </c>
    </row>
    <row r="11" spans="1:17">
      <c r="A11" s="42" t="s">
        <v>454</v>
      </c>
      <c r="B11" s="42" t="s">
        <v>27</v>
      </c>
      <c r="C11" s="42" t="s">
        <v>209</v>
      </c>
      <c r="D11" s="42" t="s">
        <v>210</v>
      </c>
      <c r="E11" s="42" t="s">
        <v>211</v>
      </c>
      <c r="F11" s="42">
        <v>17.5</v>
      </c>
      <c r="G11" s="42">
        <v>2</v>
      </c>
      <c r="H11" s="42">
        <v>4100</v>
      </c>
      <c r="I11" s="42" t="s">
        <v>453</v>
      </c>
      <c r="J11" s="42" t="s">
        <v>11</v>
      </c>
      <c r="K11" s="42" t="s">
        <v>9</v>
      </c>
      <c r="L11" s="42"/>
      <c r="M11" s="42"/>
      <c r="N11" s="42">
        <v>1</v>
      </c>
      <c r="O11" s="42"/>
      <c r="P11" s="42">
        <v>17.5</v>
      </c>
      <c r="Q11" s="42" t="s">
        <v>33</v>
      </c>
    </row>
    <row r="12" spans="1:17">
      <c r="A12" s="42" t="s">
        <v>455</v>
      </c>
      <c r="B12" s="42" t="s">
        <v>27</v>
      </c>
      <c r="C12" s="42" t="s">
        <v>456</v>
      </c>
      <c r="D12" s="42" t="s">
        <v>457</v>
      </c>
      <c r="E12" s="42" t="s">
        <v>458</v>
      </c>
      <c r="F12" s="42">
        <v>5.5</v>
      </c>
      <c r="G12" s="42">
        <v>2</v>
      </c>
      <c r="H12" s="42">
        <v>4000</v>
      </c>
      <c r="I12" s="42" t="s">
        <v>459</v>
      </c>
      <c r="J12" s="42" t="s">
        <v>460</v>
      </c>
      <c r="K12" s="42" t="s">
        <v>94</v>
      </c>
      <c r="L12" s="42"/>
      <c r="M12" s="42"/>
      <c r="N12" s="42">
        <v>1</v>
      </c>
      <c r="O12" s="42"/>
      <c r="P12" s="42">
        <v>5.5</v>
      </c>
      <c r="Q12" s="42" t="s">
        <v>33</v>
      </c>
    </row>
    <row r="13" spans="1:17">
      <c r="A13" s="42" t="s">
        <v>461</v>
      </c>
      <c r="B13" s="42" t="s">
        <v>27</v>
      </c>
      <c r="C13" s="42" t="s">
        <v>462</v>
      </c>
      <c r="D13" s="42" t="s">
        <v>463</v>
      </c>
      <c r="E13" s="42" t="s">
        <v>464</v>
      </c>
      <c r="F13" s="42">
        <v>9</v>
      </c>
      <c r="G13" s="42">
        <v>2</v>
      </c>
      <c r="H13" s="42">
        <v>4000</v>
      </c>
      <c r="I13" s="42" t="s">
        <v>465</v>
      </c>
      <c r="J13" s="42" t="s">
        <v>466</v>
      </c>
      <c r="K13" s="42" t="s">
        <v>98</v>
      </c>
      <c r="L13" s="42"/>
      <c r="M13" s="42"/>
      <c r="N13" s="42">
        <v>1</v>
      </c>
      <c r="O13" s="42"/>
      <c r="P13" s="42">
        <v>9</v>
      </c>
      <c r="Q13" s="42" t="s">
        <v>33</v>
      </c>
    </row>
    <row r="14" spans="1:17">
      <c r="A14" s="42" t="s">
        <v>467</v>
      </c>
      <c r="B14" s="42" t="s">
        <v>27</v>
      </c>
      <c r="C14" s="42" t="s">
        <v>183</v>
      </c>
      <c r="D14" s="42" t="s">
        <v>184</v>
      </c>
      <c r="E14" s="42" t="s">
        <v>185</v>
      </c>
      <c r="F14" s="42">
        <v>9</v>
      </c>
      <c r="G14" s="42">
        <v>2</v>
      </c>
      <c r="H14" s="42">
        <v>3900</v>
      </c>
      <c r="I14" s="42" t="s">
        <v>459</v>
      </c>
      <c r="J14" s="42" t="s">
        <v>94</v>
      </c>
      <c r="K14" s="42" t="s">
        <v>460</v>
      </c>
      <c r="L14" s="42"/>
      <c r="M14" s="42"/>
      <c r="N14" s="42">
        <v>1</v>
      </c>
      <c r="O14" s="42"/>
      <c r="P14" s="42">
        <v>9</v>
      </c>
      <c r="Q14" s="42" t="s">
        <v>33</v>
      </c>
    </row>
    <row r="15" spans="1:17">
      <c r="A15" s="42" t="s">
        <v>468</v>
      </c>
      <c r="B15" s="42" t="s">
        <v>27</v>
      </c>
      <c r="C15" s="42" t="s">
        <v>169</v>
      </c>
      <c r="D15" s="42" t="s">
        <v>170</v>
      </c>
      <c r="E15" s="42" t="s">
        <v>171</v>
      </c>
      <c r="F15" s="42">
        <v>12.5</v>
      </c>
      <c r="G15" s="42">
        <v>2</v>
      </c>
      <c r="H15" s="42">
        <v>3900</v>
      </c>
      <c r="I15" s="42" t="s">
        <v>432</v>
      </c>
      <c r="J15" s="42" t="s">
        <v>96</v>
      </c>
      <c r="K15" s="42" t="s">
        <v>95</v>
      </c>
      <c r="L15" s="42"/>
      <c r="M15" s="42"/>
      <c r="N15" s="42">
        <v>1</v>
      </c>
      <c r="O15" s="42"/>
      <c r="P15" s="42">
        <v>12.5</v>
      </c>
      <c r="Q15" s="42" t="s">
        <v>33</v>
      </c>
    </row>
    <row r="16" spans="1:17">
      <c r="A16" s="42" t="s">
        <v>469</v>
      </c>
      <c r="B16" s="42" t="s">
        <v>27</v>
      </c>
      <c r="C16" s="42" t="s">
        <v>198</v>
      </c>
      <c r="D16" s="42" t="s">
        <v>199</v>
      </c>
      <c r="E16" s="42" t="s">
        <v>200</v>
      </c>
      <c r="F16" s="42">
        <v>15</v>
      </c>
      <c r="G16" s="42">
        <v>2</v>
      </c>
      <c r="H16" s="42">
        <v>3800</v>
      </c>
      <c r="I16" s="42" t="s">
        <v>470</v>
      </c>
      <c r="J16" s="42" t="s">
        <v>39</v>
      </c>
      <c r="K16" s="42" t="s">
        <v>12</v>
      </c>
      <c r="L16" s="42"/>
      <c r="M16" s="42"/>
      <c r="N16" s="42">
        <v>1</v>
      </c>
      <c r="O16" s="42"/>
      <c r="P16" s="42">
        <v>15</v>
      </c>
      <c r="Q16" s="42" t="s">
        <v>33</v>
      </c>
    </row>
    <row r="17" spans="1:17">
      <c r="A17" s="42" t="s">
        <v>471</v>
      </c>
      <c r="B17" s="42" t="s">
        <v>27</v>
      </c>
      <c r="C17" s="42" t="s">
        <v>160</v>
      </c>
      <c r="D17" s="42" t="s">
        <v>161</v>
      </c>
      <c r="E17" s="42" t="s">
        <v>162</v>
      </c>
      <c r="F17" s="42">
        <v>4</v>
      </c>
      <c r="G17" s="42">
        <v>2</v>
      </c>
      <c r="H17" s="42">
        <v>3800</v>
      </c>
      <c r="I17" s="42" t="s">
        <v>470</v>
      </c>
      <c r="J17" s="42" t="s">
        <v>12</v>
      </c>
      <c r="K17" s="42" t="s">
        <v>39</v>
      </c>
      <c r="L17" s="42"/>
      <c r="M17" s="42"/>
      <c r="N17" s="42">
        <v>1</v>
      </c>
      <c r="O17" s="42"/>
      <c r="P17" s="42">
        <v>4</v>
      </c>
      <c r="Q17" s="42" t="s">
        <v>33</v>
      </c>
    </row>
    <row r="18" spans="1:17">
      <c r="A18" s="42" t="s">
        <v>472</v>
      </c>
      <c r="B18" s="42" t="s">
        <v>27</v>
      </c>
      <c r="C18" s="42" t="s">
        <v>473</v>
      </c>
      <c r="D18" s="42" t="s">
        <v>474</v>
      </c>
      <c r="E18" s="42" t="s">
        <v>475</v>
      </c>
      <c r="F18" s="42">
        <v>2</v>
      </c>
      <c r="G18" s="42">
        <v>2</v>
      </c>
      <c r="H18" s="42">
        <v>3700</v>
      </c>
      <c r="I18" s="42" t="s">
        <v>450</v>
      </c>
      <c r="J18" s="42" t="s">
        <v>451</v>
      </c>
      <c r="K18" s="42" t="s">
        <v>5</v>
      </c>
      <c r="L18" s="42"/>
      <c r="M18" s="42"/>
      <c r="N18" s="42">
        <v>1</v>
      </c>
      <c r="O18" s="42"/>
      <c r="P18" s="42">
        <v>2</v>
      </c>
      <c r="Q18" s="42" t="s">
        <v>33</v>
      </c>
    </row>
    <row r="19" spans="1:17">
      <c r="A19" s="42" t="s">
        <v>476</v>
      </c>
      <c r="B19" s="42" t="s">
        <v>27</v>
      </c>
      <c r="C19" s="42" t="s">
        <v>215</v>
      </c>
      <c r="D19" s="42" t="s">
        <v>216</v>
      </c>
      <c r="E19" s="42" t="s">
        <v>217</v>
      </c>
      <c r="F19" s="42">
        <v>5</v>
      </c>
      <c r="G19" s="42">
        <v>2</v>
      </c>
      <c r="H19" s="42">
        <v>3700</v>
      </c>
      <c r="I19" s="42" t="s">
        <v>465</v>
      </c>
      <c r="J19" s="42" t="s">
        <v>98</v>
      </c>
      <c r="K19" s="42" t="s">
        <v>466</v>
      </c>
      <c r="L19" s="42"/>
      <c r="M19" s="42"/>
      <c r="N19" s="42">
        <v>1</v>
      </c>
      <c r="O19" s="42"/>
      <c r="P19" s="42">
        <v>5</v>
      </c>
      <c r="Q19" s="42" t="s">
        <v>33</v>
      </c>
    </row>
    <row r="20" spans="1:17">
      <c r="A20" s="42" t="s">
        <v>477</v>
      </c>
      <c r="B20" s="42" t="s">
        <v>27</v>
      </c>
      <c r="C20" s="42" t="s">
        <v>201</v>
      </c>
      <c r="D20" s="42" t="s">
        <v>202</v>
      </c>
      <c r="E20" s="42" t="s">
        <v>203</v>
      </c>
      <c r="F20" s="42">
        <v>10</v>
      </c>
      <c r="G20" s="42">
        <v>2</v>
      </c>
      <c r="H20" s="42">
        <v>3600</v>
      </c>
      <c r="I20" s="42" t="s">
        <v>478</v>
      </c>
      <c r="J20" s="42" t="s">
        <v>6</v>
      </c>
      <c r="K20" s="42" t="s">
        <v>14</v>
      </c>
      <c r="L20" s="42"/>
      <c r="M20" s="42"/>
      <c r="N20" s="42">
        <v>1</v>
      </c>
      <c r="O20" s="42"/>
      <c r="P20" s="42">
        <v>10</v>
      </c>
      <c r="Q20" s="42" t="s">
        <v>33</v>
      </c>
    </row>
    <row r="21" spans="1:17">
      <c r="A21" s="42" t="s">
        <v>479</v>
      </c>
      <c r="B21" s="42" t="s">
        <v>27</v>
      </c>
      <c r="C21" s="42" t="s">
        <v>180</v>
      </c>
      <c r="D21" s="42" t="s">
        <v>181</v>
      </c>
      <c r="E21" s="42" t="s">
        <v>182</v>
      </c>
      <c r="F21" s="42">
        <v>6.5</v>
      </c>
      <c r="G21" s="42">
        <v>2</v>
      </c>
      <c r="H21" s="42">
        <v>3600</v>
      </c>
      <c r="I21" s="42" t="s">
        <v>478</v>
      </c>
      <c r="J21" s="42" t="s">
        <v>14</v>
      </c>
      <c r="K21" s="42" t="s">
        <v>6</v>
      </c>
      <c r="L21" s="42"/>
      <c r="M21" s="42"/>
      <c r="N21" s="42">
        <v>1</v>
      </c>
      <c r="O21" s="42"/>
      <c r="P21" s="42">
        <v>6.5</v>
      </c>
      <c r="Q21" s="42" t="s">
        <v>33</v>
      </c>
    </row>
    <row r="22" spans="1:17">
      <c r="A22" s="42" t="s">
        <v>480</v>
      </c>
      <c r="B22" s="42" t="s">
        <v>27</v>
      </c>
      <c r="C22" s="42" t="s">
        <v>212</v>
      </c>
      <c r="D22" s="42" t="s">
        <v>213</v>
      </c>
      <c r="E22" s="42" t="s">
        <v>214</v>
      </c>
      <c r="F22" s="42">
        <v>3</v>
      </c>
      <c r="G22" s="42">
        <v>2</v>
      </c>
      <c r="H22" s="42">
        <v>3500</v>
      </c>
      <c r="I22" s="42" t="s">
        <v>436</v>
      </c>
      <c r="J22" s="42" t="s">
        <v>3</v>
      </c>
      <c r="K22" s="42" t="s">
        <v>41</v>
      </c>
      <c r="L22" s="42"/>
      <c r="M22" s="42"/>
      <c r="N22" s="42">
        <v>1</v>
      </c>
      <c r="O22" s="42"/>
      <c r="P22" s="42">
        <v>3</v>
      </c>
      <c r="Q22" s="42" t="s">
        <v>33</v>
      </c>
    </row>
    <row r="23" spans="1:17">
      <c r="A23" s="42" t="s">
        <v>481</v>
      </c>
      <c r="B23" s="42" t="s">
        <v>27</v>
      </c>
      <c r="C23" s="42" t="s">
        <v>169</v>
      </c>
      <c r="D23" s="42" t="s">
        <v>204</v>
      </c>
      <c r="E23" s="42" t="s">
        <v>205</v>
      </c>
      <c r="F23" s="42">
        <v>1.5</v>
      </c>
      <c r="G23" s="42">
        <v>2</v>
      </c>
      <c r="H23" s="42">
        <v>3400</v>
      </c>
      <c r="I23" s="42" t="s">
        <v>447</v>
      </c>
      <c r="J23" s="42" t="s">
        <v>17</v>
      </c>
      <c r="K23" s="42" t="s">
        <v>448</v>
      </c>
      <c r="L23" s="42"/>
      <c r="M23" s="42"/>
      <c r="N23" s="42">
        <v>1</v>
      </c>
      <c r="O23" s="42"/>
      <c r="P23" s="42">
        <v>1.5</v>
      </c>
      <c r="Q23" s="42" t="s">
        <v>33</v>
      </c>
    </row>
    <row r="24" spans="1:17">
      <c r="A24" s="42" t="s">
        <v>482</v>
      </c>
      <c r="B24" s="42" t="s">
        <v>27</v>
      </c>
      <c r="C24" s="42" t="s">
        <v>206</v>
      </c>
      <c r="D24" s="42" t="s">
        <v>207</v>
      </c>
      <c r="E24" s="42" t="s">
        <v>208</v>
      </c>
      <c r="F24" s="42">
        <v>5</v>
      </c>
      <c r="G24" s="42">
        <v>2</v>
      </c>
      <c r="H24" s="42">
        <v>3300</v>
      </c>
      <c r="I24" s="42" t="s">
        <v>430</v>
      </c>
      <c r="J24" s="42" t="s">
        <v>97</v>
      </c>
      <c r="K24" s="42" t="s">
        <v>43</v>
      </c>
      <c r="L24" s="42"/>
      <c r="M24" s="42"/>
      <c r="N24" s="42">
        <v>1</v>
      </c>
      <c r="O24" s="42"/>
      <c r="P24" s="42">
        <v>5</v>
      </c>
      <c r="Q24" s="42" t="s">
        <v>33</v>
      </c>
    </row>
    <row r="25" spans="1:17">
      <c r="A25" s="42" t="s">
        <v>483</v>
      </c>
      <c r="B25" s="42" t="s">
        <v>27</v>
      </c>
      <c r="C25" s="42" t="s">
        <v>173</v>
      </c>
      <c r="D25" s="42" t="s">
        <v>174</v>
      </c>
      <c r="E25" s="42" t="s">
        <v>175</v>
      </c>
      <c r="F25" s="42">
        <v>8</v>
      </c>
      <c r="G25" s="42">
        <v>2</v>
      </c>
      <c r="H25" s="42">
        <v>3200</v>
      </c>
      <c r="I25" s="42" t="s">
        <v>434</v>
      </c>
      <c r="J25" s="42" t="s">
        <v>99</v>
      </c>
      <c r="K25" s="42" t="s">
        <v>40</v>
      </c>
      <c r="L25" s="42"/>
      <c r="M25" s="42"/>
      <c r="N25" s="42">
        <v>1</v>
      </c>
      <c r="O25" s="42"/>
      <c r="P25" s="42">
        <v>8</v>
      </c>
      <c r="Q25" s="42" t="s">
        <v>33</v>
      </c>
    </row>
    <row r="26" spans="1:17">
      <c r="A26" s="42" t="s">
        <v>484</v>
      </c>
      <c r="B26" s="42" t="s">
        <v>27</v>
      </c>
      <c r="C26" s="42" t="s">
        <v>176</v>
      </c>
      <c r="D26" s="42" t="s">
        <v>177</v>
      </c>
      <c r="E26" s="42" t="s">
        <v>178</v>
      </c>
      <c r="F26" s="42">
        <v>3</v>
      </c>
      <c r="G26" s="42">
        <v>2</v>
      </c>
      <c r="H26" s="42">
        <v>3100</v>
      </c>
      <c r="I26" s="42" t="s">
        <v>441</v>
      </c>
      <c r="J26" s="42" t="s">
        <v>10</v>
      </c>
      <c r="K26" s="42" t="s">
        <v>442</v>
      </c>
      <c r="L26" s="42"/>
      <c r="M26" s="42"/>
      <c r="N26" s="42">
        <v>1</v>
      </c>
      <c r="O26" s="42"/>
      <c r="P26" s="42">
        <v>3</v>
      </c>
      <c r="Q26" s="42" t="s">
        <v>33</v>
      </c>
    </row>
    <row r="27" spans="1:17">
      <c r="A27" s="42" t="s">
        <v>485</v>
      </c>
      <c r="B27" s="42" t="s">
        <v>27</v>
      </c>
      <c r="C27" s="42" t="s">
        <v>221</v>
      </c>
      <c r="D27" s="42" t="s">
        <v>222</v>
      </c>
      <c r="E27" s="42" t="s">
        <v>223</v>
      </c>
      <c r="F27" s="42">
        <v>2</v>
      </c>
      <c r="G27" s="42">
        <v>2</v>
      </c>
      <c r="H27" s="42">
        <v>3000</v>
      </c>
      <c r="I27" s="42" t="s">
        <v>428</v>
      </c>
      <c r="J27" s="42" t="s">
        <v>15</v>
      </c>
      <c r="K27" s="42" t="s">
        <v>47</v>
      </c>
      <c r="L27" s="42"/>
      <c r="M27" s="42"/>
      <c r="N27" s="42">
        <v>1</v>
      </c>
      <c r="O27" s="42"/>
      <c r="P27" s="42">
        <v>2</v>
      </c>
      <c r="Q27" s="42" t="s">
        <v>33</v>
      </c>
    </row>
    <row r="28" spans="1:17">
      <c r="C28" s="11"/>
      <c r="E28" s="11"/>
    </row>
    <row r="29" spans="1:17">
      <c r="C29" s="11"/>
      <c r="E29" s="11"/>
    </row>
    <row r="30" spans="1:17">
      <c r="C30" s="11"/>
      <c r="E30" s="11"/>
    </row>
    <row r="31" spans="1:17">
      <c r="C31" s="11"/>
      <c r="E31" s="11"/>
    </row>
    <row r="32" spans="1:17">
      <c r="C32" s="11"/>
      <c r="E32" s="11"/>
    </row>
    <row r="33" spans="3:5">
      <c r="C33" s="11"/>
      <c r="E33" s="11"/>
    </row>
    <row r="34" spans="3:5">
      <c r="C34" s="11"/>
      <c r="E34" s="11"/>
    </row>
    <row r="35" spans="3:5">
      <c r="C35" s="11"/>
      <c r="E35" s="11"/>
    </row>
    <row r="36" spans="3:5">
      <c r="C36" s="11"/>
      <c r="E36" s="11"/>
    </row>
    <row r="37" spans="3:5">
      <c r="C37" s="11"/>
      <c r="E37" s="11"/>
    </row>
    <row r="38" spans="3:5">
      <c r="C38" s="11"/>
      <c r="E38" s="11"/>
    </row>
    <row r="39" spans="3:5">
      <c r="C39" s="11"/>
      <c r="E39" s="11"/>
    </row>
    <row r="40" spans="3:5">
      <c r="C40" s="11"/>
      <c r="E40" s="11"/>
    </row>
    <row r="41" spans="3:5">
      <c r="C41" s="11"/>
      <c r="E41" s="11"/>
    </row>
    <row r="42" spans="3:5">
      <c r="C42" s="11"/>
      <c r="E42" s="11"/>
    </row>
    <row r="43" spans="3:5">
      <c r="C43" s="11"/>
      <c r="E43" s="11"/>
    </row>
    <row r="44" spans="3:5">
      <c r="C44" s="11"/>
      <c r="E44" s="11"/>
    </row>
    <row r="45" spans="3:5">
      <c r="C45" s="11"/>
      <c r="E45" s="11"/>
    </row>
    <row r="46" spans="3:5">
      <c r="C46" s="11"/>
      <c r="E46" s="11"/>
    </row>
    <row r="47" spans="3:5">
      <c r="C47" s="11"/>
      <c r="E47" s="11"/>
    </row>
    <row r="48" spans="3:5">
      <c r="C48" s="11"/>
      <c r="E48" s="11"/>
    </row>
    <row r="49" spans="3:5">
      <c r="C49" s="11"/>
      <c r="E49" s="11"/>
    </row>
    <row r="50" spans="3:5">
      <c r="C50" s="11"/>
      <c r="E50" s="11"/>
    </row>
    <row r="51" spans="3:5">
      <c r="C51" s="11"/>
      <c r="E51" s="11"/>
    </row>
    <row r="52" spans="3:5">
      <c r="C52" s="11"/>
      <c r="E52" s="11"/>
    </row>
    <row r="53" spans="3:5">
      <c r="C53" s="11"/>
      <c r="E53" s="11"/>
    </row>
    <row r="54" spans="3:5">
      <c r="C54" s="11"/>
      <c r="E54" s="11"/>
    </row>
    <row r="55" spans="3:5">
      <c r="C55" s="11"/>
      <c r="E55" s="11"/>
    </row>
    <row r="56" spans="3:5">
      <c r="C56" s="11"/>
      <c r="E56" s="11"/>
    </row>
    <row r="57" spans="3:5">
      <c r="C57" s="11"/>
      <c r="E57" s="11"/>
    </row>
    <row r="58" spans="3:5">
      <c r="C58" s="11"/>
      <c r="E58" s="11"/>
    </row>
    <row r="59" spans="3:5">
      <c r="C59" s="11"/>
      <c r="E59" s="11"/>
    </row>
    <row r="60" spans="3:5">
      <c r="C60" s="11"/>
      <c r="E60" s="11"/>
    </row>
    <row r="61" spans="3:5">
      <c r="C61" s="11"/>
      <c r="E61" s="11"/>
    </row>
    <row r="62" spans="3:5">
      <c r="C62" s="11"/>
      <c r="E62" s="11"/>
    </row>
    <row r="63" spans="3:5">
      <c r="C63" s="11"/>
      <c r="E63" s="11"/>
    </row>
    <row r="64" spans="3:5">
      <c r="C64" s="11"/>
      <c r="E64" s="11"/>
    </row>
    <row r="65" spans="3:5">
      <c r="C65" s="11"/>
      <c r="E65" s="11"/>
    </row>
    <row r="66" spans="3:5">
      <c r="C66" s="11"/>
      <c r="E66" s="11"/>
    </row>
    <row r="67" spans="3:5">
      <c r="C67" s="11"/>
      <c r="E67" s="11"/>
    </row>
    <row r="68" spans="3:5">
      <c r="C68" s="11"/>
      <c r="E68" s="11"/>
    </row>
    <row r="69" spans="3:5">
      <c r="C69" s="11"/>
      <c r="E69" s="11"/>
    </row>
    <row r="70" spans="3:5">
      <c r="C70" s="11"/>
      <c r="E70" s="11"/>
    </row>
    <row r="71" spans="3:5">
      <c r="C71" s="11"/>
      <c r="E71" s="11"/>
    </row>
    <row r="72" spans="3:5">
      <c r="C72" s="11"/>
      <c r="E72" s="11"/>
    </row>
    <row r="73" spans="3:5">
      <c r="C73" s="11"/>
      <c r="E73" s="11"/>
    </row>
    <row r="74" spans="3:5">
      <c r="C74" s="11"/>
      <c r="E74" s="11"/>
    </row>
    <row r="75" spans="3:5">
      <c r="C75" s="11"/>
      <c r="E75" s="11"/>
    </row>
    <row r="76" spans="3:5">
      <c r="C76" s="11"/>
      <c r="E76" s="11"/>
    </row>
    <row r="77" spans="3:5">
      <c r="C77" s="11"/>
      <c r="E77" s="11"/>
    </row>
    <row r="78" spans="3:5">
      <c r="C78" s="11"/>
      <c r="E78" s="11"/>
    </row>
    <row r="79" spans="3:5">
      <c r="C79" s="11"/>
      <c r="E79" s="11"/>
    </row>
    <row r="80" spans="3:5">
      <c r="C80" s="11"/>
      <c r="E80" s="11"/>
    </row>
    <row r="81" spans="3:5">
      <c r="C81" s="11"/>
      <c r="E81" s="11"/>
    </row>
    <row r="82" spans="3:5">
      <c r="C82" s="11"/>
      <c r="E82" s="11"/>
    </row>
    <row r="83" spans="3:5">
      <c r="C83" s="11"/>
      <c r="E83" s="11"/>
    </row>
    <row r="84" spans="3:5">
      <c r="C84" s="11"/>
      <c r="E84" s="11"/>
    </row>
    <row r="85" spans="3:5">
      <c r="C85" s="11"/>
      <c r="E85" s="11"/>
    </row>
    <row r="86" spans="3:5">
      <c r="C86" s="11"/>
      <c r="E86" s="11"/>
    </row>
    <row r="87" spans="3:5">
      <c r="C87" s="11"/>
      <c r="E87" s="11"/>
    </row>
    <row r="88" spans="3:5">
      <c r="C88" s="11"/>
      <c r="E88" s="11"/>
    </row>
    <row r="89" spans="3:5">
      <c r="C89" s="11"/>
      <c r="E89" s="11"/>
    </row>
    <row r="90" spans="3:5">
      <c r="C90" s="11"/>
      <c r="E90" s="11"/>
    </row>
    <row r="91" spans="3:5">
      <c r="C91" s="11"/>
      <c r="E91" s="11"/>
    </row>
    <row r="92" spans="3:5">
      <c r="C92" s="11"/>
      <c r="E92" s="11"/>
    </row>
    <row r="93" spans="3:5">
      <c r="C93" s="11"/>
      <c r="E93" s="11"/>
    </row>
    <row r="94" spans="3:5">
      <c r="C94" s="11"/>
      <c r="E94" s="11"/>
    </row>
    <row r="95" spans="3:5">
      <c r="C95" s="11"/>
      <c r="E95" s="11"/>
    </row>
    <row r="96" spans="3:5">
      <c r="C96" s="11"/>
      <c r="E96" s="11"/>
    </row>
    <row r="97" spans="3:5">
      <c r="C97" s="11"/>
      <c r="E97" s="11"/>
    </row>
    <row r="98" spans="3:5">
      <c r="C98" s="11"/>
      <c r="E98" s="11"/>
    </row>
    <row r="99" spans="3:5">
      <c r="C99" s="11"/>
      <c r="E99" s="11"/>
    </row>
    <row r="100" spans="3:5">
      <c r="C100" s="11"/>
      <c r="E100" s="11"/>
    </row>
    <row r="101" spans="3:5">
      <c r="C101" s="11"/>
      <c r="E101" s="11"/>
    </row>
    <row r="102" spans="3:5">
      <c r="C102" s="11"/>
      <c r="E102" s="11"/>
    </row>
    <row r="103" spans="3:5">
      <c r="C103" s="11"/>
      <c r="E103" s="11"/>
    </row>
    <row r="104" spans="3:5">
      <c r="C104" s="11"/>
      <c r="E104" s="11"/>
    </row>
    <row r="105" spans="3:5">
      <c r="C105" s="11"/>
      <c r="E105" s="11"/>
    </row>
    <row r="106" spans="3:5">
      <c r="C106" s="11"/>
      <c r="E106" s="11"/>
    </row>
    <row r="107" spans="3:5">
      <c r="C107" s="11"/>
      <c r="E107" s="11"/>
    </row>
    <row r="108" spans="3:5">
      <c r="C108" s="11"/>
      <c r="E108" s="11"/>
    </row>
    <row r="109" spans="3:5">
      <c r="C109" s="11"/>
      <c r="E109" s="11"/>
    </row>
    <row r="110" spans="3:5">
      <c r="C110" s="11"/>
      <c r="E110" s="11"/>
    </row>
    <row r="111" spans="3:5">
      <c r="C111" s="11"/>
      <c r="E111" s="11"/>
    </row>
    <row r="112" spans="3:5">
      <c r="C112" s="11"/>
      <c r="E112" s="11"/>
    </row>
    <row r="113" spans="3:5">
      <c r="C113" s="11"/>
      <c r="E113" s="11"/>
    </row>
    <row r="114" spans="3:5">
      <c r="C114" s="11"/>
      <c r="E114" s="11"/>
    </row>
    <row r="115" spans="3:5">
      <c r="C115" s="11"/>
      <c r="E115" s="11"/>
    </row>
    <row r="116" spans="3:5">
      <c r="C116" s="11"/>
      <c r="E116" s="11"/>
    </row>
    <row r="117" spans="3:5">
      <c r="C117" s="11"/>
      <c r="E117" s="11"/>
    </row>
    <row r="118" spans="3:5">
      <c r="C118" s="11"/>
      <c r="E118" s="11"/>
    </row>
    <row r="119" spans="3:5">
      <c r="C119" s="11"/>
      <c r="E119" s="11"/>
    </row>
    <row r="120" spans="3:5">
      <c r="C120" s="11"/>
      <c r="E120" s="11"/>
    </row>
    <row r="121" spans="3:5">
      <c r="C121" s="11"/>
      <c r="E121" s="11"/>
    </row>
    <row r="122" spans="3:5">
      <c r="C122" s="11"/>
      <c r="E122" s="11"/>
    </row>
    <row r="123" spans="3:5">
      <c r="C123" s="11"/>
      <c r="E123" s="11"/>
    </row>
    <row r="124" spans="3:5">
      <c r="C124" s="11"/>
      <c r="E124" s="11"/>
    </row>
    <row r="125" spans="3:5">
      <c r="C125" s="11"/>
      <c r="E125" s="11"/>
    </row>
    <row r="126" spans="3:5">
      <c r="C126" s="11"/>
      <c r="E126" s="11"/>
    </row>
    <row r="127" spans="3:5">
      <c r="C127" s="11"/>
      <c r="E127" s="11"/>
    </row>
    <row r="128" spans="3:5">
      <c r="C128" s="11"/>
      <c r="E128" s="11"/>
    </row>
    <row r="129" spans="3:5">
      <c r="C129" s="11"/>
      <c r="E129" s="11"/>
    </row>
    <row r="130" spans="3:5">
      <c r="C130" s="11"/>
      <c r="E130" s="11"/>
    </row>
    <row r="131" spans="3:5">
      <c r="C131" s="11"/>
      <c r="E131" s="11"/>
    </row>
    <row r="132" spans="3:5">
      <c r="C132" s="11"/>
      <c r="E132" s="11"/>
    </row>
    <row r="133" spans="3:5">
      <c r="C133" s="11"/>
      <c r="E133" s="11"/>
    </row>
    <row r="134" spans="3:5">
      <c r="C134" s="11"/>
      <c r="E134" s="11"/>
    </row>
    <row r="135" spans="3:5">
      <c r="C135" s="11"/>
      <c r="E135" s="11"/>
    </row>
    <row r="136" spans="3:5">
      <c r="C136" s="11"/>
      <c r="E136" s="11"/>
    </row>
    <row r="137" spans="3:5">
      <c r="C137" s="11"/>
      <c r="E137" s="11"/>
    </row>
    <row r="138" spans="3:5">
      <c r="C138" s="11"/>
      <c r="E138" s="11"/>
    </row>
    <row r="139" spans="3:5">
      <c r="C139" s="11"/>
      <c r="E139" s="11"/>
    </row>
    <row r="140" spans="3:5">
      <c r="C140" s="11"/>
      <c r="E140" s="11"/>
    </row>
    <row r="141" spans="3:5">
      <c r="C141" s="11"/>
      <c r="E141" s="11"/>
    </row>
    <row r="142" spans="3:5">
      <c r="C142" s="11"/>
      <c r="E142" s="11"/>
    </row>
    <row r="143" spans="3:5">
      <c r="C143" s="11"/>
      <c r="E143" s="11"/>
    </row>
    <row r="144" spans="3:5">
      <c r="C144" s="11"/>
      <c r="E144" s="11"/>
    </row>
    <row r="145" spans="3:5">
      <c r="C145" s="11"/>
      <c r="E145" s="11"/>
    </row>
    <row r="146" spans="3:5">
      <c r="C146" s="11"/>
      <c r="E146" s="11"/>
    </row>
    <row r="147" spans="3:5">
      <c r="C147" s="11"/>
      <c r="E147" s="11"/>
    </row>
    <row r="148" spans="3:5">
      <c r="C148" s="11"/>
      <c r="E148" s="11"/>
    </row>
    <row r="149" spans="3:5">
      <c r="C149" s="11"/>
      <c r="E149" s="11"/>
    </row>
    <row r="150" spans="3:5">
      <c r="C150" s="11"/>
      <c r="E150" s="11"/>
    </row>
    <row r="151" spans="3:5">
      <c r="C151" s="11"/>
      <c r="E151" s="11"/>
    </row>
    <row r="152" spans="3:5">
      <c r="C152" s="11"/>
      <c r="E152" s="11"/>
    </row>
    <row r="153" spans="3:5">
      <c r="C153" s="11"/>
      <c r="E153" s="11"/>
    </row>
    <row r="154" spans="3:5">
      <c r="C154" s="11"/>
      <c r="E154" s="11"/>
    </row>
    <row r="155" spans="3:5">
      <c r="C155" s="11"/>
      <c r="E155" s="11"/>
    </row>
    <row r="156" spans="3:5">
      <c r="C156" s="11"/>
      <c r="E156" s="11"/>
    </row>
    <row r="157" spans="3:5">
      <c r="C157" s="11"/>
      <c r="E157" s="11"/>
    </row>
    <row r="158" spans="3:5">
      <c r="C158" s="11"/>
      <c r="E158" s="11"/>
    </row>
    <row r="159" spans="3:5">
      <c r="C159" s="11"/>
      <c r="E159" s="11"/>
    </row>
    <row r="160" spans="3:5">
      <c r="C160" s="11"/>
      <c r="E160" s="11"/>
    </row>
    <row r="161" spans="3:5">
      <c r="C161" s="11"/>
      <c r="E161" s="11"/>
    </row>
    <row r="162" spans="3:5">
      <c r="C162" s="11"/>
      <c r="E162" s="11"/>
    </row>
    <row r="163" spans="3:5">
      <c r="C163" s="11"/>
      <c r="E163" s="11"/>
    </row>
    <row r="164" spans="3:5">
      <c r="C164" s="11"/>
      <c r="E164" s="11"/>
    </row>
    <row r="165" spans="3:5">
      <c r="C165" s="11"/>
      <c r="E165" s="11"/>
    </row>
    <row r="166" spans="3:5">
      <c r="C166" s="11"/>
      <c r="E166" s="11"/>
    </row>
    <row r="167" spans="3:5">
      <c r="C167" s="11"/>
      <c r="E167" s="11"/>
    </row>
    <row r="168" spans="3:5">
      <c r="C168" s="11"/>
      <c r="E168" s="11"/>
    </row>
    <row r="169" spans="3:5">
      <c r="C169" s="11"/>
      <c r="E169" s="11"/>
    </row>
    <row r="170" spans="3:5">
      <c r="C170" s="11"/>
      <c r="E170" s="11"/>
    </row>
    <row r="171" spans="3:5">
      <c r="C171" s="11"/>
      <c r="E171" s="11"/>
    </row>
    <row r="172" spans="3:5">
      <c r="C172" s="11"/>
      <c r="E172" s="11"/>
    </row>
    <row r="173" spans="3:5">
      <c r="C173" s="11"/>
      <c r="E173" s="11"/>
    </row>
    <row r="174" spans="3:5">
      <c r="C174" s="11"/>
      <c r="E174" s="11"/>
    </row>
    <row r="175" spans="3:5">
      <c r="C175" s="11"/>
      <c r="E175" s="11"/>
    </row>
    <row r="176" spans="3:5">
      <c r="C176" s="11"/>
      <c r="E176" s="11"/>
    </row>
    <row r="177" spans="3:5">
      <c r="C177" s="11"/>
      <c r="E177" s="11"/>
    </row>
    <row r="178" spans="3:5">
      <c r="C178" s="11"/>
      <c r="E178" s="11"/>
    </row>
    <row r="179" spans="3:5">
      <c r="C179" s="11"/>
      <c r="E179" s="11"/>
    </row>
    <row r="180" spans="3:5">
      <c r="C180" s="11"/>
      <c r="E180" s="11"/>
    </row>
    <row r="181" spans="3:5">
      <c r="C181" s="11"/>
      <c r="E181" s="11"/>
    </row>
    <row r="182" spans="3:5">
      <c r="C182" s="11"/>
      <c r="E182" s="11"/>
    </row>
    <row r="183" spans="3:5">
      <c r="C183" s="11"/>
      <c r="E183" s="11"/>
    </row>
    <row r="184" spans="3:5">
      <c r="C184" s="11"/>
      <c r="E184" s="11"/>
    </row>
    <row r="185" spans="3:5">
      <c r="C185" s="11"/>
      <c r="E185" s="11"/>
    </row>
    <row r="186" spans="3:5">
      <c r="C186" s="11"/>
      <c r="E186" s="11"/>
    </row>
    <row r="187" spans="3:5">
      <c r="C187" s="11"/>
      <c r="E187" s="11"/>
    </row>
    <row r="188" spans="3:5">
      <c r="C188" s="11"/>
      <c r="E188" s="11"/>
    </row>
    <row r="189" spans="3:5">
      <c r="C189" s="11"/>
      <c r="E189" s="11"/>
    </row>
    <row r="190" spans="3:5">
      <c r="C190" s="11"/>
      <c r="E190" s="11"/>
    </row>
    <row r="191" spans="3:5">
      <c r="C191" s="11"/>
      <c r="E191" s="11"/>
    </row>
    <row r="192" spans="3:5">
      <c r="C192" s="11"/>
      <c r="E192" s="11"/>
    </row>
    <row r="193" spans="3:5">
      <c r="C193" s="11"/>
      <c r="E193" s="11"/>
    </row>
    <row r="194" spans="3:5">
      <c r="C194" s="11"/>
      <c r="E194" s="11"/>
    </row>
    <row r="195" spans="3:5">
      <c r="C195" s="11"/>
      <c r="E195" s="11"/>
    </row>
    <row r="196" spans="3:5">
      <c r="C196" s="11"/>
      <c r="E196" s="11"/>
    </row>
    <row r="197" spans="3:5">
      <c r="C197" s="11"/>
      <c r="E197" s="11"/>
    </row>
    <row r="198" spans="3:5">
      <c r="C198" s="11"/>
      <c r="E198" s="11"/>
    </row>
    <row r="199" spans="3:5">
      <c r="C199" s="11"/>
      <c r="E199" s="11"/>
    </row>
    <row r="200" spans="3:5">
      <c r="C200" s="11"/>
      <c r="E200" s="11"/>
    </row>
    <row r="201" spans="3:5">
      <c r="C201" s="11"/>
      <c r="E201" s="11"/>
    </row>
    <row r="202" spans="3:5">
      <c r="C202" s="11"/>
      <c r="E202" s="11"/>
    </row>
    <row r="203" spans="3:5">
      <c r="C203" s="11"/>
      <c r="E203" s="11"/>
    </row>
    <row r="204" spans="3:5">
      <c r="C204" s="11"/>
      <c r="E204" s="11"/>
    </row>
    <row r="205" spans="3:5">
      <c r="C205" s="11"/>
      <c r="E205" s="11"/>
    </row>
    <row r="206" spans="3:5">
      <c r="C206" s="11"/>
      <c r="E206" s="11"/>
    </row>
    <row r="207" spans="3:5">
      <c r="C207" s="11"/>
      <c r="E207" s="11"/>
    </row>
    <row r="208" spans="3:5">
      <c r="C208" s="11"/>
      <c r="E208" s="11"/>
    </row>
    <row r="209" spans="3:5">
      <c r="C209" s="11"/>
      <c r="E209" s="11"/>
    </row>
    <row r="210" spans="3:5">
      <c r="C210" s="11"/>
      <c r="E210" s="11"/>
    </row>
    <row r="211" spans="3:5">
      <c r="C211" s="11"/>
      <c r="E211" s="11"/>
    </row>
    <row r="212" spans="3:5">
      <c r="C212" s="11"/>
      <c r="E212" s="11"/>
    </row>
    <row r="213" spans="3:5">
      <c r="C213" s="11"/>
      <c r="E213" s="11"/>
    </row>
    <row r="214" spans="3:5">
      <c r="C214" s="11"/>
      <c r="E214" s="11"/>
    </row>
    <row r="215" spans="3:5">
      <c r="C215" s="11"/>
      <c r="E215" s="11"/>
    </row>
    <row r="216" spans="3:5">
      <c r="C216" s="11"/>
      <c r="E216" s="11"/>
    </row>
    <row r="217" spans="3:5">
      <c r="C217" s="11"/>
      <c r="E217" s="11"/>
    </row>
    <row r="218" spans="3:5">
      <c r="C218" s="11"/>
      <c r="E218" s="11"/>
    </row>
    <row r="219" spans="3:5">
      <c r="C219" s="11"/>
      <c r="E219" s="11"/>
    </row>
    <row r="220" spans="3:5">
      <c r="C220" s="11"/>
      <c r="E220" s="11"/>
    </row>
    <row r="221" spans="3:5">
      <c r="C221" s="11"/>
      <c r="E221" s="11"/>
    </row>
    <row r="222" spans="3:5">
      <c r="C222" s="11"/>
      <c r="E222" s="11"/>
    </row>
    <row r="223" spans="3:5">
      <c r="C223" s="11"/>
      <c r="E223" s="11"/>
    </row>
    <row r="224" spans="3:5">
      <c r="C224" s="11"/>
      <c r="E224" s="11"/>
    </row>
    <row r="225" spans="3:5">
      <c r="C225" s="11"/>
      <c r="E225" s="11"/>
    </row>
    <row r="226" spans="3:5">
      <c r="C226" s="11"/>
      <c r="E226" s="11"/>
    </row>
    <row r="227" spans="3:5">
      <c r="C227" s="11"/>
      <c r="E227" s="11"/>
    </row>
    <row r="228" spans="3:5">
      <c r="C228" s="11"/>
      <c r="E228" s="11"/>
    </row>
    <row r="229" spans="3:5">
      <c r="C229" s="11"/>
      <c r="E229" s="11"/>
    </row>
    <row r="230" spans="3:5">
      <c r="C230" s="11"/>
      <c r="E230" s="11"/>
    </row>
    <row r="231" spans="3:5">
      <c r="C231" s="11"/>
      <c r="E231" s="11"/>
    </row>
    <row r="232" spans="3:5">
      <c r="C232" s="11"/>
      <c r="E232" s="11"/>
    </row>
    <row r="233" spans="3:5">
      <c r="C233" s="11"/>
      <c r="E233" s="11"/>
    </row>
    <row r="234" spans="3:5">
      <c r="C234" s="11"/>
      <c r="E234" s="11"/>
    </row>
    <row r="235" spans="3:5">
      <c r="C235" s="11"/>
      <c r="E235" s="11"/>
    </row>
    <row r="236" spans="3:5">
      <c r="C236" s="11"/>
      <c r="E236" s="11"/>
    </row>
    <row r="237" spans="3:5">
      <c r="C237" s="11"/>
      <c r="E237" s="11"/>
    </row>
    <row r="238" spans="3:5">
      <c r="C238" s="11"/>
      <c r="E238" s="11"/>
    </row>
    <row r="239" spans="3:5">
      <c r="C239" s="11"/>
      <c r="E239" s="11"/>
    </row>
    <row r="240" spans="3:5">
      <c r="C240" s="11"/>
      <c r="E240" s="11"/>
    </row>
    <row r="241" spans="3:5">
      <c r="C241" s="11"/>
      <c r="E241" s="11"/>
    </row>
    <row r="242" spans="3:5">
      <c r="C242" s="11"/>
      <c r="E242" s="11"/>
    </row>
    <row r="243" spans="3:5">
      <c r="C243" s="11"/>
      <c r="E243" s="11"/>
    </row>
    <row r="244" spans="3:5">
      <c r="C244" s="11"/>
      <c r="E244" s="11"/>
    </row>
    <row r="245" spans="3:5">
      <c r="C245" s="11"/>
      <c r="E245" s="11"/>
    </row>
    <row r="246" spans="3:5">
      <c r="C246" s="11"/>
    </row>
    <row r="247" spans="3:5">
      <c r="C247" s="11"/>
    </row>
    <row r="248" spans="3:5">
      <c r="C248" s="11"/>
    </row>
    <row r="249" spans="3:5">
      <c r="C249" s="11"/>
    </row>
    <row r="250" spans="3:5">
      <c r="C250" s="11"/>
    </row>
    <row r="251" spans="3:5">
      <c r="C251" s="11"/>
    </row>
    <row r="252" spans="3:5">
      <c r="C252" s="11"/>
    </row>
    <row r="253" spans="3:5">
      <c r="C253" s="11"/>
    </row>
    <row r="254" spans="3:5">
      <c r="C254" s="11"/>
    </row>
    <row r="255" spans="3:5">
      <c r="C255" s="11"/>
    </row>
    <row r="256" spans="3:5">
      <c r="C256" s="11"/>
    </row>
    <row r="257" spans="3:3">
      <c r="C257" s="11"/>
    </row>
    <row r="258" spans="3:3">
      <c r="C258" s="11"/>
    </row>
    <row r="259" spans="3:3">
      <c r="C259" s="11"/>
    </row>
    <row r="260" spans="3:3">
      <c r="C260" s="11"/>
    </row>
    <row r="261" spans="3:3">
      <c r="C261" s="11"/>
    </row>
    <row r="262" spans="3:3">
      <c r="C262" s="11"/>
    </row>
    <row r="263" spans="3:3">
      <c r="C263" s="11"/>
    </row>
    <row r="264" spans="3:3">
      <c r="C264" s="11"/>
    </row>
    <row r="265" spans="3:3">
      <c r="C265" s="11"/>
    </row>
    <row r="266" spans="3:3">
      <c r="C266" s="11"/>
    </row>
    <row r="267" spans="3:3">
      <c r="C267" s="11"/>
    </row>
    <row r="268" spans="3:3">
      <c r="C268" s="11"/>
    </row>
    <row r="269" spans="3:3">
      <c r="C269" s="11"/>
    </row>
    <row r="270" spans="3:3">
      <c r="C270" s="11"/>
    </row>
    <row r="271" spans="3:3">
      <c r="C271" s="11"/>
    </row>
    <row r="272" spans="3:3">
      <c r="C272" s="11"/>
    </row>
    <row r="273" spans="3:3">
      <c r="C273" s="11"/>
    </row>
    <row r="274" spans="3:3">
      <c r="C274" s="11"/>
    </row>
    <row r="275" spans="3:3">
      <c r="C275" s="11"/>
    </row>
    <row r="276" spans="3:3">
      <c r="C276" s="11"/>
    </row>
    <row r="277" spans="3:3">
      <c r="C277" s="11"/>
    </row>
    <row r="278" spans="3:3">
      <c r="C278" s="11"/>
    </row>
    <row r="279" spans="3:3">
      <c r="C279" s="11"/>
    </row>
    <row r="280" spans="3:3">
      <c r="C280" s="11"/>
    </row>
    <row r="281" spans="3:3">
      <c r="C281" s="11"/>
    </row>
    <row r="282" spans="3:3">
      <c r="C282" s="11"/>
    </row>
    <row r="283" spans="3:3">
      <c r="C283" s="11"/>
    </row>
    <row r="284" spans="3:3">
      <c r="C284" s="11"/>
    </row>
    <row r="285" spans="3:3">
      <c r="C285" s="11"/>
    </row>
    <row r="286" spans="3:3">
      <c r="C286" s="11"/>
    </row>
    <row r="287" spans="3:3">
      <c r="C287" s="11"/>
    </row>
    <row r="288" spans="3:3">
      <c r="C288" s="11"/>
    </row>
    <row r="289" spans="3:3">
      <c r="C289" s="11"/>
    </row>
    <row r="290" spans="3:3">
      <c r="C290" s="11"/>
    </row>
    <row r="291" spans="3:3">
      <c r="C291" s="11"/>
    </row>
    <row r="292" spans="3:3">
      <c r="C292" s="11"/>
    </row>
    <row r="293" spans="3:3">
      <c r="C293" s="11"/>
    </row>
    <row r="294" spans="3:3">
      <c r="C294" s="11"/>
    </row>
    <row r="295" spans="3:3">
      <c r="C295" s="11"/>
    </row>
    <row r="296" spans="3:3">
      <c r="C296" s="11"/>
    </row>
    <row r="297" spans="3:3">
      <c r="C297" s="11"/>
    </row>
    <row r="298" spans="3:3">
      <c r="C298" s="11"/>
    </row>
    <row r="299" spans="3:3">
      <c r="C299" s="11"/>
    </row>
    <row r="300" spans="3:3">
      <c r="C300" s="11"/>
    </row>
    <row r="301" spans="3:3">
      <c r="C301" s="11"/>
    </row>
    <row r="302" spans="3:3">
      <c r="C302" s="11"/>
    </row>
    <row r="303" spans="3:3">
      <c r="C303" s="11"/>
    </row>
    <row r="304" spans="3:3">
      <c r="C304" s="11"/>
    </row>
    <row r="305" spans="3:3">
      <c r="C305" s="11"/>
    </row>
    <row r="306" spans="3:3">
      <c r="C306" s="11"/>
    </row>
    <row r="307" spans="3:3">
      <c r="C307" s="11"/>
    </row>
    <row r="308" spans="3:3">
      <c r="C308" s="11"/>
    </row>
    <row r="309" spans="3:3">
      <c r="C309" s="11"/>
    </row>
    <row r="310" spans="3:3">
      <c r="C310" s="11"/>
    </row>
    <row r="311" spans="3:3">
      <c r="C311" s="11"/>
    </row>
    <row r="312" spans="3:3">
      <c r="C312" s="11"/>
    </row>
    <row r="313" spans="3:3">
      <c r="C313" s="11"/>
    </row>
    <row r="314" spans="3:3">
      <c r="C314" s="11"/>
    </row>
    <row r="315" spans="3:3">
      <c r="C315" s="11"/>
    </row>
    <row r="316" spans="3:3">
      <c r="C316" s="11"/>
    </row>
    <row r="317" spans="3:3">
      <c r="C317" s="11"/>
    </row>
    <row r="318" spans="3:3">
      <c r="C318" s="11"/>
    </row>
    <row r="319" spans="3:3">
      <c r="C319" s="11"/>
    </row>
    <row r="320" spans="3:3">
      <c r="C320" s="11"/>
    </row>
    <row r="321" spans="3:3">
      <c r="C321" s="11"/>
    </row>
    <row r="322" spans="3:3">
      <c r="C322" s="11"/>
    </row>
    <row r="323" spans="3:3">
      <c r="C323" s="11"/>
    </row>
    <row r="324" spans="3:3">
      <c r="C324" s="11"/>
    </row>
    <row r="325" spans="3:3">
      <c r="C325" s="11"/>
    </row>
    <row r="326" spans="3:3">
      <c r="C326" s="11"/>
    </row>
    <row r="327" spans="3:3">
      <c r="C327" s="11"/>
    </row>
    <row r="328" spans="3:3">
      <c r="C328" s="11"/>
    </row>
    <row r="329" spans="3:3">
      <c r="C329" s="11"/>
    </row>
    <row r="330" spans="3:3">
      <c r="C330" s="11"/>
    </row>
    <row r="331" spans="3:3">
      <c r="C331" s="11"/>
    </row>
    <row r="332" spans="3:3">
      <c r="C332" s="11"/>
    </row>
    <row r="333" spans="3:3">
      <c r="C333" s="11"/>
    </row>
    <row r="334" spans="3:3">
      <c r="C334" s="11"/>
    </row>
    <row r="335" spans="3:3">
      <c r="C335" s="11"/>
    </row>
    <row r="336" spans="3:3">
      <c r="C336" s="11"/>
    </row>
    <row r="337" spans="3:3">
      <c r="C337" s="11"/>
    </row>
    <row r="338" spans="3:3">
      <c r="C338" s="11"/>
    </row>
    <row r="339" spans="3:3">
      <c r="C339" s="11"/>
    </row>
    <row r="340" spans="3:3">
      <c r="C340" s="11"/>
    </row>
    <row r="341" spans="3:3">
      <c r="C341" s="11"/>
    </row>
    <row r="342" spans="3:3">
      <c r="C342" s="11"/>
    </row>
    <row r="343" spans="3:3">
      <c r="C343" s="11"/>
    </row>
    <row r="344" spans="3:3">
      <c r="C344" s="11"/>
    </row>
    <row r="345" spans="3:3">
      <c r="C345" s="11"/>
    </row>
    <row r="346" spans="3:3">
      <c r="C346" s="11"/>
    </row>
    <row r="347" spans="3:3">
      <c r="C347" s="11"/>
    </row>
    <row r="348" spans="3:3">
      <c r="C348" s="11"/>
    </row>
    <row r="349" spans="3:3">
      <c r="C349" s="11"/>
    </row>
    <row r="350" spans="3:3">
      <c r="C350" s="11"/>
    </row>
    <row r="351" spans="3:3">
      <c r="C351" s="11"/>
    </row>
    <row r="352" spans="3:3">
      <c r="C352" s="11"/>
    </row>
    <row r="353" spans="3:3">
      <c r="C353" s="11"/>
    </row>
    <row r="354" spans="3:3">
      <c r="C354" s="11"/>
    </row>
    <row r="355" spans="3:3">
      <c r="C355" s="11"/>
    </row>
    <row r="356" spans="3:3">
      <c r="C356" s="11"/>
    </row>
    <row r="357" spans="3:3">
      <c r="C357" s="11"/>
    </row>
    <row r="358" spans="3:3">
      <c r="C358" s="11"/>
    </row>
    <row r="359" spans="3:3">
      <c r="C359" s="11"/>
    </row>
    <row r="360" spans="3:3">
      <c r="C360" s="11"/>
    </row>
    <row r="361" spans="3:3">
      <c r="C361" s="11"/>
    </row>
    <row r="362" spans="3:3">
      <c r="C362" s="11"/>
    </row>
    <row r="363" spans="3:3">
      <c r="C363" s="11"/>
    </row>
    <row r="364" spans="3:3">
      <c r="C364" s="11"/>
    </row>
    <row r="365" spans="3:3">
      <c r="C365" s="11"/>
    </row>
    <row r="366" spans="3:3">
      <c r="C366" s="11"/>
    </row>
    <row r="367" spans="3:3">
      <c r="C367" s="11"/>
    </row>
    <row r="368" spans="3:3">
      <c r="C368" s="11"/>
    </row>
    <row r="369" spans="3:3">
      <c r="C369" s="11"/>
    </row>
    <row r="370" spans="3:3">
      <c r="C370" s="11"/>
    </row>
    <row r="371" spans="3:3">
      <c r="C371" s="11"/>
    </row>
    <row r="372" spans="3:3">
      <c r="C372" s="11"/>
    </row>
    <row r="373" spans="3:3">
      <c r="C373" s="11"/>
    </row>
    <row r="374" spans="3:3">
      <c r="C374" s="11"/>
    </row>
    <row r="375" spans="3:3">
      <c r="C375" s="11"/>
    </row>
    <row r="376" spans="3:3">
      <c r="C376" s="11"/>
    </row>
    <row r="377" spans="3:3">
      <c r="C377" s="11"/>
    </row>
    <row r="378" spans="3:3">
      <c r="C378" s="11"/>
    </row>
    <row r="379" spans="3:3">
      <c r="C379" s="11"/>
    </row>
    <row r="380" spans="3:3">
      <c r="C380" s="11"/>
    </row>
    <row r="381" spans="3:3">
      <c r="C381" s="11"/>
    </row>
    <row r="382" spans="3:3">
      <c r="C382" s="11"/>
    </row>
    <row r="383" spans="3:3">
      <c r="C383" s="11"/>
    </row>
    <row r="384" spans="3:3">
      <c r="C384" s="11"/>
    </row>
    <row r="385" spans="3:3">
      <c r="C385" s="11"/>
    </row>
    <row r="386" spans="3:3">
      <c r="C386" s="11"/>
    </row>
    <row r="387" spans="3:3">
      <c r="C387" s="11"/>
    </row>
    <row r="388" spans="3:3">
      <c r="C388" s="11"/>
    </row>
    <row r="389" spans="3:3">
      <c r="C389" s="11"/>
    </row>
    <row r="390" spans="3:3">
      <c r="C390" s="11"/>
    </row>
    <row r="391" spans="3:3">
      <c r="C391" s="11"/>
    </row>
    <row r="392" spans="3:3">
      <c r="C392" s="11"/>
    </row>
    <row r="393" spans="3:3">
      <c r="C393" s="11"/>
    </row>
    <row r="394" spans="3:3">
      <c r="C394" s="11"/>
    </row>
    <row r="395" spans="3:3">
      <c r="C395" s="11"/>
    </row>
    <row r="396" spans="3:3">
      <c r="C396" s="11"/>
    </row>
    <row r="397" spans="3:3">
      <c r="C397" s="11"/>
    </row>
    <row r="398" spans="3:3">
      <c r="C398" s="11"/>
    </row>
    <row r="399" spans="3:3">
      <c r="C399" s="11"/>
    </row>
    <row r="400" spans="3:3">
      <c r="C400" s="11"/>
    </row>
    <row r="401" spans="3:3">
      <c r="C401" s="11"/>
    </row>
    <row r="402" spans="3:3">
      <c r="C402" s="11"/>
    </row>
    <row r="403" spans="3:3">
      <c r="C403" s="11"/>
    </row>
    <row r="404" spans="3:3">
      <c r="C404" s="11"/>
    </row>
    <row r="405" spans="3:3">
      <c r="C405" s="11"/>
    </row>
    <row r="406" spans="3:3">
      <c r="C406" s="11"/>
    </row>
    <row r="407" spans="3:3">
      <c r="C407" s="11"/>
    </row>
    <row r="408" spans="3:3">
      <c r="C408" s="11"/>
    </row>
    <row r="409" spans="3:3">
      <c r="C409" s="11"/>
    </row>
    <row r="410" spans="3:3">
      <c r="C410" s="11"/>
    </row>
    <row r="411" spans="3:3">
      <c r="C411" s="11"/>
    </row>
    <row r="412" spans="3:3">
      <c r="C412" s="11"/>
    </row>
    <row r="413" spans="3:3">
      <c r="C413" s="11"/>
    </row>
    <row r="414" spans="3:3">
      <c r="C414" s="11"/>
    </row>
    <row r="415" spans="3:3">
      <c r="C415" s="11"/>
    </row>
    <row r="416" spans="3:3">
      <c r="C416" s="11"/>
    </row>
    <row r="417" spans="3:3">
      <c r="C417" s="11"/>
    </row>
    <row r="418" spans="3:3">
      <c r="C418" s="11"/>
    </row>
    <row r="419" spans="3:3">
      <c r="C419" s="11"/>
    </row>
    <row r="420" spans="3:3">
      <c r="C420" s="11"/>
    </row>
    <row r="421" spans="3:3">
      <c r="C421" s="11"/>
    </row>
    <row r="422" spans="3:3">
      <c r="C422" s="11"/>
    </row>
    <row r="423" spans="3:3">
      <c r="C423" s="11"/>
    </row>
    <row r="424" spans="3:3">
      <c r="C424" s="11"/>
    </row>
    <row r="425" spans="3:3">
      <c r="C425" s="11"/>
    </row>
    <row r="426" spans="3:3">
      <c r="C426" s="11"/>
    </row>
    <row r="427" spans="3:3">
      <c r="C427" s="11"/>
    </row>
    <row r="428" spans="3:3">
      <c r="C428" s="11"/>
    </row>
    <row r="429" spans="3:3">
      <c r="C429" s="11"/>
    </row>
    <row r="430" spans="3:3">
      <c r="C430" s="11"/>
    </row>
    <row r="431" spans="3:3">
      <c r="C431" s="11"/>
    </row>
    <row r="432" spans="3:3">
      <c r="C432" s="11"/>
    </row>
    <row r="433" spans="3:3">
      <c r="C433" s="11"/>
    </row>
    <row r="434" spans="3:3">
      <c r="C434" s="11"/>
    </row>
    <row r="435" spans="3:3">
      <c r="C435" s="11"/>
    </row>
    <row r="436" spans="3:3">
      <c r="C436" s="11"/>
    </row>
    <row r="437" spans="3:3">
      <c r="C437" s="11"/>
    </row>
    <row r="438" spans="3:3">
      <c r="C438" s="11"/>
    </row>
    <row r="439" spans="3:3">
      <c r="C439" s="11"/>
    </row>
    <row r="440" spans="3:3">
      <c r="C440" s="11"/>
    </row>
    <row r="441" spans="3:3">
      <c r="C441" s="11"/>
    </row>
    <row r="442" spans="3:3">
      <c r="C442" s="11"/>
    </row>
  </sheetData>
  <sortState ref="A2:Q27">
    <sortCondition descending="1" ref="P2:P2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Q420"/>
  <sheetViews>
    <sheetView workbookViewId="0">
      <selection activeCell="A2" sqref="A2:Q27"/>
    </sheetView>
  </sheetViews>
  <sheetFormatPr defaultColWidth="13.5703125" defaultRowHeight="15"/>
  <cols>
    <col min="1" max="1" width="13.85546875" style="13" bestFit="1" customWidth="1"/>
    <col min="2" max="2" width="8.28515625" style="13" bestFit="1" customWidth="1"/>
    <col min="3" max="3" width="10.5703125" style="13" bestFit="1" customWidth="1"/>
    <col min="4" max="4" width="26.140625" style="13" bestFit="1" customWidth="1"/>
    <col min="5" max="5" width="19.5703125" style="13" bestFit="1" customWidth="1"/>
    <col min="6" max="6" width="12.7109375" bestFit="1" customWidth="1"/>
    <col min="7" max="7" width="7" bestFit="1" customWidth="1"/>
    <col min="8" max="8" width="6.28515625" bestFit="1" customWidth="1"/>
    <col min="9" max="9" width="10.28515625" bestFit="1" customWidth="1"/>
    <col min="10" max="10" width="5.85546875" bestFit="1" customWidth="1"/>
    <col min="11" max="11" width="10" bestFit="1" customWidth="1"/>
    <col min="12" max="12" width="14.5703125" bestFit="1" customWidth="1"/>
    <col min="13" max="13" width="15.5703125" bestFit="1" customWidth="1"/>
    <col min="14" max="14" width="4.42578125" bestFit="1" customWidth="1"/>
    <col min="15" max="15" width="6.5703125" bestFit="1" customWidth="1"/>
    <col min="16" max="16" width="15.7109375" bestFit="1" customWidth="1"/>
    <col min="17" max="17" width="14.5703125" bestFit="1" customWidth="1"/>
  </cols>
  <sheetData>
    <row r="1" spans="1:17">
      <c r="A1" s="37" t="s">
        <v>143</v>
      </c>
      <c r="B1" s="37" t="s">
        <v>144</v>
      </c>
      <c r="C1" s="37" t="s">
        <v>145</v>
      </c>
      <c r="D1" s="37" t="s">
        <v>146</v>
      </c>
      <c r="E1" s="37" t="s">
        <v>147</v>
      </c>
      <c r="F1" s="37" t="s">
        <v>148</v>
      </c>
      <c r="G1" s="37" t="s">
        <v>149</v>
      </c>
      <c r="H1" s="37" t="s">
        <v>150</v>
      </c>
      <c r="I1" s="37" t="s">
        <v>151</v>
      </c>
      <c r="J1" s="37" t="s">
        <v>152</v>
      </c>
      <c r="K1" s="37" t="s">
        <v>153</v>
      </c>
      <c r="L1" s="37" t="s">
        <v>154</v>
      </c>
      <c r="M1" s="37" t="s">
        <v>155</v>
      </c>
      <c r="N1" s="37" t="s">
        <v>156</v>
      </c>
      <c r="O1" s="37" t="s">
        <v>157</v>
      </c>
      <c r="P1" s="37" t="s">
        <v>158</v>
      </c>
      <c r="Q1" s="37" t="s">
        <v>159</v>
      </c>
    </row>
    <row r="2" spans="1:17">
      <c r="A2" s="43" t="s">
        <v>486</v>
      </c>
      <c r="B2" s="43" t="s">
        <v>16</v>
      </c>
      <c r="C2" s="43" t="s">
        <v>487</v>
      </c>
      <c r="D2" s="43" t="s">
        <v>488</v>
      </c>
      <c r="E2" s="43" t="s">
        <v>390</v>
      </c>
      <c r="F2" s="43">
        <v>22.75</v>
      </c>
      <c r="G2" s="43">
        <v>2</v>
      </c>
      <c r="H2" s="43">
        <v>8800</v>
      </c>
      <c r="I2" s="43" t="s">
        <v>459</v>
      </c>
      <c r="J2" s="43" t="s">
        <v>460</v>
      </c>
      <c r="K2" s="43" t="s">
        <v>94</v>
      </c>
      <c r="L2" s="43"/>
      <c r="M2" s="43"/>
      <c r="N2" s="43">
        <v>1</v>
      </c>
      <c r="O2" s="43"/>
      <c r="P2" s="43">
        <v>22.75</v>
      </c>
      <c r="Q2" s="43" t="s">
        <v>16</v>
      </c>
    </row>
    <row r="3" spans="1:17">
      <c r="A3" s="43" t="s">
        <v>489</v>
      </c>
      <c r="B3" s="43" t="s">
        <v>16</v>
      </c>
      <c r="C3" s="43" t="s">
        <v>490</v>
      </c>
      <c r="D3" s="43" t="s">
        <v>491</v>
      </c>
      <c r="E3" s="43" t="s">
        <v>492</v>
      </c>
      <c r="F3" s="43">
        <v>15.289999961853001</v>
      </c>
      <c r="G3" s="43">
        <v>2</v>
      </c>
      <c r="H3" s="43">
        <v>8700</v>
      </c>
      <c r="I3" s="43" t="s">
        <v>441</v>
      </c>
      <c r="J3" s="43" t="s">
        <v>442</v>
      </c>
      <c r="K3" s="43" t="s">
        <v>10</v>
      </c>
      <c r="L3" s="43"/>
      <c r="M3" s="43"/>
      <c r="N3" s="43">
        <v>1</v>
      </c>
      <c r="O3" s="43"/>
      <c r="P3" s="43">
        <v>15.289999961853001</v>
      </c>
      <c r="Q3" s="43" t="s">
        <v>16</v>
      </c>
    </row>
    <row r="4" spans="1:17">
      <c r="A4" s="43" t="s">
        <v>493</v>
      </c>
      <c r="B4" s="43" t="s">
        <v>16</v>
      </c>
      <c r="C4" s="43" t="s">
        <v>372</v>
      </c>
      <c r="D4" s="43" t="s">
        <v>494</v>
      </c>
      <c r="E4" s="43" t="s">
        <v>495</v>
      </c>
      <c r="F4" s="43">
        <v>21.620000839233398</v>
      </c>
      <c r="G4" s="43">
        <v>2</v>
      </c>
      <c r="H4" s="43">
        <v>8500</v>
      </c>
      <c r="I4" s="43" t="s">
        <v>450</v>
      </c>
      <c r="J4" s="43" t="s">
        <v>451</v>
      </c>
      <c r="K4" s="43" t="s">
        <v>5</v>
      </c>
      <c r="L4" s="43"/>
      <c r="M4" s="43"/>
      <c r="N4" s="43">
        <v>1</v>
      </c>
      <c r="O4" s="43"/>
      <c r="P4" s="43">
        <v>21.620000839233398</v>
      </c>
      <c r="Q4" s="43" t="s">
        <v>16</v>
      </c>
    </row>
    <row r="5" spans="1:17">
      <c r="A5" s="43" t="s">
        <v>496</v>
      </c>
      <c r="B5" s="43" t="s">
        <v>16</v>
      </c>
      <c r="C5" s="43" t="s">
        <v>226</v>
      </c>
      <c r="D5" s="43" t="s">
        <v>101</v>
      </c>
      <c r="E5" s="43" t="s">
        <v>227</v>
      </c>
      <c r="F5" s="43">
        <v>21.360000610351499</v>
      </c>
      <c r="G5" s="43">
        <v>2</v>
      </c>
      <c r="H5" s="43">
        <v>8300</v>
      </c>
      <c r="I5" s="43" t="s">
        <v>478</v>
      </c>
      <c r="J5" s="43" t="s">
        <v>6</v>
      </c>
      <c r="K5" s="43" t="s">
        <v>14</v>
      </c>
      <c r="L5" s="43"/>
      <c r="M5" s="43"/>
      <c r="N5" s="43">
        <v>1</v>
      </c>
      <c r="O5" s="43"/>
      <c r="P5" s="43">
        <v>21.360000610351499</v>
      </c>
      <c r="Q5" s="43" t="s">
        <v>16</v>
      </c>
    </row>
    <row r="6" spans="1:17">
      <c r="A6" s="43" t="s">
        <v>497</v>
      </c>
      <c r="B6" s="43" t="s">
        <v>16</v>
      </c>
      <c r="C6" s="43" t="s">
        <v>251</v>
      </c>
      <c r="D6" s="43" t="s">
        <v>37</v>
      </c>
      <c r="E6" s="43" t="s">
        <v>252</v>
      </c>
      <c r="F6" s="43">
        <v>16.4799995422363</v>
      </c>
      <c r="G6" s="43">
        <v>2</v>
      </c>
      <c r="H6" s="43">
        <v>8200</v>
      </c>
      <c r="I6" s="43" t="s">
        <v>453</v>
      </c>
      <c r="J6" s="43" t="s">
        <v>9</v>
      </c>
      <c r="K6" s="43" t="s">
        <v>11</v>
      </c>
      <c r="L6" s="43"/>
      <c r="M6" s="43"/>
      <c r="N6" s="43">
        <v>1</v>
      </c>
      <c r="O6" s="43"/>
      <c r="P6" s="43">
        <v>16.4799995422363</v>
      </c>
      <c r="Q6" s="43" t="s">
        <v>16</v>
      </c>
    </row>
    <row r="7" spans="1:17">
      <c r="A7" s="43" t="s">
        <v>498</v>
      </c>
      <c r="B7" s="43" t="s">
        <v>16</v>
      </c>
      <c r="C7" s="43" t="s">
        <v>241</v>
      </c>
      <c r="D7" s="43" t="s">
        <v>100</v>
      </c>
      <c r="E7" s="43" t="s">
        <v>242</v>
      </c>
      <c r="F7" s="43">
        <v>19.9699993133544</v>
      </c>
      <c r="G7" s="43">
        <v>2</v>
      </c>
      <c r="H7" s="43">
        <v>8000</v>
      </c>
      <c r="I7" s="43" t="s">
        <v>470</v>
      </c>
      <c r="J7" s="43" t="s">
        <v>12</v>
      </c>
      <c r="K7" s="43" t="s">
        <v>39</v>
      </c>
      <c r="L7" s="43"/>
      <c r="M7" s="43"/>
      <c r="N7" s="43">
        <v>1</v>
      </c>
      <c r="O7" s="43"/>
      <c r="P7" s="43">
        <v>19.9699993133544</v>
      </c>
      <c r="Q7" s="43" t="s">
        <v>16</v>
      </c>
    </row>
    <row r="8" spans="1:17">
      <c r="A8" s="43" t="s">
        <v>499</v>
      </c>
      <c r="B8" s="43" t="s">
        <v>16</v>
      </c>
      <c r="C8" s="43" t="s">
        <v>245</v>
      </c>
      <c r="D8" s="43" t="s">
        <v>48</v>
      </c>
      <c r="E8" s="43" t="s">
        <v>246</v>
      </c>
      <c r="F8" s="43">
        <v>22.059999465942301</v>
      </c>
      <c r="G8" s="43">
        <v>2</v>
      </c>
      <c r="H8" s="43">
        <v>7900</v>
      </c>
      <c r="I8" s="43" t="s">
        <v>450</v>
      </c>
      <c r="J8" s="43" t="s">
        <v>5</v>
      </c>
      <c r="K8" s="43" t="s">
        <v>451</v>
      </c>
      <c r="L8" s="43"/>
      <c r="M8" s="43"/>
      <c r="N8" s="43">
        <v>1</v>
      </c>
      <c r="O8" s="43"/>
      <c r="P8" s="43">
        <v>22.059999465942301</v>
      </c>
      <c r="Q8" s="43" t="s">
        <v>16</v>
      </c>
    </row>
    <row r="9" spans="1:17">
      <c r="A9" s="43" t="s">
        <v>500</v>
      </c>
      <c r="B9" s="43" t="s">
        <v>16</v>
      </c>
      <c r="C9" s="43" t="s">
        <v>228</v>
      </c>
      <c r="D9" s="43" t="s">
        <v>102</v>
      </c>
      <c r="E9" s="43" t="s">
        <v>229</v>
      </c>
      <c r="F9" s="43">
        <v>13.189999580383301</v>
      </c>
      <c r="G9" s="43">
        <v>2</v>
      </c>
      <c r="H9" s="43">
        <v>7800</v>
      </c>
      <c r="I9" s="43" t="s">
        <v>459</v>
      </c>
      <c r="J9" s="43" t="s">
        <v>94</v>
      </c>
      <c r="K9" s="43" t="s">
        <v>460</v>
      </c>
      <c r="L9" s="43"/>
      <c r="M9" s="43"/>
      <c r="N9" s="43">
        <v>1</v>
      </c>
      <c r="O9" s="43"/>
      <c r="P9" s="43">
        <v>13.189999580383301</v>
      </c>
      <c r="Q9" s="43" t="s">
        <v>16</v>
      </c>
    </row>
    <row r="10" spans="1:17">
      <c r="A10" s="43" t="s">
        <v>501</v>
      </c>
      <c r="B10" s="43" t="s">
        <v>16</v>
      </c>
      <c r="C10" s="43" t="s">
        <v>247</v>
      </c>
      <c r="D10" s="43" t="s">
        <v>44</v>
      </c>
      <c r="E10" s="43" t="s">
        <v>248</v>
      </c>
      <c r="F10" s="43">
        <v>24.7299995422363</v>
      </c>
      <c r="G10" s="43">
        <v>2</v>
      </c>
      <c r="H10" s="43">
        <v>7700</v>
      </c>
      <c r="I10" s="43" t="s">
        <v>434</v>
      </c>
      <c r="J10" s="43" t="s">
        <v>40</v>
      </c>
      <c r="K10" s="43" t="s">
        <v>99</v>
      </c>
      <c r="L10" s="43"/>
      <c r="M10" s="43"/>
      <c r="N10" s="43">
        <v>1</v>
      </c>
      <c r="O10" s="43"/>
      <c r="P10" s="43">
        <v>24.7299995422363</v>
      </c>
      <c r="Q10" s="43" t="s">
        <v>16</v>
      </c>
    </row>
    <row r="11" spans="1:17">
      <c r="A11" s="43" t="s">
        <v>502</v>
      </c>
      <c r="B11" s="43" t="s">
        <v>16</v>
      </c>
      <c r="C11" s="43" t="s">
        <v>224</v>
      </c>
      <c r="D11" s="43" t="s">
        <v>46</v>
      </c>
      <c r="E11" s="43" t="s">
        <v>225</v>
      </c>
      <c r="F11" s="43">
        <v>19.860000610351499</v>
      </c>
      <c r="G11" s="43">
        <v>2</v>
      </c>
      <c r="H11" s="43">
        <v>7600</v>
      </c>
      <c r="I11" s="43" t="s">
        <v>436</v>
      </c>
      <c r="J11" s="43" t="s">
        <v>41</v>
      </c>
      <c r="K11" s="43" t="s">
        <v>3</v>
      </c>
      <c r="L11" s="43"/>
      <c r="M11" s="43"/>
      <c r="N11" s="43">
        <v>1</v>
      </c>
      <c r="O11" s="43"/>
      <c r="P11" s="43">
        <v>19.860000610351499</v>
      </c>
      <c r="Q11" s="43" t="s">
        <v>16</v>
      </c>
    </row>
    <row r="12" spans="1:17">
      <c r="A12" s="43" t="s">
        <v>503</v>
      </c>
      <c r="B12" s="43" t="s">
        <v>16</v>
      </c>
      <c r="C12" s="43" t="s">
        <v>231</v>
      </c>
      <c r="D12" s="43" t="s">
        <v>36</v>
      </c>
      <c r="E12" s="43" t="s">
        <v>232</v>
      </c>
      <c r="F12" s="43">
        <v>13.079999923706</v>
      </c>
      <c r="G12" s="43">
        <v>2</v>
      </c>
      <c r="H12" s="43">
        <v>7500</v>
      </c>
      <c r="I12" s="43" t="s">
        <v>478</v>
      </c>
      <c r="J12" s="43" t="s">
        <v>14</v>
      </c>
      <c r="K12" s="43" t="s">
        <v>6</v>
      </c>
      <c r="L12" s="43"/>
      <c r="M12" s="43"/>
      <c r="N12" s="43">
        <v>1</v>
      </c>
      <c r="O12" s="43"/>
      <c r="P12" s="43">
        <v>13.079999923706</v>
      </c>
      <c r="Q12" s="43" t="s">
        <v>16</v>
      </c>
    </row>
    <row r="13" spans="1:17">
      <c r="A13" s="43" t="s">
        <v>504</v>
      </c>
      <c r="B13" s="43" t="s">
        <v>16</v>
      </c>
      <c r="C13" s="43" t="s">
        <v>505</v>
      </c>
      <c r="D13" s="43" t="s">
        <v>506</v>
      </c>
      <c r="E13" s="43" t="s">
        <v>507</v>
      </c>
      <c r="F13" s="43">
        <v>14.149999618530201</v>
      </c>
      <c r="G13" s="43">
        <v>2</v>
      </c>
      <c r="H13" s="43">
        <v>7400</v>
      </c>
      <c r="I13" s="43" t="s">
        <v>447</v>
      </c>
      <c r="J13" s="43" t="s">
        <v>448</v>
      </c>
      <c r="K13" s="43" t="s">
        <v>17</v>
      </c>
      <c r="L13" s="43"/>
      <c r="M13" s="43"/>
      <c r="N13" s="43">
        <v>1</v>
      </c>
      <c r="O13" s="43"/>
      <c r="P13" s="43">
        <v>14.149999618530201</v>
      </c>
      <c r="Q13" s="43" t="s">
        <v>16</v>
      </c>
    </row>
    <row r="14" spans="1:17">
      <c r="A14" s="43" t="s">
        <v>508</v>
      </c>
      <c r="B14" s="43" t="s">
        <v>16</v>
      </c>
      <c r="C14" s="43" t="s">
        <v>243</v>
      </c>
      <c r="D14" s="43" t="s">
        <v>45</v>
      </c>
      <c r="E14" s="43" t="s">
        <v>244</v>
      </c>
      <c r="F14" s="43">
        <v>14.050000190734799</v>
      </c>
      <c r="G14" s="43">
        <v>2</v>
      </c>
      <c r="H14" s="43">
        <v>7300</v>
      </c>
      <c r="I14" s="43" t="s">
        <v>430</v>
      </c>
      <c r="J14" s="43" t="s">
        <v>43</v>
      </c>
      <c r="K14" s="43" t="s">
        <v>97</v>
      </c>
      <c r="L14" s="43"/>
      <c r="M14" s="43"/>
      <c r="N14" s="43">
        <v>1</v>
      </c>
      <c r="O14" s="43"/>
      <c r="P14" s="43">
        <v>14.050000190734799</v>
      </c>
      <c r="Q14" s="43" t="s">
        <v>16</v>
      </c>
    </row>
    <row r="15" spans="1:17">
      <c r="A15" s="43" t="s">
        <v>509</v>
      </c>
      <c r="B15" s="43" t="s">
        <v>16</v>
      </c>
      <c r="C15" s="43" t="s">
        <v>233</v>
      </c>
      <c r="D15" s="43" t="s">
        <v>103</v>
      </c>
      <c r="E15" s="43" t="s">
        <v>234</v>
      </c>
      <c r="F15" s="43">
        <v>11.1800003051757</v>
      </c>
      <c r="G15" s="43">
        <v>2</v>
      </c>
      <c r="H15" s="43">
        <v>7300</v>
      </c>
      <c r="I15" s="43" t="s">
        <v>432</v>
      </c>
      <c r="J15" s="43" t="s">
        <v>96</v>
      </c>
      <c r="K15" s="43" t="s">
        <v>95</v>
      </c>
      <c r="L15" s="43" t="s">
        <v>510</v>
      </c>
      <c r="M15" s="43" t="s">
        <v>511</v>
      </c>
      <c r="N15" s="43">
        <v>1</v>
      </c>
      <c r="O15" s="43"/>
      <c r="P15" s="43">
        <v>11.1800003051757</v>
      </c>
      <c r="Q15" s="43" t="s">
        <v>16</v>
      </c>
    </row>
    <row r="16" spans="1:17">
      <c r="A16" s="43" t="s">
        <v>512</v>
      </c>
      <c r="B16" s="43" t="s">
        <v>16</v>
      </c>
      <c r="C16" s="43" t="s">
        <v>249</v>
      </c>
      <c r="D16" s="43" t="s">
        <v>35</v>
      </c>
      <c r="E16" s="43" t="s">
        <v>250</v>
      </c>
      <c r="F16" s="43">
        <v>12.869999885559</v>
      </c>
      <c r="G16" s="43">
        <v>2</v>
      </c>
      <c r="H16" s="43">
        <v>7200</v>
      </c>
      <c r="I16" s="43" t="s">
        <v>441</v>
      </c>
      <c r="J16" s="43" t="s">
        <v>10</v>
      </c>
      <c r="K16" s="43" t="s">
        <v>442</v>
      </c>
      <c r="L16" s="43"/>
      <c r="M16" s="43"/>
      <c r="N16" s="43">
        <v>1</v>
      </c>
      <c r="O16" s="43"/>
      <c r="P16" s="43">
        <v>12.869999885559</v>
      </c>
      <c r="Q16" s="43" t="s">
        <v>16</v>
      </c>
    </row>
    <row r="17" spans="1:17">
      <c r="A17" s="43" t="s">
        <v>513</v>
      </c>
      <c r="B17" s="43" t="s">
        <v>16</v>
      </c>
      <c r="C17" s="43" t="s">
        <v>261</v>
      </c>
      <c r="D17" s="43" t="s">
        <v>50</v>
      </c>
      <c r="E17" s="43" t="s">
        <v>262</v>
      </c>
      <c r="F17" s="43">
        <v>12.8599996566772</v>
      </c>
      <c r="G17" s="43">
        <v>2</v>
      </c>
      <c r="H17" s="43">
        <v>7200</v>
      </c>
      <c r="I17" s="43" t="s">
        <v>428</v>
      </c>
      <c r="J17" s="43" t="s">
        <v>47</v>
      </c>
      <c r="K17" s="43" t="s">
        <v>15</v>
      </c>
      <c r="L17" s="43"/>
      <c r="M17" s="43"/>
      <c r="N17" s="43">
        <v>1</v>
      </c>
      <c r="O17" s="43"/>
      <c r="P17" s="43">
        <v>12.8599996566772</v>
      </c>
      <c r="Q17" s="43" t="s">
        <v>16</v>
      </c>
    </row>
    <row r="18" spans="1:17">
      <c r="A18" s="43" t="s">
        <v>514</v>
      </c>
      <c r="B18" s="43" t="s">
        <v>16</v>
      </c>
      <c r="C18" s="43" t="s">
        <v>237</v>
      </c>
      <c r="D18" s="43" t="s">
        <v>42</v>
      </c>
      <c r="E18" s="43" t="s">
        <v>238</v>
      </c>
      <c r="F18" s="43">
        <v>12.6599998474121</v>
      </c>
      <c r="G18" s="43">
        <v>2</v>
      </c>
      <c r="H18" s="43">
        <v>7100</v>
      </c>
      <c r="I18" s="43" t="s">
        <v>447</v>
      </c>
      <c r="J18" s="43" t="s">
        <v>17</v>
      </c>
      <c r="K18" s="43" t="s">
        <v>448</v>
      </c>
      <c r="L18" s="43"/>
      <c r="M18" s="43"/>
      <c r="N18" s="43">
        <v>1</v>
      </c>
      <c r="O18" s="43"/>
      <c r="P18" s="43">
        <v>12.6599998474121</v>
      </c>
      <c r="Q18" s="43" t="s">
        <v>16</v>
      </c>
    </row>
    <row r="19" spans="1:17">
      <c r="A19" s="43" t="s">
        <v>515</v>
      </c>
      <c r="B19" s="43" t="s">
        <v>16</v>
      </c>
      <c r="C19" s="43" t="s">
        <v>253</v>
      </c>
      <c r="D19" s="43" t="s">
        <v>107</v>
      </c>
      <c r="E19" s="43" t="s">
        <v>254</v>
      </c>
      <c r="F19" s="43">
        <v>18.270000457763601</v>
      </c>
      <c r="G19" s="43">
        <v>2</v>
      </c>
      <c r="H19" s="43">
        <v>7100</v>
      </c>
      <c r="I19" s="43" t="s">
        <v>453</v>
      </c>
      <c r="J19" s="43" t="s">
        <v>11</v>
      </c>
      <c r="K19" s="43" t="s">
        <v>9</v>
      </c>
      <c r="L19" s="43"/>
      <c r="M19" s="43"/>
      <c r="N19" s="43">
        <v>1</v>
      </c>
      <c r="O19" s="43"/>
      <c r="P19" s="43">
        <v>18.270000457763601</v>
      </c>
      <c r="Q19" s="43" t="s">
        <v>16</v>
      </c>
    </row>
    <row r="20" spans="1:17">
      <c r="A20" s="43" t="s">
        <v>516</v>
      </c>
      <c r="B20" s="43" t="s">
        <v>16</v>
      </c>
      <c r="C20" s="43" t="s">
        <v>255</v>
      </c>
      <c r="D20" s="43" t="s">
        <v>104</v>
      </c>
      <c r="E20" s="43" t="s">
        <v>256</v>
      </c>
      <c r="F20" s="43">
        <v>8.2899999618530202</v>
      </c>
      <c r="G20" s="43">
        <v>2</v>
      </c>
      <c r="H20" s="43">
        <v>7000</v>
      </c>
      <c r="I20" s="43" t="s">
        <v>470</v>
      </c>
      <c r="J20" s="43" t="s">
        <v>39</v>
      </c>
      <c r="K20" s="43" t="s">
        <v>12</v>
      </c>
      <c r="L20" s="43"/>
      <c r="M20" s="43"/>
      <c r="N20" s="43">
        <v>1</v>
      </c>
      <c r="O20" s="43"/>
      <c r="P20" s="43">
        <v>8.2899999618530202</v>
      </c>
      <c r="Q20" s="43" t="s">
        <v>16</v>
      </c>
    </row>
    <row r="21" spans="1:17">
      <c r="A21" s="43" t="s">
        <v>517</v>
      </c>
      <c r="B21" s="43" t="s">
        <v>16</v>
      </c>
      <c r="C21" s="43" t="s">
        <v>358</v>
      </c>
      <c r="D21" s="43" t="s">
        <v>518</v>
      </c>
      <c r="E21" s="43" t="s">
        <v>519</v>
      </c>
      <c r="F21" s="43">
        <v>6.4899997711181596</v>
      </c>
      <c r="G21" s="43">
        <v>2</v>
      </c>
      <c r="H21" s="43">
        <v>6900</v>
      </c>
      <c r="I21" s="43" t="s">
        <v>465</v>
      </c>
      <c r="J21" s="43" t="s">
        <v>466</v>
      </c>
      <c r="K21" s="43" t="s">
        <v>98</v>
      </c>
      <c r="L21" s="43"/>
      <c r="M21" s="43"/>
      <c r="N21" s="43">
        <v>1</v>
      </c>
      <c r="O21" s="43"/>
      <c r="P21" s="43">
        <v>6.4899997711181596</v>
      </c>
      <c r="Q21" s="43" t="s">
        <v>16</v>
      </c>
    </row>
    <row r="22" spans="1:17">
      <c r="A22" s="43" t="s">
        <v>520</v>
      </c>
      <c r="B22" s="43" t="s">
        <v>16</v>
      </c>
      <c r="C22" s="43" t="s">
        <v>239</v>
      </c>
      <c r="D22" s="43" t="s">
        <v>106</v>
      </c>
      <c r="E22" s="43" t="s">
        <v>240</v>
      </c>
      <c r="F22" s="43">
        <v>12.6300001144409</v>
      </c>
      <c r="G22" s="43">
        <v>2</v>
      </c>
      <c r="H22" s="43">
        <v>6800</v>
      </c>
      <c r="I22" s="43" t="s">
        <v>430</v>
      </c>
      <c r="J22" s="43" t="s">
        <v>97</v>
      </c>
      <c r="K22" s="43" t="s">
        <v>43</v>
      </c>
      <c r="L22" s="43"/>
      <c r="M22" s="43"/>
      <c r="N22" s="43">
        <v>1</v>
      </c>
      <c r="O22" s="43"/>
      <c r="P22" s="43">
        <v>12.6300001144409</v>
      </c>
      <c r="Q22" s="43" t="s">
        <v>16</v>
      </c>
    </row>
    <row r="23" spans="1:17">
      <c r="A23" s="43" t="s">
        <v>521</v>
      </c>
      <c r="B23" s="43" t="s">
        <v>16</v>
      </c>
      <c r="C23" s="43" t="s">
        <v>263</v>
      </c>
      <c r="D23" s="43" t="s">
        <v>105</v>
      </c>
      <c r="E23" s="43" t="s">
        <v>264</v>
      </c>
      <c r="F23" s="43">
        <v>10.579999923706</v>
      </c>
      <c r="G23" s="43">
        <v>2</v>
      </c>
      <c r="H23" s="43">
        <v>6800</v>
      </c>
      <c r="I23" s="43" t="s">
        <v>465</v>
      </c>
      <c r="J23" s="43" t="s">
        <v>98</v>
      </c>
      <c r="K23" s="43" t="s">
        <v>466</v>
      </c>
      <c r="L23" s="43"/>
      <c r="M23" s="43"/>
      <c r="N23" s="43">
        <v>1</v>
      </c>
      <c r="O23" s="43"/>
      <c r="P23" s="43">
        <v>10.579999923706</v>
      </c>
      <c r="Q23" s="43" t="s">
        <v>16</v>
      </c>
    </row>
    <row r="24" spans="1:17">
      <c r="A24" s="43" t="s">
        <v>522</v>
      </c>
      <c r="B24" s="43" t="s">
        <v>16</v>
      </c>
      <c r="C24" s="43" t="s">
        <v>233</v>
      </c>
      <c r="D24" s="43" t="s">
        <v>523</v>
      </c>
      <c r="E24" s="43" t="s">
        <v>524</v>
      </c>
      <c r="F24" s="43">
        <v>11.6599998474121</v>
      </c>
      <c r="G24" s="43">
        <v>2</v>
      </c>
      <c r="H24" s="43">
        <v>6700</v>
      </c>
      <c r="I24" s="43" t="s">
        <v>432</v>
      </c>
      <c r="J24" s="43" t="s">
        <v>95</v>
      </c>
      <c r="K24" s="43" t="s">
        <v>96</v>
      </c>
      <c r="L24" s="43"/>
      <c r="M24" s="43"/>
      <c r="N24" s="43">
        <v>1</v>
      </c>
      <c r="O24" s="43"/>
      <c r="P24" s="43">
        <v>11.6599998474121</v>
      </c>
      <c r="Q24" s="43" t="s">
        <v>16</v>
      </c>
    </row>
    <row r="25" spans="1:17">
      <c r="A25" s="43" t="s">
        <v>525</v>
      </c>
      <c r="B25" s="43" t="s">
        <v>16</v>
      </c>
      <c r="C25" s="43" t="s">
        <v>526</v>
      </c>
      <c r="D25" s="43" t="s">
        <v>527</v>
      </c>
      <c r="E25" s="43" t="s">
        <v>528</v>
      </c>
      <c r="F25" s="43">
        <v>3.5999999046325599</v>
      </c>
      <c r="G25" s="43">
        <v>1</v>
      </c>
      <c r="H25" s="43">
        <v>6600</v>
      </c>
      <c r="I25" s="43" t="s">
        <v>436</v>
      </c>
      <c r="J25" s="43" t="s">
        <v>3</v>
      </c>
      <c r="K25" s="43" t="s">
        <v>41</v>
      </c>
      <c r="L25" s="43"/>
      <c r="M25" s="43"/>
      <c r="N25" s="43">
        <v>1</v>
      </c>
      <c r="O25" s="43"/>
      <c r="P25" s="43">
        <v>3.5999999046325599</v>
      </c>
      <c r="Q25" s="43" t="s">
        <v>16</v>
      </c>
    </row>
    <row r="26" spans="1:17">
      <c r="A26" s="43" t="s">
        <v>529</v>
      </c>
      <c r="B26" s="43" t="s">
        <v>16</v>
      </c>
      <c r="C26" s="43" t="s">
        <v>259</v>
      </c>
      <c r="D26" s="43" t="s">
        <v>108</v>
      </c>
      <c r="E26" s="43" t="s">
        <v>260</v>
      </c>
      <c r="F26" s="43">
        <v>11.6800003051757</v>
      </c>
      <c r="G26" s="43">
        <v>2</v>
      </c>
      <c r="H26" s="43">
        <v>6500</v>
      </c>
      <c r="I26" s="43" t="s">
        <v>434</v>
      </c>
      <c r="J26" s="43" t="s">
        <v>99</v>
      </c>
      <c r="K26" s="43" t="s">
        <v>40</v>
      </c>
      <c r="L26" s="43"/>
      <c r="M26" s="43"/>
      <c r="N26" s="43">
        <v>1</v>
      </c>
      <c r="O26" s="43"/>
      <c r="P26" s="43">
        <v>11.6800003051757</v>
      </c>
      <c r="Q26" s="43" t="s">
        <v>16</v>
      </c>
    </row>
    <row r="27" spans="1:17">
      <c r="A27" s="43" t="s">
        <v>530</v>
      </c>
      <c r="B27" s="43" t="s">
        <v>16</v>
      </c>
      <c r="C27" s="43" t="s">
        <v>257</v>
      </c>
      <c r="D27" s="43" t="s">
        <v>49</v>
      </c>
      <c r="E27" s="43" t="s">
        <v>258</v>
      </c>
      <c r="F27" s="43">
        <v>7.3000001907348597</v>
      </c>
      <c r="G27" s="43">
        <v>2</v>
      </c>
      <c r="H27" s="43">
        <v>6400</v>
      </c>
      <c r="I27" s="43" t="s">
        <v>428</v>
      </c>
      <c r="J27" s="43" t="s">
        <v>15</v>
      </c>
      <c r="K27" s="43" t="s">
        <v>47</v>
      </c>
      <c r="L27" s="43"/>
      <c r="M27" s="43"/>
      <c r="N27" s="43">
        <v>1</v>
      </c>
      <c r="O27" s="43"/>
      <c r="P27" s="43">
        <v>7.3000001907348597</v>
      </c>
      <c r="Q27" s="43" t="s">
        <v>16</v>
      </c>
    </row>
    <row r="28" spans="1:17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</row>
    <row r="29" spans="1:17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</row>
    <row r="30" spans="1:17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</row>
    <row r="31" spans="1:17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</row>
    <row r="32" spans="1:17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</row>
    <row r="33" spans="1:17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</row>
    <row r="34" spans="1:17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</row>
    <row r="35" spans="1:17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</row>
    <row r="36" spans="1:17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</row>
    <row r="37" spans="1:17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</row>
    <row r="38" spans="1:17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</row>
    <row r="39" spans="1:17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</row>
    <row r="40" spans="1:17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</row>
    <row r="41" spans="1:17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</row>
    <row r="42" spans="1:17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</row>
    <row r="43" spans="1:17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</row>
    <row r="44" spans="1:17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</row>
    <row r="45" spans="1:17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</row>
    <row r="46" spans="1:17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</row>
    <row r="47" spans="1:17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</row>
    <row r="48" spans="1:17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</row>
    <row r="49" spans="1:17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</row>
    <row r="50" spans="1:17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</row>
    <row r="51" spans="1:17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</row>
    <row r="52" spans="1:17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</row>
    <row r="53" spans="1:17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</row>
    <row r="54" spans="1:17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</row>
    <row r="55" spans="1:17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</row>
    <row r="56" spans="1:17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</row>
    <row r="57" spans="1:17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</row>
    <row r="58" spans="1:17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</row>
    <row r="59" spans="1:17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</row>
    <row r="60" spans="1:17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</row>
    <row r="61" spans="1:17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</row>
    <row r="62" spans="1:17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</row>
    <row r="63" spans="1:17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</row>
    <row r="64" spans="1:17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</row>
    <row r="65" spans="1:17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</row>
    <row r="66" spans="1:17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</row>
    <row r="67" spans="1:17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</row>
    <row r="68" spans="1:17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</row>
    <row r="69" spans="1:17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</row>
    <row r="70" spans="1:17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</row>
    <row r="71" spans="1:17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</row>
    <row r="72" spans="1:17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</row>
    <row r="73" spans="1:17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</row>
    <row r="74" spans="1:17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</row>
    <row r="75" spans="1:17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</row>
    <row r="76" spans="1:17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</row>
    <row r="77" spans="1:17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</row>
    <row r="78" spans="1:17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</row>
    <row r="79" spans="1:17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</row>
    <row r="80" spans="1:17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</row>
    <row r="81" spans="1:17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</row>
    <row r="82" spans="1:17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</row>
    <row r="83" spans="1:17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</row>
    <row r="84" spans="1:17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</row>
    <row r="85" spans="1:17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</row>
    <row r="86" spans="1:17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</row>
    <row r="87" spans="1:17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</row>
    <row r="88" spans="1:17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</row>
    <row r="89" spans="1:17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</row>
    <row r="90" spans="1:17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</row>
    <row r="91" spans="1:17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</row>
    <row r="92" spans="1:17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</row>
    <row r="93" spans="1:17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</row>
    <row r="94" spans="1:17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</row>
    <row r="95" spans="1:17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</row>
    <row r="96" spans="1:17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</row>
    <row r="97" spans="1:17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</row>
    <row r="98" spans="1:17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</row>
    <row r="99" spans="1:17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</row>
    <row r="100" spans="1:17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</row>
    <row r="101" spans="1:17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</row>
    <row r="102" spans="1:17">
      <c r="C102" s="11"/>
      <c r="E102" s="11"/>
    </row>
    <row r="103" spans="1:17">
      <c r="C103" s="11"/>
      <c r="E103" s="11"/>
    </row>
    <row r="104" spans="1:17">
      <c r="C104" s="11"/>
      <c r="E104" s="11"/>
    </row>
    <row r="105" spans="1:17">
      <c r="C105" s="11"/>
      <c r="E105" s="11"/>
    </row>
    <row r="106" spans="1:17">
      <c r="C106" s="11"/>
      <c r="E106" s="11"/>
    </row>
    <row r="107" spans="1:17">
      <c r="C107" s="11"/>
      <c r="E107" s="11"/>
    </row>
    <row r="108" spans="1:17">
      <c r="C108" s="11"/>
      <c r="E108" s="11"/>
    </row>
    <row r="109" spans="1:17">
      <c r="C109" s="11"/>
      <c r="E109" s="11"/>
    </row>
    <row r="110" spans="1:17">
      <c r="C110" s="11"/>
      <c r="E110" s="11"/>
    </row>
    <row r="111" spans="1:17">
      <c r="C111" s="11"/>
      <c r="E111" s="11"/>
    </row>
    <row r="112" spans="1:17">
      <c r="C112" s="11"/>
      <c r="E112" s="11"/>
    </row>
    <row r="113" spans="3:5">
      <c r="C113" s="11"/>
      <c r="E113" s="11"/>
    </row>
    <row r="114" spans="3:5">
      <c r="C114" s="11"/>
      <c r="E114" s="11"/>
    </row>
    <row r="115" spans="3:5">
      <c r="C115" s="11"/>
      <c r="E115" s="11"/>
    </row>
    <row r="116" spans="3:5">
      <c r="C116" s="11"/>
      <c r="E116" s="11"/>
    </row>
    <row r="117" spans="3:5">
      <c r="C117" s="11"/>
      <c r="E117" s="11"/>
    </row>
    <row r="118" spans="3:5">
      <c r="C118" s="11"/>
      <c r="E118" s="11"/>
    </row>
    <row r="119" spans="3:5">
      <c r="C119" s="11"/>
      <c r="E119" s="11"/>
    </row>
    <row r="120" spans="3:5">
      <c r="C120" s="11"/>
      <c r="E120" s="11"/>
    </row>
    <row r="121" spans="3:5">
      <c r="C121" s="11"/>
      <c r="E121" s="11"/>
    </row>
    <row r="122" spans="3:5">
      <c r="C122" s="11"/>
      <c r="E122" s="11"/>
    </row>
    <row r="123" spans="3:5">
      <c r="C123" s="11"/>
      <c r="E123" s="11"/>
    </row>
    <row r="124" spans="3:5">
      <c r="C124" s="11"/>
      <c r="E124" s="11"/>
    </row>
    <row r="125" spans="3:5">
      <c r="C125" s="11"/>
      <c r="E125" s="11"/>
    </row>
    <row r="126" spans="3:5">
      <c r="C126" s="11"/>
      <c r="E126" s="11"/>
    </row>
    <row r="127" spans="3:5">
      <c r="C127" s="11"/>
      <c r="E127" s="11"/>
    </row>
    <row r="128" spans="3:5">
      <c r="C128" s="11"/>
      <c r="E128" s="11"/>
    </row>
    <row r="129" spans="3:5">
      <c r="C129" s="11"/>
      <c r="E129" s="11"/>
    </row>
    <row r="130" spans="3:5">
      <c r="C130" s="11"/>
      <c r="E130" s="11"/>
    </row>
    <row r="131" spans="3:5">
      <c r="C131" s="11"/>
      <c r="E131" s="11"/>
    </row>
    <row r="132" spans="3:5">
      <c r="C132" s="11"/>
      <c r="E132" s="11"/>
    </row>
    <row r="133" spans="3:5">
      <c r="C133" s="11"/>
      <c r="E133" s="11"/>
    </row>
    <row r="134" spans="3:5">
      <c r="C134" s="11"/>
      <c r="E134" s="11"/>
    </row>
    <row r="135" spans="3:5">
      <c r="C135" s="11"/>
      <c r="E135" s="11"/>
    </row>
    <row r="136" spans="3:5">
      <c r="C136" s="11"/>
      <c r="E136" s="11"/>
    </row>
    <row r="137" spans="3:5">
      <c r="C137" s="11"/>
      <c r="E137" s="11"/>
    </row>
    <row r="138" spans="3:5">
      <c r="C138" s="11"/>
      <c r="E138" s="11"/>
    </row>
    <row r="139" spans="3:5">
      <c r="C139" s="11"/>
      <c r="E139" s="11"/>
    </row>
    <row r="140" spans="3:5">
      <c r="C140" s="11"/>
      <c r="E140" s="11"/>
    </row>
    <row r="141" spans="3:5">
      <c r="C141" s="11"/>
      <c r="E141" s="11"/>
    </row>
    <row r="142" spans="3:5">
      <c r="C142" s="11"/>
      <c r="E142" s="11"/>
    </row>
    <row r="143" spans="3:5">
      <c r="C143" s="11"/>
      <c r="E143" s="11"/>
    </row>
    <row r="144" spans="3:5">
      <c r="C144" s="11"/>
      <c r="E144" s="11"/>
    </row>
    <row r="145" spans="3:5">
      <c r="C145" s="11"/>
      <c r="E145" s="11"/>
    </row>
    <row r="146" spans="3:5">
      <c r="C146" s="11"/>
      <c r="E146" s="11"/>
    </row>
    <row r="147" spans="3:5">
      <c r="C147" s="11"/>
      <c r="E147" s="11"/>
    </row>
    <row r="148" spans="3:5">
      <c r="C148" s="11"/>
      <c r="E148" s="11"/>
    </row>
    <row r="149" spans="3:5">
      <c r="C149" s="11"/>
      <c r="E149" s="11"/>
    </row>
    <row r="150" spans="3:5">
      <c r="C150" s="11"/>
      <c r="E150" s="11"/>
    </row>
    <row r="151" spans="3:5">
      <c r="C151" s="11"/>
      <c r="E151" s="11"/>
    </row>
    <row r="152" spans="3:5">
      <c r="C152" s="11"/>
      <c r="E152" s="11"/>
    </row>
    <row r="153" spans="3:5">
      <c r="C153" s="11"/>
      <c r="E153" s="11"/>
    </row>
    <row r="154" spans="3:5">
      <c r="C154" s="11"/>
      <c r="E154" s="11"/>
    </row>
    <row r="155" spans="3:5">
      <c r="C155" s="11"/>
      <c r="E155" s="11"/>
    </row>
    <row r="156" spans="3:5">
      <c r="C156" s="11"/>
      <c r="E156" s="11"/>
    </row>
    <row r="157" spans="3:5">
      <c r="C157" s="11"/>
      <c r="E157" s="11"/>
    </row>
    <row r="158" spans="3:5">
      <c r="C158" s="11"/>
      <c r="E158" s="11"/>
    </row>
    <row r="159" spans="3:5">
      <c r="C159" s="11"/>
      <c r="E159" s="11"/>
    </row>
    <row r="160" spans="3:5">
      <c r="C160" s="11"/>
      <c r="E160" s="11"/>
    </row>
    <row r="161" spans="3:5">
      <c r="C161" s="11"/>
      <c r="E161" s="11"/>
    </row>
    <row r="162" spans="3:5">
      <c r="C162" s="11"/>
      <c r="E162" s="11"/>
    </row>
    <row r="163" spans="3:5">
      <c r="C163" s="11"/>
      <c r="E163" s="11"/>
    </row>
    <row r="164" spans="3:5">
      <c r="C164" s="11"/>
      <c r="E164" s="11"/>
    </row>
    <row r="165" spans="3:5">
      <c r="C165" s="11"/>
      <c r="E165" s="11"/>
    </row>
    <row r="166" spans="3:5">
      <c r="C166" s="11"/>
      <c r="E166" s="11"/>
    </row>
    <row r="167" spans="3:5">
      <c r="C167" s="11"/>
      <c r="E167" s="11"/>
    </row>
    <row r="168" spans="3:5">
      <c r="C168" s="11"/>
      <c r="E168" s="11"/>
    </row>
    <row r="169" spans="3:5">
      <c r="C169" s="11"/>
      <c r="E169" s="11"/>
    </row>
    <row r="170" spans="3:5">
      <c r="C170" s="11"/>
      <c r="E170" s="11"/>
    </row>
    <row r="171" spans="3:5">
      <c r="C171" s="11"/>
      <c r="E171" s="11"/>
    </row>
    <row r="172" spans="3:5">
      <c r="C172" s="11"/>
      <c r="E172" s="11"/>
    </row>
    <row r="173" spans="3:5">
      <c r="C173" s="11"/>
      <c r="E173" s="11"/>
    </row>
    <row r="174" spans="3:5">
      <c r="C174" s="11"/>
      <c r="E174" s="11"/>
    </row>
    <row r="175" spans="3:5">
      <c r="C175" s="11"/>
      <c r="E175" s="11"/>
    </row>
    <row r="176" spans="3:5">
      <c r="C176" s="11"/>
      <c r="E176" s="11"/>
    </row>
    <row r="177" spans="3:5">
      <c r="C177" s="11"/>
      <c r="E177" s="11"/>
    </row>
    <row r="178" spans="3:5">
      <c r="C178" s="11"/>
      <c r="E178" s="11"/>
    </row>
    <row r="179" spans="3:5">
      <c r="C179" s="11"/>
      <c r="E179" s="11"/>
    </row>
    <row r="180" spans="3:5">
      <c r="C180" s="11"/>
      <c r="E180" s="11"/>
    </row>
    <row r="181" spans="3:5">
      <c r="C181" s="11"/>
      <c r="E181" s="11"/>
    </row>
    <row r="182" spans="3:5">
      <c r="C182" s="11"/>
      <c r="E182" s="11"/>
    </row>
    <row r="183" spans="3:5">
      <c r="C183" s="11"/>
      <c r="E183" s="11"/>
    </row>
    <row r="184" spans="3:5">
      <c r="C184" s="11"/>
      <c r="E184" s="11"/>
    </row>
    <row r="185" spans="3:5">
      <c r="C185" s="11"/>
      <c r="E185" s="11"/>
    </row>
    <row r="186" spans="3:5">
      <c r="C186" s="11"/>
      <c r="E186" s="11"/>
    </row>
    <row r="187" spans="3:5">
      <c r="C187" s="11"/>
      <c r="E187" s="11"/>
    </row>
    <row r="188" spans="3:5">
      <c r="C188" s="11"/>
      <c r="E188" s="11"/>
    </row>
    <row r="189" spans="3:5">
      <c r="C189" s="11"/>
      <c r="E189" s="11"/>
    </row>
    <row r="190" spans="3:5">
      <c r="C190" s="11"/>
      <c r="E190" s="11"/>
    </row>
    <row r="191" spans="3:5">
      <c r="C191" s="11"/>
      <c r="E191" s="11"/>
    </row>
    <row r="192" spans="3:5">
      <c r="C192" s="11"/>
      <c r="E192" s="11"/>
    </row>
    <row r="193" spans="3:5">
      <c r="C193" s="11"/>
      <c r="E193" s="11"/>
    </row>
    <row r="194" spans="3:5">
      <c r="C194" s="11"/>
      <c r="E194" s="11"/>
    </row>
    <row r="195" spans="3:5">
      <c r="C195" s="11"/>
      <c r="E195" s="11"/>
    </row>
    <row r="196" spans="3:5">
      <c r="C196" s="11"/>
      <c r="E196" s="11"/>
    </row>
    <row r="197" spans="3:5">
      <c r="C197" s="11"/>
      <c r="E197" s="11"/>
    </row>
    <row r="198" spans="3:5">
      <c r="C198" s="11"/>
      <c r="E198" s="11"/>
    </row>
    <row r="199" spans="3:5">
      <c r="C199" s="11"/>
      <c r="E199" s="11"/>
    </row>
    <row r="200" spans="3:5">
      <c r="C200" s="11"/>
      <c r="E200" s="11"/>
    </row>
    <row r="201" spans="3:5">
      <c r="C201" s="11"/>
      <c r="E201" s="11"/>
    </row>
    <row r="202" spans="3:5">
      <c r="C202" s="11"/>
      <c r="E202" s="11"/>
    </row>
    <row r="203" spans="3:5">
      <c r="C203" s="11"/>
      <c r="E203" s="11"/>
    </row>
    <row r="204" spans="3:5">
      <c r="C204" s="11"/>
      <c r="E204" s="11"/>
    </row>
    <row r="205" spans="3:5">
      <c r="C205" s="11"/>
      <c r="E205" s="11"/>
    </row>
    <row r="206" spans="3:5">
      <c r="C206" s="11"/>
      <c r="E206" s="11"/>
    </row>
    <row r="207" spans="3:5">
      <c r="C207" s="11"/>
      <c r="E207" s="11"/>
    </row>
    <row r="208" spans="3:5">
      <c r="C208" s="11"/>
      <c r="E208" s="11"/>
    </row>
    <row r="209" spans="3:5">
      <c r="C209" s="11"/>
      <c r="E209" s="11"/>
    </row>
    <row r="210" spans="3:5">
      <c r="C210" s="11"/>
      <c r="E210" s="11"/>
    </row>
    <row r="211" spans="3:5">
      <c r="C211" s="11"/>
      <c r="E211" s="11"/>
    </row>
    <row r="212" spans="3:5">
      <c r="C212" s="11"/>
      <c r="E212" s="11"/>
    </row>
    <row r="213" spans="3:5">
      <c r="C213" s="11"/>
      <c r="E213" s="11"/>
    </row>
    <row r="214" spans="3:5">
      <c r="C214" s="11"/>
      <c r="E214" s="11"/>
    </row>
    <row r="215" spans="3:5">
      <c r="C215" s="11"/>
      <c r="E215" s="11"/>
    </row>
    <row r="216" spans="3:5">
      <c r="C216" s="11"/>
      <c r="E216" s="11"/>
    </row>
    <row r="217" spans="3:5">
      <c r="C217" s="11"/>
      <c r="E217" s="11"/>
    </row>
    <row r="218" spans="3:5">
      <c r="C218" s="11"/>
      <c r="E218" s="11"/>
    </row>
    <row r="219" spans="3:5">
      <c r="C219" s="11"/>
      <c r="E219" s="11"/>
    </row>
    <row r="220" spans="3:5">
      <c r="C220" s="11"/>
      <c r="E220" s="11"/>
    </row>
    <row r="221" spans="3:5">
      <c r="C221" s="11"/>
      <c r="E221" s="11"/>
    </row>
    <row r="222" spans="3:5">
      <c r="C222" s="11"/>
      <c r="E222" s="11"/>
    </row>
    <row r="223" spans="3:5">
      <c r="C223" s="11"/>
      <c r="E223" s="11"/>
    </row>
    <row r="224" spans="3:5">
      <c r="C224" s="11"/>
    </row>
    <row r="225" spans="3:3">
      <c r="C225" s="11"/>
    </row>
    <row r="226" spans="3:3">
      <c r="C226" s="11"/>
    </row>
    <row r="227" spans="3:3">
      <c r="C227" s="11"/>
    </row>
    <row r="228" spans="3:3">
      <c r="C228" s="11"/>
    </row>
    <row r="229" spans="3:3">
      <c r="C229" s="11"/>
    </row>
    <row r="230" spans="3:3">
      <c r="C230" s="11"/>
    </row>
    <row r="231" spans="3:3">
      <c r="C231" s="11"/>
    </row>
    <row r="232" spans="3:3">
      <c r="C232" s="11"/>
    </row>
    <row r="233" spans="3:3">
      <c r="C233" s="11"/>
    </row>
    <row r="234" spans="3:3">
      <c r="C234" s="11"/>
    </row>
    <row r="235" spans="3:3">
      <c r="C235" s="11"/>
    </row>
    <row r="236" spans="3:3">
      <c r="C236" s="11"/>
    </row>
    <row r="237" spans="3:3">
      <c r="C237" s="11"/>
    </row>
    <row r="238" spans="3:3">
      <c r="C238" s="11"/>
    </row>
    <row r="239" spans="3:3">
      <c r="C239" s="11"/>
    </row>
    <row r="240" spans="3:3">
      <c r="C240" s="11"/>
    </row>
    <row r="241" spans="3:3">
      <c r="C241" s="11"/>
    </row>
    <row r="242" spans="3:3">
      <c r="C242" s="11"/>
    </row>
    <row r="243" spans="3:3">
      <c r="C243" s="11"/>
    </row>
    <row r="244" spans="3:3">
      <c r="C244" s="11"/>
    </row>
    <row r="245" spans="3:3">
      <c r="C245" s="11"/>
    </row>
    <row r="246" spans="3:3">
      <c r="C246" s="11"/>
    </row>
    <row r="247" spans="3:3">
      <c r="C247" s="11"/>
    </row>
    <row r="248" spans="3:3">
      <c r="C248" s="11"/>
    </row>
    <row r="249" spans="3:3">
      <c r="C249" s="11"/>
    </row>
    <row r="250" spans="3:3">
      <c r="C250" s="11"/>
    </row>
    <row r="251" spans="3:3">
      <c r="C251" s="11"/>
    </row>
    <row r="252" spans="3:3">
      <c r="C252" s="11"/>
    </row>
    <row r="253" spans="3:3">
      <c r="C253" s="11"/>
    </row>
    <row r="254" spans="3:3">
      <c r="C254" s="11"/>
    </row>
    <row r="255" spans="3:3">
      <c r="C255" s="11"/>
    </row>
    <row r="256" spans="3:3">
      <c r="C256" s="11"/>
    </row>
    <row r="257" spans="3:3">
      <c r="C257" s="11"/>
    </row>
    <row r="258" spans="3:3">
      <c r="C258" s="11"/>
    </row>
    <row r="259" spans="3:3">
      <c r="C259" s="11"/>
    </row>
    <row r="260" spans="3:3">
      <c r="C260" s="11"/>
    </row>
    <row r="261" spans="3:3">
      <c r="C261" s="11"/>
    </row>
    <row r="262" spans="3:3">
      <c r="C262" s="11"/>
    </row>
    <row r="263" spans="3:3">
      <c r="C263" s="11"/>
    </row>
    <row r="264" spans="3:3">
      <c r="C264" s="11"/>
    </row>
    <row r="265" spans="3:3">
      <c r="C265" s="11"/>
    </row>
    <row r="266" spans="3:3">
      <c r="C266" s="11"/>
    </row>
    <row r="267" spans="3:3">
      <c r="C267" s="11"/>
    </row>
    <row r="268" spans="3:3">
      <c r="C268" s="11"/>
    </row>
    <row r="269" spans="3:3">
      <c r="C269" s="11"/>
    </row>
    <row r="270" spans="3:3">
      <c r="C270" s="11"/>
    </row>
    <row r="271" spans="3:3">
      <c r="C271" s="11"/>
    </row>
    <row r="272" spans="3:3">
      <c r="C272" s="11"/>
    </row>
    <row r="273" spans="3:3">
      <c r="C273" s="11"/>
    </row>
    <row r="274" spans="3:3">
      <c r="C274" s="11"/>
    </row>
    <row r="275" spans="3:3">
      <c r="C275" s="11"/>
    </row>
    <row r="276" spans="3:3">
      <c r="C276" s="11"/>
    </row>
    <row r="277" spans="3:3">
      <c r="C277" s="11"/>
    </row>
    <row r="278" spans="3:3">
      <c r="C278" s="11"/>
    </row>
    <row r="279" spans="3:3">
      <c r="C279" s="11"/>
    </row>
    <row r="280" spans="3:3">
      <c r="C280" s="11"/>
    </row>
    <row r="281" spans="3:3">
      <c r="C281" s="11"/>
    </row>
    <row r="282" spans="3:3">
      <c r="C282" s="11"/>
    </row>
    <row r="283" spans="3:3">
      <c r="C283" s="11"/>
    </row>
    <row r="284" spans="3:3">
      <c r="C284" s="11"/>
    </row>
    <row r="285" spans="3:3">
      <c r="C285" s="11"/>
    </row>
    <row r="286" spans="3:3">
      <c r="C286" s="11"/>
    </row>
    <row r="287" spans="3:3">
      <c r="C287" s="11"/>
    </row>
    <row r="288" spans="3:3">
      <c r="C288" s="11"/>
    </row>
    <row r="289" spans="3:3">
      <c r="C289" s="11"/>
    </row>
    <row r="290" spans="3:3">
      <c r="C290" s="11"/>
    </row>
    <row r="291" spans="3:3">
      <c r="C291" s="11"/>
    </row>
    <row r="292" spans="3:3">
      <c r="C292" s="11"/>
    </row>
    <row r="293" spans="3:3">
      <c r="C293" s="11"/>
    </row>
    <row r="294" spans="3:3">
      <c r="C294" s="11"/>
    </row>
    <row r="295" spans="3:3">
      <c r="C295" s="11"/>
    </row>
    <row r="296" spans="3:3">
      <c r="C296" s="11"/>
    </row>
    <row r="297" spans="3:3">
      <c r="C297" s="11"/>
    </row>
    <row r="298" spans="3:3">
      <c r="C298" s="11"/>
    </row>
    <row r="299" spans="3:3">
      <c r="C299" s="11"/>
    </row>
    <row r="300" spans="3:3">
      <c r="C300" s="11"/>
    </row>
    <row r="301" spans="3:3">
      <c r="C301" s="11"/>
    </row>
    <row r="302" spans="3:3">
      <c r="C302" s="11"/>
    </row>
    <row r="303" spans="3:3">
      <c r="C303" s="11"/>
    </row>
    <row r="304" spans="3:3">
      <c r="C304" s="11"/>
    </row>
    <row r="305" spans="3:3">
      <c r="C305" s="11"/>
    </row>
    <row r="306" spans="3:3">
      <c r="C306" s="11"/>
    </row>
    <row r="307" spans="3:3">
      <c r="C307" s="11"/>
    </row>
    <row r="308" spans="3:3">
      <c r="C308" s="11"/>
    </row>
    <row r="309" spans="3:3">
      <c r="C309" s="11"/>
    </row>
    <row r="310" spans="3:3">
      <c r="C310" s="11"/>
    </row>
    <row r="311" spans="3:3">
      <c r="C311" s="11"/>
    </row>
    <row r="312" spans="3:3">
      <c r="C312" s="11"/>
    </row>
    <row r="313" spans="3:3">
      <c r="C313" s="11"/>
    </row>
    <row r="314" spans="3:3">
      <c r="C314" s="11"/>
    </row>
    <row r="315" spans="3:3">
      <c r="C315" s="11"/>
    </row>
    <row r="316" spans="3:3">
      <c r="C316" s="11"/>
    </row>
    <row r="317" spans="3:3">
      <c r="C317" s="11"/>
    </row>
    <row r="318" spans="3:3">
      <c r="C318" s="11"/>
    </row>
    <row r="319" spans="3:3">
      <c r="C319" s="11"/>
    </row>
    <row r="320" spans="3:3">
      <c r="C320" s="11"/>
    </row>
    <row r="321" spans="3:3">
      <c r="C321" s="11"/>
    </row>
    <row r="322" spans="3:3">
      <c r="C322" s="11"/>
    </row>
    <row r="323" spans="3:3">
      <c r="C323" s="11"/>
    </row>
    <row r="324" spans="3:3">
      <c r="C324" s="11"/>
    </row>
    <row r="325" spans="3:3">
      <c r="C325" s="11"/>
    </row>
    <row r="326" spans="3:3">
      <c r="C326" s="11"/>
    </row>
    <row r="327" spans="3:3">
      <c r="C327" s="11"/>
    </row>
    <row r="328" spans="3:3">
      <c r="C328" s="11"/>
    </row>
    <row r="329" spans="3:3">
      <c r="C329" s="11"/>
    </row>
    <row r="330" spans="3:3">
      <c r="C330" s="11"/>
    </row>
    <row r="331" spans="3:3">
      <c r="C331" s="11"/>
    </row>
    <row r="332" spans="3:3">
      <c r="C332" s="11"/>
    </row>
    <row r="333" spans="3:3">
      <c r="C333" s="11"/>
    </row>
    <row r="334" spans="3:3">
      <c r="C334" s="11"/>
    </row>
    <row r="335" spans="3:3">
      <c r="C335" s="11"/>
    </row>
    <row r="336" spans="3:3">
      <c r="C336" s="11"/>
    </row>
    <row r="337" spans="3:3">
      <c r="C337" s="11"/>
    </row>
    <row r="338" spans="3:3">
      <c r="C338" s="11"/>
    </row>
    <row r="339" spans="3:3">
      <c r="C339" s="11"/>
    </row>
    <row r="340" spans="3:3">
      <c r="C340" s="11"/>
    </row>
    <row r="341" spans="3:3">
      <c r="C341" s="11"/>
    </row>
    <row r="342" spans="3:3">
      <c r="C342" s="11"/>
    </row>
    <row r="343" spans="3:3">
      <c r="C343" s="11"/>
    </row>
    <row r="344" spans="3:3">
      <c r="C344" s="11"/>
    </row>
    <row r="345" spans="3:3">
      <c r="C345" s="11"/>
    </row>
    <row r="346" spans="3:3">
      <c r="C346" s="11"/>
    </row>
    <row r="347" spans="3:3">
      <c r="C347" s="11"/>
    </row>
    <row r="348" spans="3:3">
      <c r="C348" s="11"/>
    </row>
    <row r="349" spans="3:3">
      <c r="C349" s="11"/>
    </row>
    <row r="350" spans="3:3">
      <c r="C350" s="11"/>
    </row>
    <row r="351" spans="3:3">
      <c r="C351" s="11"/>
    </row>
    <row r="352" spans="3:3">
      <c r="C352" s="11"/>
    </row>
    <row r="353" spans="3:3">
      <c r="C353" s="11"/>
    </row>
    <row r="354" spans="3:3">
      <c r="C354" s="11"/>
    </row>
    <row r="355" spans="3:3">
      <c r="C355" s="11"/>
    </row>
    <row r="356" spans="3:3">
      <c r="C356" s="11"/>
    </row>
    <row r="357" spans="3:3">
      <c r="C357" s="11"/>
    </row>
    <row r="358" spans="3:3">
      <c r="C358" s="11"/>
    </row>
    <row r="359" spans="3:3">
      <c r="C359" s="11"/>
    </row>
    <row r="360" spans="3:3">
      <c r="C360" s="11"/>
    </row>
    <row r="361" spans="3:3">
      <c r="C361" s="11"/>
    </row>
    <row r="362" spans="3:3">
      <c r="C362" s="11"/>
    </row>
    <row r="363" spans="3:3">
      <c r="C363" s="11"/>
    </row>
    <row r="364" spans="3:3">
      <c r="C364" s="11"/>
    </row>
    <row r="365" spans="3:3">
      <c r="C365" s="11"/>
    </row>
    <row r="366" spans="3:3">
      <c r="C366" s="11"/>
    </row>
    <row r="367" spans="3:3">
      <c r="C367" s="11"/>
    </row>
    <row r="368" spans="3:3">
      <c r="C368" s="11"/>
    </row>
    <row r="369" spans="3:3">
      <c r="C369" s="11"/>
    </row>
    <row r="370" spans="3:3">
      <c r="C370" s="11"/>
    </row>
    <row r="371" spans="3:3">
      <c r="C371" s="11"/>
    </row>
    <row r="372" spans="3:3">
      <c r="C372" s="11"/>
    </row>
    <row r="373" spans="3:3">
      <c r="C373" s="11"/>
    </row>
    <row r="374" spans="3:3">
      <c r="C374" s="11"/>
    </row>
    <row r="375" spans="3:3">
      <c r="C375" s="11"/>
    </row>
    <row r="376" spans="3:3">
      <c r="C376" s="11"/>
    </row>
    <row r="377" spans="3:3">
      <c r="C377" s="11"/>
    </row>
    <row r="378" spans="3:3">
      <c r="C378" s="11"/>
    </row>
    <row r="379" spans="3:3">
      <c r="C379" s="11"/>
    </row>
    <row r="380" spans="3:3">
      <c r="C380" s="11"/>
    </row>
    <row r="381" spans="3:3">
      <c r="C381" s="11"/>
    </row>
    <row r="382" spans="3:3">
      <c r="C382" s="11"/>
    </row>
    <row r="383" spans="3:3">
      <c r="C383" s="11"/>
    </row>
    <row r="384" spans="3:3">
      <c r="C384" s="11"/>
    </row>
    <row r="385" spans="3:3">
      <c r="C385" s="11"/>
    </row>
    <row r="386" spans="3:3">
      <c r="C386" s="11"/>
    </row>
    <row r="387" spans="3:3">
      <c r="C387" s="11"/>
    </row>
    <row r="388" spans="3:3">
      <c r="C388" s="11"/>
    </row>
    <row r="389" spans="3:3">
      <c r="C389" s="11"/>
    </row>
    <row r="390" spans="3:3">
      <c r="C390" s="11"/>
    </row>
    <row r="391" spans="3:3">
      <c r="C391" s="11"/>
    </row>
    <row r="392" spans="3:3">
      <c r="C392" s="11"/>
    </row>
    <row r="393" spans="3:3">
      <c r="C393" s="11"/>
    </row>
    <row r="394" spans="3:3">
      <c r="C394" s="11"/>
    </row>
    <row r="395" spans="3:3">
      <c r="C395" s="11"/>
    </row>
    <row r="396" spans="3:3">
      <c r="C396" s="11"/>
    </row>
    <row r="397" spans="3:3">
      <c r="C397" s="11"/>
    </row>
    <row r="398" spans="3:3">
      <c r="C398" s="11"/>
    </row>
    <row r="399" spans="3:3">
      <c r="C399" s="11"/>
    </row>
    <row r="400" spans="3:3">
      <c r="C400" s="11"/>
    </row>
    <row r="401" spans="3:3">
      <c r="C401" s="11"/>
    </row>
    <row r="402" spans="3:3">
      <c r="C402" s="11"/>
    </row>
    <row r="403" spans="3:3">
      <c r="C403" s="11"/>
    </row>
    <row r="404" spans="3:3">
      <c r="C404" s="11"/>
    </row>
    <row r="405" spans="3:3">
      <c r="C405" s="11"/>
    </row>
    <row r="406" spans="3:3">
      <c r="C406" s="11"/>
    </row>
    <row r="407" spans="3:3">
      <c r="C407" s="11"/>
    </row>
    <row r="408" spans="3:3">
      <c r="C408" s="11"/>
    </row>
    <row r="409" spans="3:3">
      <c r="C409" s="11"/>
    </row>
    <row r="410" spans="3:3">
      <c r="C410" s="11"/>
    </row>
    <row r="411" spans="3:3">
      <c r="C411" s="11"/>
    </row>
    <row r="412" spans="3:3">
      <c r="C412" s="11"/>
    </row>
    <row r="413" spans="3:3">
      <c r="C413" s="11"/>
    </row>
    <row r="414" spans="3:3">
      <c r="C414" s="11"/>
    </row>
    <row r="415" spans="3:3">
      <c r="C415" s="11"/>
    </row>
    <row r="416" spans="3:3">
      <c r="C416" s="11"/>
    </row>
    <row r="417" spans="3:3">
      <c r="C417" s="11"/>
    </row>
    <row r="418" spans="3:3">
      <c r="C418" s="11"/>
    </row>
    <row r="419" spans="3:3">
      <c r="C419" s="11"/>
    </row>
    <row r="420" spans="3:3">
      <c r="C420" s="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R442"/>
  <sheetViews>
    <sheetView workbookViewId="0">
      <selection activeCell="A2" sqref="A2:Q27"/>
    </sheetView>
  </sheetViews>
  <sheetFormatPr defaultRowHeight="15"/>
  <cols>
    <col min="1" max="1" width="13.85546875" style="13" bestFit="1" customWidth="1"/>
    <col min="2" max="2" width="8.28515625" style="13" bestFit="1" customWidth="1"/>
    <col min="3" max="3" width="11.28515625" style="13" bestFit="1" customWidth="1"/>
    <col min="4" max="4" width="21.42578125" style="13" bestFit="1" customWidth="1"/>
    <col min="5" max="5" width="12.42578125" style="13" bestFit="1" customWidth="1"/>
    <col min="6" max="6" width="12" bestFit="1" customWidth="1"/>
    <col min="7" max="7" width="7" bestFit="1" customWidth="1"/>
    <col min="8" max="8" width="6.28515625" bestFit="1" customWidth="1"/>
    <col min="9" max="9" width="10.28515625" bestFit="1" customWidth="1"/>
    <col min="10" max="10" width="5.85546875" bestFit="1" customWidth="1"/>
    <col min="11" max="11" width="10" bestFit="1" customWidth="1"/>
    <col min="12" max="12" width="14.5703125" bestFit="1" customWidth="1"/>
    <col min="13" max="13" width="12.7109375" bestFit="1" customWidth="1"/>
    <col min="14" max="14" width="4.42578125" bestFit="1" customWidth="1"/>
    <col min="15" max="15" width="6.5703125" bestFit="1" customWidth="1"/>
    <col min="16" max="16" width="15.7109375" bestFit="1" customWidth="1"/>
    <col min="17" max="17" width="14.5703125" bestFit="1" customWidth="1"/>
  </cols>
  <sheetData>
    <row r="1" spans="1:18">
      <c r="A1" s="38" t="s">
        <v>143</v>
      </c>
      <c r="B1" s="38" t="s">
        <v>144</v>
      </c>
      <c r="C1" s="38" t="s">
        <v>145</v>
      </c>
      <c r="D1" s="38" t="s">
        <v>146</v>
      </c>
      <c r="E1" s="38" t="s">
        <v>147</v>
      </c>
      <c r="F1" s="38" t="s">
        <v>148</v>
      </c>
      <c r="G1" s="38" t="s">
        <v>149</v>
      </c>
      <c r="H1" s="38" t="s">
        <v>150</v>
      </c>
      <c r="I1" s="38" t="s">
        <v>151</v>
      </c>
      <c r="J1" s="38" t="s">
        <v>152</v>
      </c>
      <c r="K1" s="38" t="s">
        <v>153</v>
      </c>
      <c r="L1" s="38" t="s">
        <v>154</v>
      </c>
      <c r="M1" s="38" t="s">
        <v>155</v>
      </c>
      <c r="N1" s="38" t="s">
        <v>156</v>
      </c>
      <c r="O1" s="38" t="s">
        <v>157</v>
      </c>
      <c r="P1" s="38" t="s">
        <v>158</v>
      </c>
      <c r="Q1" s="38" t="s">
        <v>159</v>
      </c>
    </row>
    <row r="2" spans="1:18">
      <c r="A2" s="45" t="s">
        <v>531</v>
      </c>
      <c r="B2" s="45" t="s">
        <v>2</v>
      </c>
      <c r="C2" s="45" t="s">
        <v>532</v>
      </c>
      <c r="D2" s="45" t="s">
        <v>533</v>
      </c>
      <c r="E2" s="45" t="s">
        <v>534</v>
      </c>
      <c r="F2" s="45">
        <v>25.399999618530199</v>
      </c>
      <c r="G2" s="45">
        <v>2</v>
      </c>
      <c r="H2" s="45">
        <v>8700</v>
      </c>
      <c r="I2" s="45" t="s">
        <v>450</v>
      </c>
      <c r="J2" s="45" t="s">
        <v>451</v>
      </c>
      <c r="K2" s="45" t="s">
        <v>5</v>
      </c>
      <c r="L2" s="45"/>
      <c r="M2" s="45"/>
      <c r="N2" s="45">
        <v>1</v>
      </c>
      <c r="O2" s="45"/>
      <c r="P2" s="45">
        <v>25.399999618530199</v>
      </c>
      <c r="Q2" s="45" t="s">
        <v>276</v>
      </c>
      <c r="R2" s="44" t="s">
        <v>276</v>
      </c>
    </row>
    <row r="3" spans="1:18">
      <c r="A3" s="45" t="s">
        <v>535</v>
      </c>
      <c r="B3" s="45" t="s">
        <v>2</v>
      </c>
      <c r="C3" s="45" t="s">
        <v>308</v>
      </c>
      <c r="D3" s="45" t="s">
        <v>19</v>
      </c>
      <c r="E3" s="45" t="s">
        <v>309</v>
      </c>
      <c r="F3" s="45">
        <v>13.899999618530201</v>
      </c>
      <c r="G3" s="45">
        <v>2</v>
      </c>
      <c r="H3" s="45">
        <v>8500</v>
      </c>
      <c r="I3" s="45" t="s">
        <v>441</v>
      </c>
      <c r="J3" s="45" t="s">
        <v>10</v>
      </c>
      <c r="K3" s="45" t="s">
        <v>442</v>
      </c>
      <c r="L3" s="45"/>
      <c r="M3" s="45"/>
      <c r="N3" s="45">
        <v>1</v>
      </c>
      <c r="O3" s="45"/>
      <c r="P3" s="45">
        <v>13.899999618530201</v>
      </c>
      <c r="Q3" s="45" t="s">
        <v>276</v>
      </c>
      <c r="R3" s="44" t="s">
        <v>276</v>
      </c>
    </row>
    <row r="4" spans="1:18">
      <c r="A4" s="45" t="s">
        <v>536</v>
      </c>
      <c r="B4" s="45" t="s">
        <v>2</v>
      </c>
      <c r="C4" s="45" t="s">
        <v>296</v>
      </c>
      <c r="D4" s="45" t="s">
        <v>4</v>
      </c>
      <c r="E4" s="45" t="s">
        <v>297</v>
      </c>
      <c r="F4" s="45">
        <v>32.75</v>
      </c>
      <c r="G4" s="45">
        <v>2</v>
      </c>
      <c r="H4" s="45">
        <v>8400</v>
      </c>
      <c r="I4" s="45" t="s">
        <v>450</v>
      </c>
      <c r="J4" s="45" t="s">
        <v>5</v>
      </c>
      <c r="K4" s="45" t="s">
        <v>451</v>
      </c>
      <c r="L4" s="45"/>
      <c r="M4" s="45"/>
      <c r="N4" s="45">
        <v>1</v>
      </c>
      <c r="O4" s="45"/>
      <c r="P4" s="45">
        <v>32.75</v>
      </c>
      <c r="Q4" s="45" t="s">
        <v>276</v>
      </c>
      <c r="R4" s="44" t="s">
        <v>276</v>
      </c>
    </row>
    <row r="5" spans="1:18">
      <c r="A5" s="45" t="s">
        <v>537</v>
      </c>
      <c r="B5" s="45" t="s">
        <v>2</v>
      </c>
      <c r="C5" s="45" t="s">
        <v>538</v>
      </c>
      <c r="D5" s="45" t="s">
        <v>539</v>
      </c>
      <c r="E5" s="45" t="s">
        <v>540</v>
      </c>
      <c r="F5" s="45">
        <v>22.299999237060501</v>
      </c>
      <c r="G5" s="45">
        <v>2</v>
      </c>
      <c r="H5" s="45">
        <v>8300</v>
      </c>
      <c r="I5" s="45" t="s">
        <v>447</v>
      </c>
      <c r="J5" s="45" t="s">
        <v>448</v>
      </c>
      <c r="K5" s="45" t="s">
        <v>17</v>
      </c>
      <c r="L5" s="45"/>
      <c r="M5" s="45"/>
      <c r="N5" s="45">
        <v>1</v>
      </c>
      <c r="O5" s="45"/>
      <c r="P5" s="45">
        <v>22.299999237060501</v>
      </c>
      <c r="Q5" s="45" t="s">
        <v>276</v>
      </c>
      <c r="R5" s="44" t="s">
        <v>276</v>
      </c>
    </row>
    <row r="6" spans="1:18">
      <c r="A6" s="45" t="s">
        <v>541</v>
      </c>
      <c r="B6" s="45" t="s">
        <v>2</v>
      </c>
      <c r="C6" s="45" t="s">
        <v>298</v>
      </c>
      <c r="D6" s="45" t="s">
        <v>63</v>
      </c>
      <c r="E6" s="45" t="s">
        <v>267</v>
      </c>
      <c r="F6" s="45">
        <v>14.149999618530201</v>
      </c>
      <c r="G6" s="45">
        <v>2</v>
      </c>
      <c r="H6" s="45">
        <v>8000</v>
      </c>
      <c r="I6" s="45" t="s">
        <v>470</v>
      </c>
      <c r="J6" s="45" t="s">
        <v>12</v>
      </c>
      <c r="K6" s="45" t="s">
        <v>39</v>
      </c>
      <c r="L6" s="45"/>
      <c r="M6" s="45"/>
      <c r="N6" s="45">
        <v>1</v>
      </c>
      <c r="O6" s="45"/>
      <c r="P6" s="45">
        <v>14.149999618530201</v>
      </c>
      <c r="Q6" s="45" t="s">
        <v>276</v>
      </c>
      <c r="R6" s="44" t="s">
        <v>276</v>
      </c>
    </row>
    <row r="7" spans="1:18">
      <c r="A7" s="45" t="s">
        <v>542</v>
      </c>
      <c r="B7" s="45" t="s">
        <v>2</v>
      </c>
      <c r="C7" s="45" t="s">
        <v>285</v>
      </c>
      <c r="D7" s="45" t="s">
        <v>13</v>
      </c>
      <c r="E7" s="45" t="s">
        <v>286</v>
      </c>
      <c r="F7" s="45">
        <v>14.75</v>
      </c>
      <c r="G7" s="45">
        <v>2</v>
      </c>
      <c r="H7" s="45">
        <v>7900</v>
      </c>
      <c r="I7" s="45" t="s">
        <v>478</v>
      </c>
      <c r="J7" s="45" t="s">
        <v>14</v>
      </c>
      <c r="K7" s="45" t="s">
        <v>6</v>
      </c>
      <c r="L7" s="45"/>
      <c r="M7" s="45"/>
      <c r="N7" s="45">
        <v>1</v>
      </c>
      <c r="O7" s="45"/>
      <c r="P7" s="45">
        <v>14.75</v>
      </c>
      <c r="Q7" s="45" t="s">
        <v>276</v>
      </c>
      <c r="R7" s="44" t="s">
        <v>276</v>
      </c>
    </row>
    <row r="8" spans="1:18">
      <c r="A8" s="45" t="s">
        <v>543</v>
      </c>
      <c r="B8" s="45" t="s">
        <v>2</v>
      </c>
      <c r="C8" s="45" t="s">
        <v>544</v>
      </c>
      <c r="D8" s="45" t="s">
        <v>545</v>
      </c>
      <c r="E8" s="45" t="s">
        <v>405</v>
      </c>
      <c r="F8" s="45">
        <v>13.3500003814697</v>
      </c>
      <c r="G8" s="45">
        <v>2</v>
      </c>
      <c r="H8" s="45">
        <v>7800</v>
      </c>
      <c r="I8" s="45" t="s">
        <v>459</v>
      </c>
      <c r="J8" s="45" t="s">
        <v>460</v>
      </c>
      <c r="K8" s="45" t="s">
        <v>94</v>
      </c>
      <c r="L8" s="45"/>
      <c r="M8" s="45"/>
      <c r="N8" s="45">
        <v>1</v>
      </c>
      <c r="O8" s="45"/>
      <c r="P8" s="45">
        <v>13.3500003814697</v>
      </c>
      <c r="Q8" s="45" t="s">
        <v>276</v>
      </c>
      <c r="R8" s="44" t="s">
        <v>276</v>
      </c>
    </row>
    <row r="9" spans="1:18">
      <c r="A9" s="45" t="s">
        <v>546</v>
      </c>
      <c r="B9" s="45" t="s">
        <v>2</v>
      </c>
      <c r="C9" s="45" t="s">
        <v>277</v>
      </c>
      <c r="D9" s="45" t="s">
        <v>109</v>
      </c>
      <c r="E9" s="45" t="s">
        <v>278</v>
      </c>
      <c r="F9" s="45">
        <v>22.75</v>
      </c>
      <c r="G9" s="45">
        <v>2</v>
      </c>
      <c r="H9" s="45">
        <v>7700</v>
      </c>
      <c r="I9" s="45" t="s">
        <v>436</v>
      </c>
      <c r="J9" s="45" t="s">
        <v>3</v>
      </c>
      <c r="K9" s="45" t="s">
        <v>41</v>
      </c>
      <c r="L9" s="45"/>
      <c r="M9" s="45"/>
      <c r="N9" s="45">
        <v>1</v>
      </c>
      <c r="O9" s="45"/>
      <c r="P9" s="45">
        <v>22.75</v>
      </c>
      <c r="Q9" s="45" t="s">
        <v>276</v>
      </c>
      <c r="R9" s="44" t="s">
        <v>276</v>
      </c>
    </row>
    <row r="10" spans="1:18">
      <c r="A10" s="45" t="s">
        <v>547</v>
      </c>
      <c r="B10" s="45" t="s">
        <v>2</v>
      </c>
      <c r="C10" s="45" t="s">
        <v>292</v>
      </c>
      <c r="D10" s="45" t="s">
        <v>51</v>
      </c>
      <c r="E10" s="45" t="s">
        <v>256</v>
      </c>
      <c r="F10" s="45">
        <v>13.050000190734799</v>
      </c>
      <c r="G10" s="45">
        <v>2</v>
      </c>
      <c r="H10" s="45">
        <v>7500</v>
      </c>
      <c r="I10" s="45" t="s">
        <v>447</v>
      </c>
      <c r="J10" s="45" t="s">
        <v>17</v>
      </c>
      <c r="K10" s="45" t="s">
        <v>448</v>
      </c>
      <c r="L10" s="45"/>
      <c r="M10" s="45"/>
      <c r="N10" s="45">
        <v>1</v>
      </c>
      <c r="O10" s="45"/>
      <c r="P10" s="45">
        <v>13.050000190734799</v>
      </c>
      <c r="Q10" s="45" t="s">
        <v>276</v>
      </c>
      <c r="R10" s="44" t="s">
        <v>276</v>
      </c>
    </row>
    <row r="11" spans="1:18">
      <c r="A11" s="45" t="s">
        <v>548</v>
      </c>
      <c r="B11" s="45" t="s">
        <v>2</v>
      </c>
      <c r="C11" s="45" t="s">
        <v>293</v>
      </c>
      <c r="D11" s="45" t="s">
        <v>114</v>
      </c>
      <c r="E11" s="45" t="s">
        <v>300</v>
      </c>
      <c r="F11" s="45">
        <v>19.850000381469702</v>
      </c>
      <c r="G11" s="45">
        <v>2</v>
      </c>
      <c r="H11" s="45">
        <v>7400</v>
      </c>
      <c r="I11" s="45" t="s">
        <v>478</v>
      </c>
      <c r="J11" s="45" t="s">
        <v>6</v>
      </c>
      <c r="K11" s="45" t="s">
        <v>14</v>
      </c>
      <c r="L11" s="45"/>
      <c r="M11" s="45"/>
      <c r="N11" s="45">
        <v>1</v>
      </c>
      <c r="O11" s="45"/>
      <c r="P11" s="45">
        <v>19.850000381469702</v>
      </c>
      <c r="Q11" s="45" t="s">
        <v>276</v>
      </c>
      <c r="R11" s="44" t="s">
        <v>276</v>
      </c>
    </row>
    <row r="12" spans="1:18">
      <c r="A12" s="45" t="s">
        <v>549</v>
      </c>
      <c r="B12" s="45" t="s">
        <v>2</v>
      </c>
      <c r="C12" s="45" t="s">
        <v>235</v>
      </c>
      <c r="D12" s="45" t="s">
        <v>550</v>
      </c>
      <c r="E12" s="45" t="s">
        <v>551</v>
      </c>
      <c r="F12" s="45">
        <v>13.75</v>
      </c>
      <c r="G12" s="45">
        <v>2</v>
      </c>
      <c r="H12" s="45">
        <v>7300</v>
      </c>
      <c r="I12" s="45" t="s">
        <v>465</v>
      </c>
      <c r="J12" s="45" t="s">
        <v>466</v>
      </c>
      <c r="K12" s="45" t="s">
        <v>98</v>
      </c>
      <c r="L12" s="45"/>
      <c r="M12" s="45"/>
      <c r="N12" s="45">
        <v>1</v>
      </c>
      <c r="O12" s="45"/>
      <c r="P12" s="45">
        <v>13.75</v>
      </c>
      <c r="Q12" s="45" t="s">
        <v>276</v>
      </c>
      <c r="R12" s="44" t="s">
        <v>276</v>
      </c>
    </row>
    <row r="13" spans="1:18">
      <c r="A13" s="45" t="s">
        <v>552</v>
      </c>
      <c r="B13" s="45" t="s">
        <v>2</v>
      </c>
      <c r="C13" s="45" t="s">
        <v>553</v>
      </c>
      <c r="D13" s="45" t="s">
        <v>554</v>
      </c>
      <c r="E13" s="45" t="s">
        <v>555</v>
      </c>
      <c r="F13" s="45">
        <v>23.5</v>
      </c>
      <c r="G13" s="45">
        <v>2</v>
      </c>
      <c r="H13" s="45">
        <v>7200</v>
      </c>
      <c r="I13" s="45" t="s">
        <v>432</v>
      </c>
      <c r="J13" s="45" t="s">
        <v>96</v>
      </c>
      <c r="K13" s="45" t="s">
        <v>95</v>
      </c>
      <c r="L13" s="45"/>
      <c r="M13" s="45"/>
      <c r="N13" s="45">
        <v>1</v>
      </c>
      <c r="O13" s="45"/>
      <c r="P13" s="45">
        <v>23.5</v>
      </c>
      <c r="Q13" s="45" t="s">
        <v>276</v>
      </c>
      <c r="R13" s="44" t="s">
        <v>276</v>
      </c>
    </row>
    <row r="14" spans="1:18">
      <c r="A14" s="45" t="s">
        <v>556</v>
      </c>
      <c r="B14" s="45" t="s">
        <v>2</v>
      </c>
      <c r="C14" s="45" t="s">
        <v>279</v>
      </c>
      <c r="D14" s="45" t="s">
        <v>18</v>
      </c>
      <c r="E14" s="45" t="s">
        <v>280</v>
      </c>
      <c r="F14" s="45">
        <v>15.399999618530201</v>
      </c>
      <c r="G14" s="45">
        <v>2</v>
      </c>
      <c r="H14" s="45">
        <v>7100</v>
      </c>
      <c r="I14" s="45" t="s">
        <v>478</v>
      </c>
      <c r="J14" s="45" t="s">
        <v>14</v>
      </c>
      <c r="K14" s="45" t="s">
        <v>6</v>
      </c>
      <c r="L14" s="45"/>
      <c r="M14" s="45"/>
      <c r="N14" s="45">
        <v>1</v>
      </c>
      <c r="O14" s="45"/>
      <c r="P14" s="45">
        <v>15.399999618530201</v>
      </c>
      <c r="Q14" s="45" t="s">
        <v>276</v>
      </c>
      <c r="R14" s="44" t="s">
        <v>276</v>
      </c>
    </row>
    <row r="15" spans="1:18">
      <c r="A15" s="45" t="s">
        <v>557</v>
      </c>
      <c r="B15" s="45" t="s">
        <v>2</v>
      </c>
      <c r="C15" s="45" t="s">
        <v>289</v>
      </c>
      <c r="D15" s="45" t="s">
        <v>65</v>
      </c>
      <c r="E15" s="45" t="s">
        <v>272</v>
      </c>
      <c r="F15" s="45">
        <v>8.1999998092651296</v>
      </c>
      <c r="G15" s="45">
        <v>2</v>
      </c>
      <c r="H15" s="45">
        <v>7000</v>
      </c>
      <c r="I15" s="45" t="s">
        <v>434</v>
      </c>
      <c r="J15" s="45" t="s">
        <v>40</v>
      </c>
      <c r="K15" s="45" t="s">
        <v>99</v>
      </c>
      <c r="L15" s="45"/>
      <c r="M15" s="45"/>
      <c r="N15" s="45">
        <v>1</v>
      </c>
      <c r="O15" s="45"/>
      <c r="P15" s="45">
        <v>8.1999998092651296</v>
      </c>
      <c r="Q15" s="45" t="s">
        <v>276</v>
      </c>
      <c r="R15" s="44" t="s">
        <v>276</v>
      </c>
    </row>
    <row r="16" spans="1:18">
      <c r="A16" s="45" t="s">
        <v>558</v>
      </c>
      <c r="B16" s="45" t="s">
        <v>2</v>
      </c>
      <c r="C16" s="45" t="s">
        <v>294</v>
      </c>
      <c r="D16" s="45" t="s">
        <v>112</v>
      </c>
      <c r="E16" s="45" t="s">
        <v>295</v>
      </c>
      <c r="F16" s="45">
        <v>14.800000190734799</v>
      </c>
      <c r="G16" s="45">
        <v>2</v>
      </c>
      <c r="H16" s="45">
        <v>6800</v>
      </c>
      <c r="I16" s="45" t="s">
        <v>465</v>
      </c>
      <c r="J16" s="45" t="s">
        <v>98</v>
      </c>
      <c r="K16" s="45" t="s">
        <v>466</v>
      </c>
      <c r="L16" s="45"/>
      <c r="M16" s="45"/>
      <c r="N16" s="45">
        <v>1</v>
      </c>
      <c r="O16" s="45"/>
      <c r="P16" s="45">
        <v>14.800000190734799</v>
      </c>
      <c r="Q16" s="45" t="s">
        <v>276</v>
      </c>
      <c r="R16" s="44" t="s">
        <v>276</v>
      </c>
    </row>
    <row r="17" spans="1:18">
      <c r="A17" s="45" t="s">
        <v>559</v>
      </c>
      <c r="B17" s="45" t="s">
        <v>2</v>
      </c>
      <c r="C17" s="45" t="s">
        <v>265</v>
      </c>
      <c r="D17" s="45" t="s">
        <v>560</v>
      </c>
      <c r="E17" s="45" t="s">
        <v>561</v>
      </c>
      <c r="F17" s="45">
        <v>13.25</v>
      </c>
      <c r="G17" s="45">
        <v>2</v>
      </c>
      <c r="H17" s="45">
        <v>6700</v>
      </c>
      <c r="I17" s="45" t="s">
        <v>436</v>
      </c>
      <c r="J17" s="45" t="s">
        <v>41</v>
      </c>
      <c r="K17" s="45" t="s">
        <v>3</v>
      </c>
      <c r="L17" s="45"/>
      <c r="M17" s="45"/>
      <c r="N17" s="45">
        <v>1</v>
      </c>
      <c r="O17" s="45"/>
      <c r="P17" s="45">
        <v>13.25</v>
      </c>
      <c r="Q17" s="45" t="s">
        <v>276</v>
      </c>
      <c r="R17" s="44" t="s">
        <v>276</v>
      </c>
    </row>
    <row r="18" spans="1:18">
      <c r="A18" s="45" t="s">
        <v>562</v>
      </c>
      <c r="B18" s="45" t="s">
        <v>2</v>
      </c>
      <c r="C18" s="45" t="s">
        <v>304</v>
      </c>
      <c r="D18" s="45" t="s">
        <v>110</v>
      </c>
      <c r="E18" s="45" t="s">
        <v>240</v>
      </c>
      <c r="F18" s="45">
        <v>12.6000003814697</v>
      </c>
      <c r="G18" s="45">
        <v>2</v>
      </c>
      <c r="H18" s="45">
        <v>6600</v>
      </c>
      <c r="I18" s="45" t="s">
        <v>453</v>
      </c>
      <c r="J18" s="45" t="s">
        <v>11</v>
      </c>
      <c r="K18" s="45" t="s">
        <v>9</v>
      </c>
      <c r="L18" s="45"/>
      <c r="M18" s="45"/>
      <c r="N18" s="45">
        <v>1</v>
      </c>
      <c r="O18" s="45"/>
      <c r="P18" s="45">
        <v>12.6000003814697</v>
      </c>
      <c r="Q18" s="45" t="s">
        <v>276</v>
      </c>
      <c r="R18" s="44" t="s">
        <v>276</v>
      </c>
    </row>
    <row r="19" spans="1:18">
      <c r="A19" s="45" t="s">
        <v>563</v>
      </c>
      <c r="B19" s="45" t="s">
        <v>2</v>
      </c>
      <c r="C19" s="45" t="s">
        <v>283</v>
      </c>
      <c r="D19" s="45" t="s">
        <v>64</v>
      </c>
      <c r="E19" s="45" t="s">
        <v>284</v>
      </c>
      <c r="F19" s="45">
        <v>11.399999618530201</v>
      </c>
      <c r="G19" s="45">
        <v>2</v>
      </c>
      <c r="H19" s="45">
        <v>6500</v>
      </c>
      <c r="I19" s="45" t="s">
        <v>430</v>
      </c>
      <c r="J19" s="45" t="s">
        <v>43</v>
      </c>
      <c r="K19" s="45" t="s">
        <v>97</v>
      </c>
      <c r="L19" s="45"/>
      <c r="M19" s="45"/>
      <c r="N19" s="45">
        <v>1</v>
      </c>
      <c r="O19" s="45"/>
      <c r="P19" s="45">
        <v>11.399999618530201</v>
      </c>
      <c r="Q19" s="45" t="s">
        <v>276</v>
      </c>
      <c r="R19" s="44" t="s">
        <v>276</v>
      </c>
    </row>
    <row r="20" spans="1:18">
      <c r="A20" s="45" t="s">
        <v>564</v>
      </c>
      <c r="B20" s="45" t="s">
        <v>2</v>
      </c>
      <c r="C20" s="45" t="s">
        <v>302</v>
      </c>
      <c r="D20" s="45" t="s">
        <v>111</v>
      </c>
      <c r="E20" s="45" t="s">
        <v>303</v>
      </c>
      <c r="F20" s="45">
        <v>8.1499996185302699</v>
      </c>
      <c r="G20" s="45">
        <v>2</v>
      </c>
      <c r="H20" s="45">
        <v>6400</v>
      </c>
      <c r="I20" s="45" t="s">
        <v>432</v>
      </c>
      <c r="J20" s="45" t="s">
        <v>95</v>
      </c>
      <c r="K20" s="45" t="s">
        <v>96</v>
      </c>
      <c r="L20" s="45"/>
      <c r="M20" s="45"/>
      <c r="N20" s="45">
        <v>1</v>
      </c>
      <c r="O20" s="45"/>
      <c r="P20" s="45">
        <v>8.1499996185302699</v>
      </c>
      <c r="Q20" s="45" t="s">
        <v>276</v>
      </c>
      <c r="R20" s="44" t="s">
        <v>276</v>
      </c>
    </row>
    <row r="21" spans="1:18">
      <c r="A21" s="45" t="s">
        <v>565</v>
      </c>
      <c r="B21" s="45" t="s">
        <v>2</v>
      </c>
      <c r="C21" s="45" t="s">
        <v>290</v>
      </c>
      <c r="D21" s="45" t="s">
        <v>20</v>
      </c>
      <c r="E21" s="45" t="s">
        <v>291</v>
      </c>
      <c r="F21" s="45">
        <v>5.5999999046325604</v>
      </c>
      <c r="G21" s="45">
        <v>2</v>
      </c>
      <c r="H21" s="45">
        <v>6300</v>
      </c>
      <c r="I21" s="45" t="s">
        <v>470</v>
      </c>
      <c r="J21" s="45" t="s">
        <v>39</v>
      </c>
      <c r="K21" s="45" t="s">
        <v>12</v>
      </c>
      <c r="L21" s="45"/>
      <c r="M21" s="45"/>
      <c r="N21" s="45">
        <v>1</v>
      </c>
      <c r="O21" s="45"/>
      <c r="P21" s="45">
        <v>5.5999999046325604</v>
      </c>
      <c r="Q21" s="45" t="s">
        <v>276</v>
      </c>
      <c r="R21" s="44" t="s">
        <v>276</v>
      </c>
    </row>
    <row r="22" spans="1:18">
      <c r="A22" s="45" t="s">
        <v>566</v>
      </c>
      <c r="B22" s="45" t="s">
        <v>2</v>
      </c>
      <c r="C22" s="45" t="s">
        <v>306</v>
      </c>
      <c r="D22" s="45" t="s">
        <v>66</v>
      </c>
      <c r="E22" s="45" t="s">
        <v>272</v>
      </c>
      <c r="F22" s="45">
        <v>4.4499998092651296</v>
      </c>
      <c r="G22" s="45">
        <v>2</v>
      </c>
      <c r="H22" s="45">
        <v>6000</v>
      </c>
      <c r="I22" s="45" t="s">
        <v>428</v>
      </c>
      <c r="J22" s="45" t="s">
        <v>47</v>
      </c>
      <c r="K22" s="45" t="s">
        <v>15</v>
      </c>
      <c r="L22" s="45"/>
      <c r="M22" s="45"/>
      <c r="N22" s="45">
        <v>1</v>
      </c>
      <c r="O22" s="45"/>
      <c r="P22" s="45">
        <v>4.4499998092651296</v>
      </c>
      <c r="Q22" s="45" t="s">
        <v>276</v>
      </c>
      <c r="R22" s="44" t="s">
        <v>276</v>
      </c>
    </row>
    <row r="23" spans="1:18">
      <c r="A23" s="45" t="s">
        <v>567</v>
      </c>
      <c r="B23" s="45" t="s">
        <v>2</v>
      </c>
      <c r="C23" s="45" t="s">
        <v>287</v>
      </c>
      <c r="D23" s="45" t="s">
        <v>68</v>
      </c>
      <c r="E23" s="45" t="s">
        <v>288</v>
      </c>
      <c r="F23" s="45">
        <v>10.6000003814697</v>
      </c>
      <c r="G23" s="45">
        <v>2</v>
      </c>
      <c r="H23" s="45">
        <v>6000</v>
      </c>
      <c r="I23" s="45" t="s">
        <v>430</v>
      </c>
      <c r="J23" s="45" t="s">
        <v>97</v>
      </c>
      <c r="K23" s="45" t="s">
        <v>43</v>
      </c>
      <c r="L23" s="45"/>
      <c r="M23" s="45"/>
      <c r="N23" s="45">
        <v>1</v>
      </c>
      <c r="O23" s="45"/>
      <c r="P23" s="45">
        <v>10.6000003814697</v>
      </c>
      <c r="Q23" s="45" t="s">
        <v>276</v>
      </c>
      <c r="R23" s="44" t="s">
        <v>276</v>
      </c>
    </row>
    <row r="24" spans="1:18">
      <c r="A24" s="45" t="s">
        <v>568</v>
      </c>
      <c r="B24" s="45" t="s">
        <v>2</v>
      </c>
      <c r="C24" s="45" t="s">
        <v>301</v>
      </c>
      <c r="D24" s="45" t="s">
        <v>113</v>
      </c>
      <c r="E24" s="45" t="s">
        <v>256</v>
      </c>
      <c r="F24" s="45">
        <v>5.9000000953674299</v>
      </c>
      <c r="G24" s="45">
        <v>2</v>
      </c>
      <c r="H24" s="45">
        <v>5900</v>
      </c>
      <c r="I24" s="45" t="s">
        <v>434</v>
      </c>
      <c r="J24" s="45" t="s">
        <v>99</v>
      </c>
      <c r="K24" s="45" t="s">
        <v>40</v>
      </c>
      <c r="L24" s="45"/>
      <c r="M24" s="45"/>
      <c r="N24" s="45">
        <v>1</v>
      </c>
      <c r="O24" s="45"/>
      <c r="P24" s="45">
        <v>5.9000000953674299</v>
      </c>
      <c r="Q24" s="45" t="s">
        <v>276</v>
      </c>
      <c r="R24" s="44" t="s">
        <v>276</v>
      </c>
    </row>
    <row r="25" spans="1:18">
      <c r="A25" s="45" t="s">
        <v>569</v>
      </c>
      <c r="B25" s="45" t="s">
        <v>2</v>
      </c>
      <c r="C25" s="45" t="s">
        <v>281</v>
      </c>
      <c r="D25" s="45" t="s">
        <v>67</v>
      </c>
      <c r="E25" s="45" t="s">
        <v>282</v>
      </c>
      <c r="F25" s="45">
        <v>5.5</v>
      </c>
      <c r="G25" s="45">
        <v>2</v>
      </c>
      <c r="H25" s="45">
        <v>5800</v>
      </c>
      <c r="I25" s="45" t="s">
        <v>428</v>
      </c>
      <c r="J25" s="45" t="s">
        <v>15</v>
      </c>
      <c r="K25" s="45" t="s">
        <v>47</v>
      </c>
      <c r="L25" s="45"/>
      <c r="M25" s="45"/>
      <c r="N25" s="45">
        <v>1</v>
      </c>
      <c r="O25" s="45"/>
      <c r="P25" s="45">
        <v>5.5</v>
      </c>
      <c r="Q25" s="45" t="s">
        <v>276</v>
      </c>
      <c r="R25" s="44" t="s">
        <v>276</v>
      </c>
    </row>
    <row r="26" spans="1:18">
      <c r="A26" s="45" t="s">
        <v>570</v>
      </c>
      <c r="B26" s="45" t="s">
        <v>2</v>
      </c>
      <c r="C26" s="45" t="s">
        <v>571</v>
      </c>
      <c r="D26" s="45" t="s">
        <v>572</v>
      </c>
      <c r="E26" s="45" t="s">
        <v>573</v>
      </c>
      <c r="F26" s="45">
        <v>0.34999999403953502</v>
      </c>
      <c r="G26" s="45">
        <v>2</v>
      </c>
      <c r="H26" s="45">
        <v>5200</v>
      </c>
      <c r="I26" s="45" t="s">
        <v>441</v>
      </c>
      <c r="J26" s="45" t="s">
        <v>442</v>
      </c>
      <c r="K26" s="45" t="s">
        <v>10</v>
      </c>
      <c r="L26" s="45"/>
      <c r="M26" s="45"/>
      <c r="N26" s="45">
        <v>1</v>
      </c>
      <c r="O26" s="45"/>
      <c r="P26" s="45">
        <v>0.34999999403953502</v>
      </c>
      <c r="Q26" s="45" t="s">
        <v>276</v>
      </c>
      <c r="R26" s="44" t="s">
        <v>276</v>
      </c>
    </row>
    <row r="27" spans="1:18">
      <c r="A27" s="45" t="s">
        <v>574</v>
      </c>
      <c r="B27" s="45" t="s">
        <v>2</v>
      </c>
      <c r="C27" s="45" t="s">
        <v>575</v>
      </c>
      <c r="D27" s="45" t="s">
        <v>576</v>
      </c>
      <c r="E27" s="45" t="s">
        <v>577</v>
      </c>
      <c r="F27" s="45">
        <v>2.0499999523162802</v>
      </c>
      <c r="G27" s="45">
        <v>2</v>
      </c>
      <c r="H27" s="45">
        <v>4500</v>
      </c>
      <c r="I27" s="45" t="s">
        <v>453</v>
      </c>
      <c r="J27" s="45" t="s">
        <v>9</v>
      </c>
      <c r="K27" s="45" t="s">
        <v>11</v>
      </c>
      <c r="L27" s="45"/>
      <c r="M27" s="45"/>
      <c r="N27" s="45">
        <v>1</v>
      </c>
      <c r="O27" s="45"/>
      <c r="P27" s="45">
        <v>2.0499999523162802</v>
      </c>
      <c r="Q27" s="45" t="s">
        <v>276</v>
      </c>
      <c r="R27" s="44" t="s">
        <v>276</v>
      </c>
    </row>
    <row r="28" spans="1:18">
      <c r="A28" s="38" t="s">
        <v>305</v>
      </c>
      <c r="B28" s="38" t="s">
        <v>2</v>
      </c>
      <c r="C28" s="38" t="s">
        <v>306</v>
      </c>
      <c r="D28" s="38" t="s">
        <v>66</v>
      </c>
      <c r="E28" s="38" t="s">
        <v>272</v>
      </c>
      <c r="F28" s="38">
        <v>4.7428572520000003</v>
      </c>
      <c r="G28" s="38">
        <v>14</v>
      </c>
      <c r="H28" s="38">
        <v>6400</v>
      </c>
      <c r="I28" s="38" t="s">
        <v>172</v>
      </c>
      <c r="J28" s="38" t="s">
        <v>47</v>
      </c>
      <c r="K28" s="38" t="s">
        <v>96</v>
      </c>
      <c r="L28" s="38"/>
      <c r="M28" s="38"/>
      <c r="N28" s="38">
        <v>1</v>
      </c>
      <c r="O28" s="38"/>
      <c r="P28" s="38">
        <v>1.9</v>
      </c>
      <c r="Q28" s="38" t="s">
        <v>276</v>
      </c>
    </row>
    <row r="29" spans="1:18">
      <c r="A29" s="38" t="s">
        <v>307</v>
      </c>
      <c r="B29" s="38" t="s">
        <v>2</v>
      </c>
      <c r="C29" s="38" t="s">
        <v>308</v>
      </c>
      <c r="D29" s="38" t="s">
        <v>19</v>
      </c>
      <c r="E29" s="38" t="s">
        <v>309</v>
      </c>
      <c r="F29" s="38">
        <v>12.78235312</v>
      </c>
      <c r="G29" s="38">
        <v>17</v>
      </c>
      <c r="H29" s="38">
        <v>8800</v>
      </c>
      <c r="I29" s="38" t="s">
        <v>179</v>
      </c>
      <c r="J29" s="38" t="s">
        <v>10</v>
      </c>
      <c r="K29" s="38" t="s">
        <v>95</v>
      </c>
      <c r="L29" s="38"/>
      <c r="M29" s="38"/>
      <c r="N29" s="38">
        <v>1</v>
      </c>
      <c r="O29" s="38"/>
      <c r="P29" s="38">
        <v>1.4</v>
      </c>
      <c r="Q29" s="38" t="s">
        <v>276</v>
      </c>
    </row>
    <row r="30" spans="1:18">
      <c r="B30" s="16"/>
      <c r="C30" s="18"/>
      <c r="D30" s="17"/>
      <c r="E30" s="11"/>
    </row>
    <row r="31" spans="1:18">
      <c r="B31" s="16"/>
      <c r="C31" s="18"/>
      <c r="D31" s="17"/>
      <c r="E31" s="11"/>
    </row>
    <row r="32" spans="1:18">
      <c r="B32" s="16"/>
      <c r="C32" s="18"/>
      <c r="D32" s="17"/>
      <c r="E32" s="11"/>
    </row>
    <row r="33" spans="2:5">
      <c r="B33" s="16"/>
      <c r="C33" s="18"/>
      <c r="D33" s="17"/>
      <c r="E33" s="11"/>
    </row>
    <row r="34" spans="2:5">
      <c r="B34" s="16"/>
      <c r="C34" s="18"/>
      <c r="D34" s="17"/>
      <c r="E34" s="11"/>
    </row>
    <row r="35" spans="2:5">
      <c r="B35" s="16"/>
      <c r="C35" s="18"/>
      <c r="D35" s="17"/>
      <c r="E35" s="11"/>
    </row>
    <row r="36" spans="2:5">
      <c r="B36" s="16"/>
      <c r="C36" s="18"/>
      <c r="D36" s="17"/>
      <c r="E36" s="11"/>
    </row>
    <row r="37" spans="2:5">
      <c r="B37" s="16"/>
      <c r="C37" s="18"/>
      <c r="D37" s="17"/>
      <c r="E37" s="11"/>
    </row>
    <row r="38" spans="2:5">
      <c r="B38" s="16"/>
      <c r="C38" s="18"/>
      <c r="D38" s="17"/>
      <c r="E38" s="11"/>
    </row>
    <row r="39" spans="2:5">
      <c r="B39" s="16"/>
      <c r="C39" s="18"/>
      <c r="D39" s="17"/>
      <c r="E39" s="11"/>
    </row>
    <row r="40" spans="2:5">
      <c r="B40" s="16"/>
      <c r="C40" s="18"/>
      <c r="D40" s="17"/>
      <c r="E40" s="11"/>
    </row>
    <row r="41" spans="2:5">
      <c r="B41" s="16"/>
      <c r="C41" s="18"/>
      <c r="D41" s="17"/>
      <c r="E41" s="11"/>
    </row>
    <row r="42" spans="2:5">
      <c r="B42" s="16"/>
      <c r="C42" s="18"/>
      <c r="D42" s="17"/>
      <c r="E42" s="11"/>
    </row>
    <row r="43" spans="2:5">
      <c r="B43" s="16"/>
      <c r="C43" s="18"/>
      <c r="D43" s="17"/>
      <c r="E43" s="11"/>
    </row>
    <row r="44" spans="2:5">
      <c r="B44" s="16"/>
      <c r="C44" s="18"/>
      <c r="D44" s="17"/>
      <c r="E44" s="11"/>
    </row>
    <row r="45" spans="2:5">
      <c r="B45" s="16"/>
      <c r="C45" s="18"/>
      <c r="D45" s="17"/>
      <c r="E45" s="11"/>
    </row>
    <row r="46" spans="2:5">
      <c r="B46" s="16"/>
      <c r="C46" s="18"/>
      <c r="D46" s="17"/>
      <c r="E46" s="11"/>
    </row>
    <row r="47" spans="2:5">
      <c r="B47" s="16"/>
      <c r="C47" s="18"/>
      <c r="D47" s="17"/>
      <c r="E47" s="11"/>
    </row>
    <row r="48" spans="2:5">
      <c r="B48" s="16"/>
      <c r="C48" s="18"/>
      <c r="D48" s="17"/>
      <c r="E48" s="11"/>
    </row>
    <row r="49" spans="2:5">
      <c r="B49" s="16"/>
      <c r="C49" s="18"/>
      <c r="D49" s="17"/>
      <c r="E49" s="11"/>
    </row>
    <row r="50" spans="2:5">
      <c r="B50" s="16"/>
      <c r="C50" s="18"/>
      <c r="D50" s="17"/>
      <c r="E50" s="11"/>
    </row>
    <row r="51" spans="2:5">
      <c r="B51" s="16"/>
      <c r="C51" s="18"/>
      <c r="D51" s="17"/>
      <c r="E51" s="11"/>
    </row>
    <row r="52" spans="2:5">
      <c r="B52" s="16"/>
      <c r="C52" s="18"/>
      <c r="D52" s="17"/>
      <c r="E52" s="11"/>
    </row>
    <row r="53" spans="2:5">
      <c r="B53" s="16"/>
      <c r="C53" s="18"/>
      <c r="D53" s="17"/>
      <c r="E53" s="11"/>
    </row>
    <row r="54" spans="2:5">
      <c r="B54" s="16"/>
      <c r="C54" s="18"/>
      <c r="D54" s="17"/>
      <c r="E54" s="11"/>
    </row>
    <row r="55" spans="2:5">
      <c r="B55" s="16"/>
      <c r="C55" s="18"/>
      <c r="D55" s="17"/>
      <c r="E55" s="11"/>
    </row>
    <row r="56" spans="2:5">
      <c r="B56" s="16"/>
      <c r="C56" s="18"/>
      <c r="D56" s="17"/>
      <c r="E56" s="11"/>
    </row>
    <row r="57" spans="2:5">
      <c r="B57" s="16"/>
      <c r="C57" s="18"/>
      <c r="D57" s="17"/>
      <c r="E57" s="11"/>
    </row>
    <row r="58" spans="2:5">
      <c r="B58" s="16"/>
      <c r="C58" s="18"/>
      <c r="D58" s="17"/>
      <c r="E58" s="11"/>
    </row>
    <row r="59" spans="2:5">
      <c r="B59" s="16"/>
      <c r="C59" s="18"/>
      <c r="D59" s="17"/>
      <c r="E59" s="11"/>
    </row>
    <row r="60" spans="2:5">
      <c r="B60" s="16"/>
      <c r="C60" s="18"/>
      <c r="D60" s="17"/>
      <c r="E60" s="11"/>
    </row>
    <row r="61" spans="2:5">
      <c r="B61" s="16"/>
      <c r="C61" s="18"/>
      <c r="D61" s="17"/>
      <c r="E61" s="11"/>
    </row>
    <row r="62" spans="2:5">
      <c r="B62" s="16"/>
      <c r="C62" s="18"/>
      <c r="D62" s="17"/>
      <c r="E62" s="11"/>
    </row>
    <row r="63" spans="2:5">
      <c r="B63" s="16"/>
      <c r="C63" s="18"/>
      <c r="D63" s="17"/>
      <c r="E63" s="11"/>
    </row>
    <row r="64" spans="2:5">
      <c r="B64" s="16"/>
      <c r="C64" s="18"/>
      <c r="D64" s="17"/>
      <c r="E64" s="11"/>
    </row>
    <row r="65" spans="2:5">
      <c r="B65" s="16"/>
      <c r="C65" s="18"/>
      <c r="D65" s="17"/>
      <c r="E65" s="11"/>
    </row>
    <row r="66" spans="2:5">
      <c r="B66" s="16"/>
      <c r="C66" s="18"/>
      <c r="D66" s="17"/>
      <c r="E66" s="11"/>
    </row>
    <row r="67" spans="2:5">
      <c r="B67" s="16"/>
      <c r="C67" s="18"/>
      <c r="D67" s="17"/>
      <c r="E67" s="11"/>
    </row>
    <row r="68" spans="2:5">
      <c r="B68" s="16"/>
      <c r="C68" s="18"/>
      <c r="D68" s="17"/>
      <c r="E68" s="11"/>
    </row>
    <row r="69" spans="2:5">
      <c r="B69" s="16"/>
      <c r="C69" s="18"/>
      <c r="D69" s="17"/>
      <c r="E69" s="11"/>
    </row>
    <row r="70" spans="2:5">
      <c r="B70" s="16"/>
      <c r="C70" s="18"/>
      <c r="D70" s="17"/>
      <c r="E70" s="11"/>
    </row>
    <row r="71" spans="2:5">
      <c r="B71" s="16"/>
      <c r="C71" s="18"/>
      <c r="D71" s="17"/>
    </row>
    <row r="72" spans="2:5">
      <c r="B72" s="16"/>
      <c r="C72" s="18"/>
      <c r="D72" s="17"/>
    </row>
    <row r="73" spans="2:5">
      <c r="B73" s="16"/>
      <c r="C73" s="18"/>
      <c r="D73" s="17"/>
    </row>
    <row r="74" spans="2:5">
      <c r="B74" s="16"/>
      <c r="C74" s="18"/>
      <c r="D74" s="17"/>
    </row>
    <row r="75" spans="2:5">
      <c r="B75" s="16"/>
      <c r="C75" s="18"/>
      <c r="D75" s="17"/>
    </row>
    <row r="76" spans="2:5">
      <c r="B76" s="16"/>
      <c r="C76" s="18"/>
      <c r="D76" s="17"/>
    </row>
    <row r="77" spans="2:5">
      <c r="B77" s="16"/>
      <c r="C77" s="18"/>
      <c r="D77" s="17"/>
    </row>
    <row r="78" spans="2:5">
      <c r="B78" s="16"/>
      <c r="C78" s="18"/>
      <c r="D78" s="17"/>
    </row>
    <row r="79" spans="2:5">
      <c r="B79" s="16"/>
      <c r="C79" s="18"/>
      <c r="D79" s="17"/>
    </row>
    <row r="80" spans="2:5">
      <c r="B80" s="16"/>
      <c r="C80" s="18"/>
      <c r="D80" s="17"/>
    </row>
    <row r="81" spans="2:4">
      <c r="B81" s="16"/>
      <c r="C81" s="18"/>
      <c r="D81" s="17"/>
    </row>
    <row r="82" spans="2:4">
      <c r="B82" s="16"/>
      <c r="C82" s="18"/>
      <c r="D82" s="17"/>
    </row>
    <row r="83" spans="2:4">
      <c r="B83" s="16"/>
      <c r="C83" s="18"/>
      <c r="D83" s="17"/>
    </row>
    <row r="84" spans="2:4">
      <c r="B84" s="16"/>
      <c r="C84" s="18"/>
      <c r="D84" s="17"/>
    </row>
    <row r="85" spans="2:4">
      <c r="B85" s="16"/>
      <c r="C85" s="18"/>
      <c r="D85" s="17"/>
    </row>
    <row r="86" spans="2:4">
      <c r="B86" s="16"/>
      <c r="C86" s="18"/>
      <c r="D86" s="17"/>
    </row>
    <row r="87" spans="2:4">
      <c r="B87" s="16"/>
      <c r="C87" s="18"/>
      <c r="D87" s="17"/>
    </row>
    <row r="88" spans="2:4">
      <c r="B88" s="16"/>
      <c r="C88" s="18"/>
      <c r="D88" s="17"/>
    </row>
    <row r="89" spans="2:4">
      <c r="B89" s="16"/>
      <c r="C89" s="18"/>
      <c r="D89" s="17"/>
    </row>
    <row r="90" spans="2:4">
      <c r="B90" s="16"/>
      <c r="C90" s="18"/>
      <c r="D90" s="17"/>
    </row>
    <row r="91" spans="2:4">
      <c r="B91" s="16"/>
      <c r="C91" s="18"/>
      <c r="D91" s="17"/>
    </row>
    <row r="92" spans="2:4">
      <c r="B92" s="16"/>
      <c r="C92" s="18"/>
      <c r="D92" s="17"/>
    </row>
    <row r="93" spans="2:4">
      <c r="B93" s="16"/>
      <c r="C93" s="18"/>
      <c r="D93" s="17"/>
    </row>
    <row r="94" spans="2:4">
      <c r="B94" s="16"/>
      <c r="C94" s="18"/>
      <c r="D94" s="17"/>
    </row>
    <row r="95" spans="2:4">
      <c r="B95" s="16"/>
      <c r="C95" s="18"/>
      <c r="D95" s="17"/>
    </row>
    <row r="96" spans="2:4">
      <c r="B96" s="16"/>
      <c r="C96" s="18"/>
      <c r="D96" s="17"/>
    </row>
    <row r="97" spans="2:4">
      <c r="B97" s="16"/>
      <c r="C97" s="18"/>
      <c r="D97" s="17"/>
    </row>
    <row r="98" spans="2:4">
      <c r="B98" s="16"/>
      <c r="C98" s="18"/>
      <c r="D98" s="17"/>
    </row>
    <row r="99" spans="2:4">
      <c r="B99" s="16"/>
      <c r="C99" s="18"/>
      <c r="D99" s="17"/>
    </row>
    <row r="100" spans="2:4">
      <c r="B100" s="16"/>
      <c r="C100" s="18"/>
      <c r="D100" s="17"/>
    </row>
    <row r="101" spans="2:4">
      <c r="B101" s="16"/>
      <c r="C101" s="18"/>
      <c r="D101" s="17"/>
    </row>
    <row r="102" spans="2:4">
      <c r="B102" s="16"/>
      <c r="C102" s="18"/>
      <c r="D102" s="17"/>
    </row>
    <row r="103" spans="2:4">
      <c r="B103" s="16"/>
      <c r="C103" s="18"/>
      <c r="D103" s="17"/>
    </row>
    <row r="104" spans="2:4">
      <c r="B104" s="16"/>
      <c r="C104" s="18"/>
      <c r="D104" s="17"/>
    </row>
    <row r="105" spans="2:4">
      <c r="B105" s="16"/>
      <c r="C105" s="18"/>
      <c r="D105" s="17"/>
    </row>
    <row r="106" spans="2:4">
      <c r="B106" s="16"/>
      <c r="C106" s="18"/>
      <c r="D106" s="17"/>
    </row>
    <row r="107" spans="2:4">
      <c r="B107" s="16"/>
      <c r="C107" s="18"/>
      <c r="D107" s="17"/>
    </row>
    <row r="108" spans="2:4">
      <c r="B108" s="16"/>
      <c r="C108" s="18"/>
      <c r="D108" s="17"/>
    </row>
    <row r="109" spans="2:4">
      <c r="B109" s="16"/>
      <c r="C109" s="18"/>
      <c r="D109" s="17"/>
    </row>
    <row r="110" spans="2:4">
      <c r="B110" s="16"/>
      <c r="C110" s="18"/>
      <c r="D110" s="17"/>
    </row>
    <row r="111" spans="2:4">
      <c r="B111" s="16"/>
      <c r="C111" s="18"/>
      <c r="D111" s="17"/>
    </row>
    <row r="112" spans="2:4">
      <c r="B112" s="16"/>
      <c r="C112" s="18"/>
      <c r="D112" s="17"/>
    </row>
    <row r="113" spans="2:5">
      <c r="B113" s="16"/>
      <c r="C113" s="18"/>
      <c r="D113" s="17"/>
    </row>
    <row r="114" spans="2:5">
      <c r="B114" s="16"/>
      <c r="C114" s="18"/>
      <c r="D114" s="17"/>
    </row>
    <row r="115" spans="2:5">
      <c r="B115" s="16"/>
      <c r="C115" s="18"/>
      <c r="D115" s="17"/>
    </row>
    <row r="116" spans="2:5">
      <c r="B116" s="16"/>
      <c r="C116" s="18"/>
      <c r="D116" s="17"/>
    </row>
    <row r="117" spans="2:5">
      <c r="B117" s="16"/>
      <c r="C117" s="18"/>
      <c r="D117" s="17"/>
    </row>
    <row r="118" spans="2:5">
      <c r="B118" s="16"/>
      <c r="C118" s="18"/>
      <c r="D118" s="17"/>
    </row>
    <row r="119" spans="2:5">
      <c r="B119" s="16"/>
      <c r="C119" s="18"/>
      <c r="D119" s="17"/>
      <c r="E119" s="11"/>
    </row>
    <row r="120" spans="2:5">
      <c r="B120" s="16"/>
      <c r="C120" s="18"/>
      <c r="D120" s="17"/>
      <c r="E120" s="11"/>
    </row>
    <row r="121" spans="2:5">
      <c r="B121" s="16"/>
      <c r="C121" s="18"/>
      <c r="D121" s="17"/>
      <c r="E121" s="11"/>
    </row>
    <row r="122" spans="2:5">
      <c r="B122" s="16"/>
      <c r="C122" s="18"/>
      <c r="D122" s="17"/>
      <c r="E122" s="11"/>
    </row>
    <row r="123" spans="2:5">
      <c r="B123" s="16"/>
      <c r="C123" s="18"/>
      <c r="D123" s="17"/>
      <c r="E123" s="11"/>
    </row>
    <row r="124" spans="2:5">
      <c r="B124" s="16"/>
      <c r="C124" s="18"/>
      <c r="D124" s="17"/>
      <c r="E124" s="11"/>
    </row>
    <row r="125" spans="2:5">
      <c r="B125" s="16"/>
      <c r="C125" s="18"/>
      <c r="D125" s="17"/>
      <c r="E125" s="11"/>
    </row>
    <row r="126" spans="2:5">
      <c r="B126" s="16"/>
      <c r="C126" s="18"/>
      <c r="D126" s="17"/>
      <c r="E126" s="11"/>
    </row>
    <row r="127" spans="2:5">
      <c r="B127" s="16"/>
      <c r="C127" s="18"/>
      <c r="D127" s="17"/>
      <c r="E127" s="11"/>
    </row>
    <row r="128" spans="2:5">
      <c r="B128" s="16"/>
      <c r="C128" s="18"/>
      <c r="D128" s="17"/>
      <c r="E128" s="11"/>
    </row>
    <row r="129" spans="2:5">
      <c r="B129" s="16"/>
      <c r="C129" s="18"/>
      <c r="D129" s="17"/>
      <c r="E129" s="11"/>
    </row>
    <row r="130" spans="2:5">
      <c r="B130" s="16"/>
      <c r="C130" s="18"/>
      <c r="D130" s="17"/>
      <c r="E130" s="11"/>
    </row>
    <row r="131" spans="2:5">
      <c r="B131" s="16"/>
      <c r="C131" s="18"/>
      <c r="D131" s="17"/>
      <c r="E131" s="11"/>
    </row>
    <row r="132" spans="2:5">
      <c r="B132" s="16"/>
      <c r="C132" s="18"/>
      <c r="D132" s="17"/>
      <c r="E132" s="11"/>
    </row>
    <row r="133" spans="2:5">
      <c r="B133" s="16"/>
      <c r="C133" s="18"/>
      <c r="D133" s="17"/>
      <c r="E133" s="11"/>
    </row>
    <row r="134" spans="2:5">
      <c r="B134" s="16"/>
      <c r="C134" s="18"/>
      <c r="D134" s="17"/>
      <c r="E134" s="11"/>
    </row>
    <row r="135" spans="2:5">
      <c r="B135" s="16"/>
      <c r="C135" s="18"/>
      <c r="D135" s="17"/>
      <c r="E135" s="11"/>
    </row>
    <row r="136" spans="2:5">
      <c r="B136" s="16"/>
      <c r="C136" s="18"/>
      <c r="D136" s="17"/>
      <c r="E136" s="11"/>
    </row>
    <row r="137" spans="2:5">
      <c r="B137" s="16"/>
      <c r="C137" s="18"/>
      <c r="D137" s="17"/>
      <c r="E137" s="11"/>
    </row>
    <row r="138" spans="2:5">
      <c r="B138" s="16"/>
      <c r="C138" s="18"/>
      <c r="D138" s="17"/>
      <c r="E138" s="11"/>
    </row>
    <row r="139" spans="2:5">
      <c r="B139" s="16"/>
      <c r="C139" s="18"/>
      <c r="D139" s="17"/>
      <c r="E139" s="11"/>
    </row>
    <row r="140" spans="2:5">
      <c r="B140" s="16"/>
      <c r="C140" s="18"/>
      <c r="D140" s="17"/>
      <c r="E140" s="11"/>
    </row>
    <row r="141" spans="2:5">
      <c r="B141" s="16"/>
      <c r="C141" s="18"/>
      <c r="D141" s="17"/>
      <c r="E141" s="11"/>
    </row>
    <row r="142" spans="2:5">
      <c r="B142" s="16"/>
      <c r="C142" s="18"/>
      <c r="D142" s="17"/>
      <c r="E142" s="11"/>
    </row>
    <row r="143" spans="2:5">
      <c r="B143" s="16"/>
      <c r="C143" s="18"/>
      <c r="D143" s="17"/>
      <c r="E143" s="11"/>
    </row>
    <row r="144" spans="2:5">
      <c r="B144" s="16"/>
      <c r="C144" s="18"/>
      <c r="D144" s="17"/>
      <c r="E144" s="11"/>
    </row>
    <row r="145" spans="2:5">
      <c r="B145" s="16"/>
      <c r="C145" s="18"/>
      <c r="D145" s="17"/>
      <c r="E145" s="11"/>
    </row>
    <row r="146" spans="2:5">
      <c r="B146" s="16"/>
      <c r="C146" s="18"/>
      <c r="D146" s="17"/>
      <c r="E146" s="11"/>
    </row>
    <row r="147" spans="2:5">
      <c r="B147" s="16"/>
      <c r="C147" s="18"/>
      <c r="D147" s="17"/>
      <c r="E147" s="11"/>
    </row>
    <row r="148" spans="2:5">
      <c r="B148" s="16"/>
      <c r="C148" s="18"/>
      <c r="D148" s="17"/>
      <c r="E148" s="11"/>
    </row>
    <row r="149" spans="2:5">
      <c r="B149" s="16"/>
      <c r="C149" s="18"/>
      <c r="D149" s="17"/>
      <c r="E149" s="11"/>
    </row>
    <row r="150" spans="2:5">
      <c r="B150" s="16"/>
      <c r="C150" s="18"/>
      <c r="D150" s="17"/>
      <c r="E150" s="11"/>
    </row>
    <row r="151" spans="2:5">
      <c r="B151" s="16"/>
      <c r="C151" s="18"/>
      <c r="D151" s="17"/>
      <c r="E151" s="11"/>
    </row>
    <row r="152" spans="2:5">
      <c r="B152" s="16"/>
      <c r="C152" s="18"/>
      <c r="D152" s="17"/>
      <c r="E152" s="11"/>
    </row>
    <row r="153" spans="2:5">
      <c r="B153" s="16"/>
      <c r="C153" s="18"/>
      <c r="D153" s="17"/>
      <c r="E153" s="11"/>
    </row>
    <row r="154" spans="2:5">
      <c r="B154" s="16"/>
      <c r="C154" s="18"/>
      <c r="D154" s="17"/>
      <c r="E154" s="11"/>
    </row>
    <row r="155" spans="2:5">
      <c r="B155" s="16"/>
      <c r="C155" s="18"/>
      <c r="D155" s="17"/>
      <c r="E155" s="11"/>
    </row>
    <row r="156" spans="2:5">
      <c r="B156" s="16"/>
      <c r="C156" s="18"/>
      <c r="D156" s="17"/>
      <c r="E156" s="11"/>
    </row>
    <row r="157" spans="2:5">
      <c r="B157" s="16"/>
      <c r="C157" s="18"/>
      <c r="D157" s="17"/>
      <c r="E157" s="11"/>
    </row>
    <row r="158" spans="2:5">
      <c r="B158" s="16"/>
      <c r="C158" s="18"/>
      <c r="D158" s="17"/>
      <c r="E158" s="11"/>
    </row>
    <row r="159" spans="2:5">
      <c r="B159" s="16"/>
      <c r="C159" s="18"/>
      <c r="D159" s="17"/>
      <c r="E159" s="11"/>
    </row>
    <row r="160" spans="2:5">
      <c r="B160" s="16"/>
      <c r="C160" s="18"/>
      <c r="D160" s="17"/>
      <c r="E160" s="11"/>
    </row>
    <row r="161" spans="2:5">
      <c r="B161" s="16"/>
      <c r="C161" s="18"/>
      <c r="D161" s="17"/>
      <c r="E161" s="11"/>
    </row>
    <row r="162" spans="2:5">
      <c r="B162" s="16"/>
      <c r="C162" s="18"/>
      <c r="D162" s="17"/>
      <c r="E162" s="11"/>
    </row>
    <row r="163" spans="2:5">
      <c r="B163" s="16"/>
      <c r="C163" s="18"/>
      <c r="D163" s="17"/>
      <c r="E163" s="11"/>
    </row>
    <row r="164" spans="2:5">
      <c r="B164" s="16"/>
      <c r="C164" s="18"/>
      <c r="D164" s="17"/>
      <c r="E164" s="11"/>
    </row>
    <row r="165" spans="2:5">
      <c r="B165" s="16"/>
      <c r="C165" s="18"/>
      <c r="D165" s="17"/>
      <c r="E165" s="11"/>
    </row>
    <row r="166" spans="2:5">
      <c r="B166" s="16"/>
      <c r="C166" s="18"/>
      <c r="D166" s="17"/>
      <c r="E166" s="11"/>
    </row>
    <row r="167" spans="2:5">
      <c r="B167" s="16"/>
      <c r="C167" s="18"/>
      <c r="D167" s="17"/>
      <c r="E167" s="11"/>
    </row>
    <row r="168" spans="2:5">
      <c r="B168" s="16"/>
      <c r="C168" s="18"/>
      <c r="D168" s="17"/>
      <c r="E168" s="11"/>
    </row>
    <row r="169" spans="2:5">
      <c r="B169" s="16"/>
      <c r="C169" s="18"/>
      <c r="D169" s="17"/>
      <c r="E169" s="11"/>
    </row>
    <row r="170" spans="2:5">
      <c r="B170" s="16"/>
      <c r="C170" s="18"/>
      <c r="D170" s="17"/>
      <c r="E170" s="11"/>
    </row>
    <row r="171" spans="2:5">
      <c r="B171" s="16"/>
      <c r="C171" s="18"/>
      <c r="D171" s="17"/>
      <c r="E171" s="11"/>
    </row>
    <row r="172" spans="2:5">
      <c r="B172" s="16"/>
      <c r="C172" s="18"/>
      <c r="D172" s="17"/>
      <c r="E172" s="11"/>
    </row>
    <row r="173" spans="2:5">
      <c r="B173" s="16"/>
      <c r="C173" s="18"/>
      <c r="D173" s="17"/>
      <c r="E173" s="11"/>
    </row>
    <row r="174" spans="2:5">
      <c r="B174" s="16"/>
      <c r="C174" s="18"/>
      <c r="D174" s="17"/>
      <c r="E174" s="11"/>
    </row>
    <row r="175" spans="2:5">
      <c r="B175" s="16"/>
      <c r="C175" s="18"/>
      <c r="D175" s="17"/>
      <c r="E175" s="11"/>
    </row>
    <row r="176" spans="2:5">
      <c r="B176" s="16"/>
      <c r="C176" s="18"/>
      <c r="D176" s="17"/>
      <c r="E176" s="11"/>
    </row>
    <row r="177" spans="2:5">
      <c r="B177" s="16"/>
      <c r="C177" s="18"/>
      <c r="D177" s="17"/>
      <c r="E177" s="11"/>
    </row>
    <row r="178" spans="2:5">
      <c r="B178" s="16"/>
      <c r="C178" s="18"/>
      <c r="D178" s="17"/>
      <c r="E178" s="11"/>
    </row>
    <row r="179" spans="2:5">
      <c r="B179" s="16"/>
      <c r="C179" s="18"/>
      <c r="D179" s="17"/>
      <c r="E179" s="11"/>
    </row>
    <row r="180" spans="2:5">
      <c r="B180" s="16"/>
      <c r="C180" s="18"/>
      <c r="D180" s="17"/>
      <c r="E180" s="11"/>
    </row>
    <row r="181" spans="2:5">
      <c r="B181" s="16"/>
      <c r="C181" s="18"/>
      <c r="D181" s="17"/>
      <c r="E181" s="11"/>
    </row>
    <row r="182" spans="2:5">
      <c r="C182" s="11"/>
      <c r="E182" s="11"/>
    </row>
    <row r="183" spans="2:5">
      <c r="C183" s="11"/>
      <c r="E183" s="11"/>
    </row>
    <row r="184" spans="2:5">
      <c r="C184" s="11"/>
      <c r="E184" s="11"/>
    </row>
    <row r="185" spans="2:5">
      <c r="C185" s="11"/>
      <c r="E185" s="11"/>
    </row>
    <row r="186" spans="2:5">
      <c r="C186" s="11"/>
      <c r="E186" s="11"/>
    </row>
    <row r="187" spans="2:5">
      <c r="C187" s="11"/>
      <c r="E187" s="11"/>
    </row>
    <row r="188" spans="2:5">
      <c r="C188" s="11"/>
      <c r="E188" s="11"/>
    </row>
    <row r="189" spans="2:5">
      <c r="C189" s="11"/>
      <c r="E189" s="11"/>
    </row>
    <row r="190" spans="2:5">
      <c r="C190" s="11"/>
      <c r="E190" s="11"/>
    </row>
    <row r="191" spans="2:5">
      <c r="C191" s="11"/>
      <c r="E191" s="11"/>
    </row>
    <row r="192" spans="2:5">
      <c r="C192" s="11"/>
      <c r="E192" s="11"/>
    </row>
    <row r="193" spans="3:5">
      <c r="C193" s="11"/>
      <c r="E193" s="11"/>
    </row>
    <row r="194" spans="3:5">
      <c r="C194" s="11"/>
      <c r="E194" s="11"/>
    </row>
    <row r="195" spans="3:5">
      <c r="C195" s="11"/>
      <c r="E195" s="11"/>
    </row>
    <row r="196" spans="3:5">
      <c r="C196" s="11"/>
      <c r="E196" s="11"/>
    </row>
    <row r="197" spans="3:5">
      <c r="C197" s="11"/>
      <c r="E197" s="11"/>
    </row>
    <row r="198" spans="3:5">
      <c r="C198" s="11"/>
      <c r="E198" s="11"/>
    </row>
    <row r="199" spans="3:5">
      <c r="C199" s="11"/>
      <c r="E199" s="11"/>
    </row>
    <row r="200" spans="3:5">
      <c r="C200" s="11"/>
      <c r="E200" s="11"/>
    </row>
    <row r="201" spans="3:5">
      <c r="C201" s="11"/>
      <c r="E201" s="11"/>
    </row>
    <row r="202" spans="3:5">
      <c r="C202" s="11"/>
      <c r="E202" s="11"/>
    </row>
    <row r="203" spans="3:5">
      <c r="C203" s="11"/>
      <c r="E203" s="11"/>
    </row>
    <row r="204" spans="3:5">
      <c r="C204" s="11"/>
      <c r="E204" s="11"/>
    </row>
    <row r="205" spans="3:5">
      <c r="C205" s="11"/>
      <c r="E205" s="11"/>
    </row>
    <row r="206" spans="3:5">
      <c r="C206" s="11"/>
      <c r="E206" s="11"/>
    </row>
    <row r="207" spans="3:5">
      <c r="C207" s="11"/>
      <c r="E207" s="11"/>
    </row>
    <row r="208" spans="3:5">
      <c r="C208" s="11"/>
      <c r="E208" s="11"/>
    </row>
    <row r="209" spans="3:5">
      <c r="C209" s="11"/>
      <c r="E209" s="11"/>
    </row>
    <row r="210" spans="3:5">
      <c r="C210" s="11"/>
      <c r="E210" s="11"/>
    </row>
    <row r="211" spans="3:5">
      <c r="C211" s="11"/>
      <c r="E211" s="11"/>
    </row>
    <row r="212" spans="3:5">
      <c r="C212" s="11"/>
      <c r="E212" s="11"/>
    </row>
    <row r="213" spans="3:5">
      <c r="C213" s="11"/>
      <c r="E213" s="11"/>
    </row>
    <row r="214" spans="3:5">
      <c r="C214" s="11"/>
      <c r="E214" s="11"/>
    </row>
    <row r="215" spans="3:5">
      <c r="C215" s="11"/>
      <c r="E215" s="11"/>
    </row>
    <row r="216" spans="3:5">
      <c r="C216" s="11"/>
      <c r="E216" s="11"/>
    </row>
    <row r="217" spans="3:5">
      <c r="C217" s="11"/>
      <c r="E217" s="11"/>
    </row>
    <row r="218" spans="3:5">
      <c r="C218" s="11"/>
      <c r="E218" s="11"/>
    </row>
    <row r="219" spans="3:5">
      <c r="C219" s="11"/>
      <c r="E219" s="11"/>
    </row>
    <row r="220" spans="3:5">
      <c r="C220" s="11"/>
      <c r="E220" s="11"/>
    </row>
    <row r="221" spans="3:5">
      <c r="C221" s="11"/>
      <c r="E221" s="11"/>
    </row>
    <row r="222" spans="3:5">
      <c r="C222" s="11"/>
      <c r="E222" s="11"/>
    </row>
    <row r="223" spans="3:5">
      <c r="C223" s="11"/>
      <c r="E223" s="11"/>
    </row>
    <row r="224" spans="3:5">
      <c r="C224" s="11"/>
      <c r="E224" s="11"/>
    </row>
    <row r="225" spans="3:5">
      <c r="C225" s="11"/>
      <c r="E225" s="11"/>
    </row>
    <row r="226" spans="3:5">
      <c r="C226" s="11"/>
      <c r="E226" s="11"/>
    </row>
    <row r="227" spans="3:5">
      <c r="C227" s="11"/>
      <c r="E227" s="11"/>
    </row>
    <row r="228" spans="3:5">
      <c r="C228" s="11"/>
      <c r="E228" s="11"/>
    </row>
    <row r="229" spans="3:5">
      <c r="C229" s="11"/>
      <c r="E229" s="11"/>
    </row>
    <row r="230" spans="3:5">
      <c r="C230" s="11"/>
      <c r="E230" s="11"/>
    </row>
    <row r="231" spans="3:5">
      <c r="C231" s="11"/>
      <c r="E231" s="11"/>
    </row>
    <row r="232" spans="3:5">
      <c r="C232" s="11"/>
      <c r="E232" s="11"/>
    </row>
    <row r="233" spans="3:5">
      <c r="C233" s="11"/>
      <c r="E233" s="11"/>
    </row>
    <row r="234" spans="3:5">
      <c r="C234" s="11"/>
      <c r="E234" s="11"/>
    </row>
    <row r="235" spans="3:5">
      <c r="C235" s="11"/>
      <c r="E235" s="11"/>
    </row>
    <row r="236" spans="3:5">
      <c r="C236" s="11"/>
      <c r="E236" s="11"/>
    </row>
    <row r="237" spans="3:5">
      <c r="C237" s="11"/>
      <c r="E237" s="11"/>
    </row>
    <row r="238" spans="3:5">
      <c r="C238" s="11"/>
      <c r="E238" s="11"/>
    </row>
    <row r="239" spans="3:5">
      <c r="C239" s="11"/>
      <c r="E239" s="11"/>
    </row>
    <row r="240" spans="3:5">
      <c r="C240" s="11"/>
      <c r="E240" s="11"/>
    </row>
    <row r="241" spans="3:5">
      <c r="C241" s="11"/>
      <c r="E241" s="11"/>
    </row>
    <row r="242" spans="3:5">
      <c r="C242" s="11"/>
      <c r="E242" s="11"/>
    </row>
    <row r="243" spans="3:5">
      <c r="C243" s="11"/>
      <c r="E243" s="11"/>
    </row>
    <row r="244" spans="3:5">
      <c r="C244" s="11"/>
      <c r="E244" s="11"/>
    </row>
    <row r="245" spans="3:5">
      <c r="C245" s="11"/>
      <c r="E245" s="11"/>
    </row>
    <row r="246" spans="3:5">
      <c r="C246" s="11"/>
    </row>
    <row r="247" spans="3:5">
      <c r="C247" s="11"/>
    </row>
    <row r="248" spans="3:5">
      <c r="C248" s="11"/>
    </row>
    <row r="249" spans="3:5">
      <c r="C249" s="11"/>
    </row>
    <row r="250" spans="3:5">
      <c r="C250" s="11"/>
    </row>
    <row r="251" spans="3:5">
      <c r="C251" s="11"/>
    </row>
    <row r="252" spans="3:5">
      <c r="C252" s="11"/>
    </row>
    <row r="253" spans="3:5">
      <c r="C253" s="11"/>
    </row>
    <row r="254" spans="3:5">
      <c r="C254" s="11"/>
    </row>
    <row r="255" spans="3:5">
      <c r="C255" s="11"/>
    </row>
    <row r="256" spans="3:5">
      <c r="C256" s="11"/>
    </row>
    <row r="257" spans="3:3">
      <c r="C257" s="11"/>
    </row>
    <row r="258" spans="3:3">
      <c r="C258" s="11"/>
    </row>
    <row r="259" spans="3:3">
      <c r="C259" s="11"/>
    </row>
    <row r="260" spans="3:3">
      <c r="C260" s="11"/>
    </row>
    <row r="261" spans="3:3">
      <c r="C261" s="11"/>
    </row>
    <row r="262" spans="3:3">
      <c r="C262" s="11"/>
    </row>
    <row r="263" spans="3:3">
      <c r="C263" s="11"/>
    </row>
    <row r="264" spans="3:3">
      <c r="C264" s="11"/>
    </row>
    <row r="265" spans="3:3">
      <c r="C265" s="11"/>
    </row>
    <row r="266" spans="3:3">
      <c r="C266" s="11"/>
    </row>
    <row r="267" spans="3:3">
      <c r="C267" s="11"/>
    </row>
    <row r="268" spans="3:3">
      <c r="C268" s="11"/>
    </row>
    <row r="269" spans="3:3">
      <c r="C269" s="11"/>
    </row>
    <row r="270" spans="3:3">
      <c r="C270" s="11"/>
    </row>
    <row r="271" spans="3:3">
      <c r="C271" s="11"/>
    </row>
    <row r="272" spans="3:3">
      <c r="C272" s="11"/>
    </row>
    <row r="273" spans="3:3">
      <c r="C273" s="11"/>
    </row>
    <row r="274" spans="3:3">
      <c r="C274" s="11"/>
    </row>
    <row r="275" spans="3:3">
      <c r="C275" s="11"/>
    </row>
    <row r="276" spans="3:3">
      <c r="C276" s="11"/>
    </row>
    <row r="277" spans="3:3">
      <c r="C277" s="11"/>
    </row>
    <row r="278" spans="3:3">
      <c r="C278" s="11"/>
    </row>
    <row r="279" spans="3:3">
      <c r="C279" s="11"/>
    </row>
    <row r="280" spans="3:3">
      <c r="C280" s="11"/>
    </row>
    <row r="281" spans="3:3">
      <c r="C281" s="11"/>
    </row>
    <row r="282" spans="3:3">
      <c r="C282" s="11"/>
    </row>
    <row r="283" spans="3:3">
      <c r="C283" s="11"/>
    </row>
    <row r="284" spans="3:3">
      <c r="C284" s="11"/>
    </row>
    <row r="285" spans="3:3">
      <c r="C285" s="11"/>
    </row>
    <row r="286" spans="3:3">
      <c r="C286" s="11"/>
    </row>
    <row r="287" spans="3:3">
      <c r="C287" s="11"/>
    </row>
    <row r="288" spans="3:3">
      <c r="C288" s="11"/>
    </row>
    <row r="289" spans="3:3">
      <c r="C289" s="11"/>
    </row>
    <row r="290" spans="3:3">
      <c r="C290" s="11"/>
    </row>
    <row r="291" spans="3:3">
      <c r="C291" s="11"/>
    </row>
    <row r="292" spans="3:3">
      <c r="C292" s="11"/>
    </row>
    <row r="293" spans="3:3">
      <c r="C293" s="11"/>
    </row>
    <row r="294" spans="3:3">
      <c r="C294" s="11"/>
    </row>
    <row r="295" spans="3:3">
      <c r="C295" s="11"/>
    </row>
    <row r="296" spans="3:3">
      <c r="C296" s="11"/>
    </row>
    <row r="297" spans="3:3">
      <c r="C297" s="11"/>
    </row>
    <row r="298" spans="3:3">
      <c r="C298" s="11"/>
    </row>
    <row r="299" spans="3:3">
      <c r="C299" s="11"/>
    </row>
    <row r="300" spans="3:3">
      <c r="C300" s="11"/>
    </row>
    <row r="301" spans="3:3">
      <c r="C301" s="11"/>
    </row>
    <row r="302" spans="3:3">
      <c r="C302" s="11"/>
    </row>
    <row r="303" spans="3:3">
      <c r="C303" s="11"/>
    </row>
    <row r="304" spans="3:3">
      <c r="C304" s="11"/>
    </row>
    <row r="305" spans="3:3">
      <c r="C305" s="11"/>
    </row>
    <row r="306" spans="3:3">
      <c r="C306" s="11"/>
    </row>
    <row r="307" spans="3:3">
      <c r="C307" s="11"/>
    </row>
    <row r="308" spans="3:3">
      <c r="C308" s="11"/>
    </row>
    <row r="309" spans="3:3">
      <c r="C309" s="11"/>
    </row>
    <row r="310" spans="3:3">
      <c r="C310" s="11"/>
    </row>
    <row r="311" spans="3:3">
      <c r="C311" s="11"/>
    </row>
    <row r="312" spans="3:3">
      <c r="C312" s="11"/>
    </row>
    <row r="313" spans="3:3">
      <c r="C313" s="11"/>
    </row>
    <row r="314" spans="3:3">
      <c r="C314" s="11"/>
    </row>
    <row r="315" spans="3:3">
      <c r="C315" s="11"/>
    </row>
    <row r="316" spans="3:3">
      <c r="C316" s="11"/>
    </row>
    <row r="317" spans="3:3">
      <c r="C317" s="11"/>
    </row>
    <row r="318" spans="3:3">
      <c r="C318" s="11"/>
    </row>
    <row r="319" spans="3:3">
      <c r="C319" s="11"/>
    </row>
    <row r="320" spans="3:3">
      <c r="C320" s="11"/>
    </row>
    <row r="321" spans="3:3">
      <c r="C321" s="11"/>
    </row>
    <row r="322" spans="3:3">
      <c r="C322" s="11"/>
    </row>
    <row r="323" spans="3:3">
      <c r="C323" s="11"/>
    </row>
    <row r="324" spans="3:3">
      <c r="C324" s="11"/>
    </row>
    <row r="325" spans="3:3">
      <c r="C325" s="11"/>
    </row>
    <row r="326" spans="3:3">
      <c r="C326" s="11"/>
    </row>
    <row r="327" spans="3:3">
      <c r="C327" s="11"/>
    </row>
    <row r="328" spans="3:3">
      <c r="C328" s="11"/>
    </row>
    <row r="329" spans="3:3">
      <c r="C329" s="11"/>
    </row>
    <row r="330" spans="3:3">
      <c r="C330" s="11"/>
    </row>
    <row r="331" spans="3:3">
      <c r="C331" s="11"/>
    </row>
    <row r="332" spans="3:3">
      <c r="C332" s="11"/>
    </row>
    <row r="333" spans="3:3">
      <c r="C333" s="11"/>
    </row>
    <row r="334" spans="3:3">
      <c r="C334" s="11"/>
    </row>
    <row r="335" spans="3:3">
      <c r="C335" s="11"/>
    </row>
    <row r="336" spans="3:3">
      <c r="C336" s="11"/>
    </row>
    <row r="337" spans="3:3">
      <c r="C337" s="11"/>
    </row>
    <row r="338" spans="3:3">
      <c r="C338" s="11"/>
    </row>
    <row r="339" spans="3:3">
      <c r="C339" s="11"/>
    </row>
    <row r="340" spans="3:3">
      <c r="C340" s="11"/>
    </row>
    <row r="341" spans="3:3">
      <c r="C341" s="11"/>
    </row>
    <row r="342" spans="3:3">
      <c r="C342" s="11"/>
    </row>
    <row r="343" spans="3:3">
      <c r="C343" s="11"/>
    </row>
    <row r="344" spans="3:3">
      <c r="C344" s="11"/>
    </row>
    <row r="345" spans="3:3">
      <c r="C345" s="11"/>
    </row>
    <row r="346" spans="3:3">
      <c r="C346" s="11"/>
    </row>
    <row r="347" spans="3:3">
      <c r="C347" s="11"/>
    </row>
    <row r="348" spans="3:3">
      <c r="C348" s="11"/>
    </row>
    <row r="349" spans="3:3">
      <c r="C349" s="11"/>
    </row>
    <row r="350" spans="3:3">
      <c r="C350" s="11"/>
    </row>
    <row r="351" spans="3:3">
      <c r="C351" s="11"/>
    </row>
    <row r="352" spans="3:3">
      <c r="C352" s="11"/>
    </row>
    <row r="353" spans="3:3">
      <c r="C353" s="11"/>
    </row>
    <row r="354" spans="3:3">
      <c r="C354" s="11"/>
    </row>
    <row r="355" spans="3:3">
      <c r="C355" s="11"/>
    </row>
    <row r="356" spans="3:3">
      <c r="C356" s="11"/>
    </row>
    <row r="357" spans="3:3">
      <c r="C357" s="11"/>
    </row>
    <row r="358" spans="3:3">
      <c r="C358" s="11"/>
    </row>
    <row r="359" spans="3:3">
      <c r="C359" s="11"/>
    </row>
    <row r="360" spans="3:3">
      <c r="C360" s="11"/>
    </row>
    <row r="361" spans="3:3">
      <c r="C361" s="11"/>
    </row>
    <row r="362" spans="3:3">
      <c r="C362" s="11"/>
    </row>
    <row r="363" spans="3:3">
      <c r="C363" s="11"/>
    </row>
    <row r="364" spans="3:3">
      <c r="C364" s="11"/>
    </row>
    <row r="365" spans="3:3">
      <c r="C365" s="11"/>
    </row>
    <row r="366" spans="3:3">
      <c r="C366" s="11"/>
    </row>
    <row r="367" spans="3:3">
      <c r="C367" s="11"/>
    </row>
    <row r="368" spans="3:3">
      <c r="C368" s="11"/>
    </row>
    <row r="369" spans="3:3">
      <c r="C369" s="11"/>
    </row>
    <row r="370" spans="3:3">
      <c r="C370" s="11"/>
    </row>
    <row r="371" spans="3:3">
      <c r="C371" s="11"/>
    </row>
    <row r="372" spans="3:3">
      <c r="C372" s="11"/>
    </row>
    <row r="373" spans="3:3">
      <c r="C373" s="11"/>
    </row>
    <row r="374" spans="3:3">
      <c r="C374" s="11"/>
    </row>
    <row r="375" spans="3:3">
      <c r="C375" s="11"/>
    </row>
    <row r="376" spans="3:3">
      <c r="C376" s="11"/>
    </row>
    <row r="377" spans="3:3">
      <c r="C377" s="11"/>
    </row>
    <row r="378" spans="3:3">
      <c r="C378" s="11"/>
    </row>
    <row r="379" spans="3:3">
      <c r="C379" s="11"/>
    </row>
    <row r="380" spans="3:3">
      <c r="C380" s="11"/>
    </row>
    <row r="381" spans="3:3">
      <c r="C381" s="11"/>
    </row>
    <row r="382" spans="3:3">
      <c r="C382" s="11"/>
    </row>
    <row r="383" spans="3:3">
      <c r="C383" s="11"/>
    </row>
    <row r="384" spans="3:3">
      <c r="C384" s="11"/>
    </row>
    <row r="385" spans="3:3">
      <c r="C385" s="11"/>
    </row>
    <row r="386" spans="3:3">
      <c r="C386" s="11"/>
    </row>
    <row r="387" spans="3:3">
      <c r="C387" s="11"/>
    </row>
    <row r="388" spans="3:3">
      <c r="C388" s="11"/>
    </row>
    <row r="389" spans="3:3">
      <c r="C389" s="11"/>
    </row>
    <row r="390" spans="3:3">
      <c r="C390" s="11"/>
    </row>
    <row r="391" spans="3:3">
      <c r="C391" s="11"/>
    </row>
    <row r="392" spans="3:3">
      <c r="C392" s="11"/>
    </row>
    <row r="393" spans="3:3">
      <c r="C393" s="11"/>
    </row>
    <row r="394" spans="3:3">
      <c r="C394" s="11"/>
    </row>
    <row r="395" spans="3:3">
      <c r="C395" s="11"/>
    </row>
    <row r="396" spans="3:3">
      <c r="C396" s="11"/>
    </row>
    <row r="397" spans="3:3">
      <c r="C397" s="11"/>
    </row>
    <row r="398" spans="3:3">
      <c r="C398" s="11"/>
    </row>
    <row r="399" spans="3:3">
      <c r="C399" s="11"/>
    </row>
    <row r="400" spans="3:3">
      <c r="C400" s="11"/>
    </row>
    <row r="401" spans="3:3">
      <c r="C401" s="11"/>
    </row>
    <row r="402" spans="3:3">
      <c r="C402" s="11"/>
    </row>
    <row r="403" spans="3:3">
      <c r="C403" s="11"/>
    </row>
    <row r="404" spans="3:3">
      <c r="C404" s="11"/>
    </row>
    <row r="405" spans="3:3">
      <c r="C405" s="11"/>
    </row>
    <row r="406" spans="3:3">
      <c r="C406" s="11"/>
    </row>
    <row r="407" spans="3:3">
      <c r="C407" s="11"/>
    </row>
    <row r="408" spans="3:3">
      <c r="C408" s="11"/>
    </row>
    <row r="409" spans="3:3">
      <c r="C409" s="11"/>
    </row>
    <row r="410" spans="3:3">
      <c r="C410" s="11"/>
    </row>
    <row r="411" spans="3:3">
      <c r="C411" s="11"/>
    </row>
    <row r="412" spans="3:3">
      <c r="C412" s="11"/>
    </row>
    <row r="413" spans="3:3">
      <c r="C413" s="11"/>
    </row>
    <row r="414" spans="3:3">
      <c r="C414" s="11"/>
    </row>
    <row r="415" spans="3:3">
      <c r="C415" s="11"/>
    </row>
    <row r="416" spans="3:3">
      <c r="C416" s="11"/>
    </row>
    <row r="417" spans="3:3">
      <c r="C417" s="11"/>
    </row>
    <row r="418" spans="3:3">
      <c r="C418" s="11"/>
    </row>
    <row r="419" spans="3:3">
      <c r="C419" s="11"/>
    </row>
    <row r="420" spans="3:3">
      <c r="C420" s="11"/>
    </row>
    <row r="421" spans="3:3">
      <c r="C421" s="11"/>
    </row>
    <row r="422" spans="3:3">
      <c r="C422" s="11"/>
    </row>
    <row r="423" spans="3:3">
      <c r="C423" s="11"/>
    </row>
    <row r="424" spans="3:3">
      <c r="C424" s="11"/>
    </row>
    <row r="425" spans="3:3">
      <c r="C425" s="11"/>
    </row>
    <row r="426" spans="3:3">
      <c r="C426" s="11"/>
    </row>
    <row r="427" spans="3:3">
      <c r="C427" s="11"/>
    </row>
    <row r="428" spans="3:3">
      <c r="C428" s="11"/>
    </row>
    <row r="429" spans="3:3">
      <c r="C429" s="11"/>
    </row>
    <row r="430" spans="3:3">
      <c r="C430" s="11"/>
    </row>
    <row r="431" spans="3:3">
      <c r="C431" s="11"/>
    </row>
    <row r="432" spans="3:3">
      <c r="C432" s="11"/>
    </row>
    <row r="433" spans="3:3">
      <c r="C433" s="11"/>
    </row>
    <row r="434" spans="3:3">
      <c r="C434" s="11"/>
    </row>
    <row r="435" spans="3:3">
      <c r="C435" s="11"/>
    </row>
    <row r="436" spans="3:3">
      <c r="C436" s="11"/>
    </row>
    <row r="437" spans="3:3">
      <c r="C437" s="11"/>
    </row>
    <row r="438" spans="3:3">
      <c r="C438" s="11"/>
    </row>
    <row r="439" spans="3:3">
      <c r="C439" s="11"/>
    </row>
    <row r="440" spans="3:3">
      <c r="C440" s="11"/>
    </row>
    <row r="441" spans="3:3">
      <c r="C441" s="11"/>
    </row>
    <row r="442" spans="3:3">
      <c r="C442" s="1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Q442"/>
  <sheetViews>
    <sheetView topLeftCell="D4" workbookViewId="0">
      <selection activeCell="A2" sqref="A2:Q27"/>
    </sheetView>
  </sheetViews>
  <sheetFormatPr defaultRowHeight="15"/>
  <cols>
    <col min="1" max="1" width="13.85546875" style="13" bestFit="1" customWidth="1"/>
    <col min="2" max="2" width="8.28515625" style="13" bestFit="1" customWidth="1"/>
    <col min="3" max="3" width="10.5703125" style="13" bestFit="1" customWidth="1"/>
    <col min="4" max="4" width="16.5703125" style="13" bestFit="1" customWidth="1"/>
    <col min="5" max="5" width="11" style="13" bestFit="1" customWidth="1"/>
    <col min="6" max="6" width="12" bestFit="1" customWidth="1"/>
    <col min="7" max="7" width="7" bestFit="1" customWidth="1"/>
    <col min="8" max="8" width="6.28515625" bestFit="1" customWidth="1"/>
    <col min="9" max="9" width="10.28515625" bestFit="1" customWidth="1"/>
    <col min="10" max="10" width="5.85546875" bestFit="1" customWidth="1"/>
    <col min="11" max="11" width="10" bestFit="1" customWidth="1"/>
    <col min="12" max="12" width="14.5703125" bestFit="1" customWidth="1"/>
    <col min="13" max="13" width="12.7109375" bestFit="1" customWidth="1"/>
    <col min="14" max="14" width="4.42578125" bestFit="1" customWidth="1"/>
    <col min="15" max="15" width="6.5703125" bestFit="1" customWidth="1"/>
    <col min="16" max="16" width="15.7109375" bestFit="1" customWidth="1"/>
    <col min="17" max="17" width="14.5703125" bestFit="1" customWidth="1"/>
  </cols>
  <sheetData>
    <row r="1" spans="1:17">
      <c r="A1" s="40" t="s">
        <v>143</v>
      </c>
      <c r="B1" s="40" t="s">
        <v>144</v>
      </c>
      <c r="C1" s="40" t="s">
        <v>145</v>
      </c>
      <c r="D1" s="40" t="s">
        <v>146</v>
      </c>
      <c r="E1" s="40" t="s">
        <v>147</v>
      </c>
      <c r="F1" s="40" t="s">
        <v>148</v>
      </c>
      <c r="G1" s="40" t="s">
        <v>149</v>
      </c>
      <c r="H1" s="40" t="s">
        <v>150</v>
      </c>
      <c r="I1" s="40" t="s">
        <v>151</v>
      </c>
      <c r="J1" s="40" t="s">
        <v>152</v>
      </c>
      <c r="K1" s="40" t="s">
        <v>153</v>
      </c>
      <c r="L1" s="40" t="s">
        <v>154</v>
      </c>
      <c r="M1" s="40" t="s">
        <v>155</v>
      </c>
      <c r="N1" s="40" t="s">
        <v>156</v>
      </c>
      <c r="O1" s="40" t="s">
        <v>157</v>
      </c>
      <c r="P1" s="40" t="s">
        <v>158</v>
      </c>
      <c r="Q1" s="40" t="s">
        <v>159</v>
      </c>
    </row>
    <row r="2" spans="1:17">
      <c r="A2" s="46" t="s">
        <v>578</v>
      </c>
      <c r="B2" s="46" t="s">
        <v>23</v>
      </c>
      <c r="C2" s="46" t="s">
        <v>299</v>
      </c>
      <c r="D2" s="46" t="s">
        <v>579</v>
      </c>
      <c r="E2" s="46" t="s">
        <v>580</v>
      </c>
      <c r="F2" s="46">
        <v>3</v>
      </c>
      <c r="G2" s="46">
        <v>2</v>
      </c>
      <c r="H2" s="46">
        <v>7200</v>
      </c>
      <c r="I2" s="46" t="s">
        <v>441</v>
      </c>
      <c r="J2" s="46" t="s">
        <v>442</v>
      </c>
      <c r="K2" s="46" t="s">
        <v>10</v>
      </c>
      <c r="L2" s="46"/>
      <c r="M2" s="46"/>
      <c r="N2" s="46">
        <v>1</v>
      </c>
      <c r="O2" s="46"/>
      <c r="P2" s="46">
        <v>3</v>
      </c>
      <c r="Q2" s="46" t="s">
        <v>403</v>
      </c>
    </row>
    <row r="3" spans="1:17">
      <c r="A3" s="46" t="s">
        <v>581</v>
      </c>
      <c r="B3" s="46" t="s">
        <v>23</v>
      </c>
      <c r="C3" s="46" t="s">
        <v>253</v>
      </c>
      <c r="D3" s="46" t="s">
        <v>24</v>
      </c>
      <c r="E3" s="46" t="s">
        <v>413</v>
      </c>
      <c r="F3" s="46">
        <v>4.4000000953674299</v>
      </c>
      <c r="G3" s="46">
        <v>2</v>
      </c>
      <c r="H3" s="46">
        <v>7000</v>
      </c>
      <c r="I3" s="46" t="s">
        <v>478</v>
      </c>
      <c r="J3" s="46" t="s">
        <v>14</v>
      </c>
      <c r="K3" s="46" t="s">
        <v>6</v>
      </c>
      <c r="L3" s="46"/>
      <c r="M3" s="46"/>
      <c r="N3" s="46">
        <v>1</v>
      </c>
      <c r="O3" s="46"/>
      <c r="P3" s="46">
        <v>4.4000000953674299</v>
      </c>
      <c r="Q3" s="46" t="s">
        <v>403</v>
      </c>
    </row>
    <row r="4" spans="1:17">
      <c r="A4" s="46" t="s">
        <v>582</v>
      </c>
      <c r="B4" s="46" t="s">
        <v>23</v>
      </c>
      <c r="C4" s="46" t="s">
        <v>275</v>
      </c>
      <c r="D4" s="46" t="s">
        <v>74</v>
      </c>
      <c r="E4" s="46" t="s">
        <v>404</v>
      </c>
      <c r="F4" s="46">
        <v>10.6000003814697</v>
      </c>
      <c r="G4" s="46">
        <v>2</v>
      </c>
      <c r="H4" s="46">
        <v>6800</v>
      </c>
      <c r="I4" s="46" t="s">
        <v>478</v>
      </c>
      <c r="J4" s="46" t="s">
        <v>6</v>
      </c>
      <c r="K4" s="46" t="s">
        <v>14</v>
      </c>
      <c r="L4" s="46"/>
      <c r="M4" s="46"/>
      <c r="N4" s="46">
        <v>1</v>
      </c>
      <c r="O4" s="46"/>
      <c r="P4" s="46">
        <v>10.6000003814697</v>
      </c>
      <c r="Q4" s="46" t="s">
        <v>403</v>
      </c>
    </row>
    <row r="5" spans="1:17">
      <c r="A5" s="46" t="s">
        <v>583</v>
      </c>
      <c r="B5" s="46" t="s">
        <v>23</v>
      </c>
      <c r="C5" s="46" t="s">
        <v>584</v>
      </c>
      <c r="D5" s="46" t="s">
        <v>585</v>
      </c>
      <c r="E5" s="46" t="s">
        <v>586</v>
      </c>
      <c r="F5" s="46">
        <v>4.75</v>
      </c>
      <c r="G5" s="46">
        <v>2</v>
      </c>
      <c r="H5" s="46">
        <v>6400</v>
      </c>
      <c r="I5" s="46" t="s">
        <v>459</v>
      </c>
      <c r="J5" s="46" t="s">
        <v>460</v>
      </c>
      <c r="K5" s="46" t="s">
        <v>94</v>
      </c>
      <c r="L5" s="46"/>
      <c r="M5" s="46"/>
      <c r="N5" s="46">
        <v>1</v>
      </c>
      <c r="O5" s="46"/>
      <c r="P5" s="46">
        <v>4.75</v>
      </c>
      <c r="Q5" s="46" t="s">
        <v>403</v>
      </c>
    </row>
    <row r="6" spans="1:17">
      <c r="A6" s="46" t="s">
        <v>587</v>
      </c>
      <c r="B6" s="46" t="s">
        <v>23</v>
      </c>
      <c r="C6" s="46" t="s">
        <v>505</v>
      </c>
      <c r="D6" s="46" t="s">
        <v>588</v>
      </c>
      <c r="E6" s="46" t="s">
        <v>589</v>
      </c>
      <c r="F6" s="46">
        <v>11.550000190734799</v>
      </c>
      <c r="G6" s="46">
        <v>2</v>
      </c>
      <c r="H6" s="46">
        <v>6300</v>
      </c>
      <c r="I6" s="46" t="s">
        <v>428</v>
      </c>
      <c r="J6" s="46" t="s">
        <v>47</v>
      </c>
      <c r="K6" s="46" t="s">
        <v>15</v>
      </c>
      <c r="L6" s="46"/>
      <c r="M6" s="46"/>
      <c r="N6" s="46">
        <v>1</v>
      </c>
      <c r="O6" s="46"/>
      <c r="P6" s="46">
        <v>11.550000190734799</v>
      </c>
      <c r="Q6" s="46" t="s">
        <v>403</v>
      </c>
    </row>
    <row r="7" spans="1:17">
      <c r="A7" s="46" t="s">
        <v>590</v>
      </c>
      <c r="B7" s="46" t="s">
        <v>23</v>
      </c>
      <c r="C7" s="46" t="s">
        <v>591</v>
      </c>
      <c r="D7" s="46" t="s">
        <v>592</v>
      </c>
      <c r="E7" s="46" t="s">
        <v>593</v>
      </c>
      <c r="F7" s="46">
        <v>6.8000001907348597</v>
      </c>
      <c r="G7" s="46">
        <v>2</v>
      </c>
      <c r="H7" s="46">
        <v>6200</v>
      </c>
      <c r="I7" s="46" t="s">
        <v>441</v>
      </c>
      <c r="J7" s="46" t="s">
        <v>10</v>
      </c>
      <c r="K7" s="46" t="s">
        <v>442</v>
      </c>
      <c r="L7" s="46"/>
      <c r="M7" s="46"/>
      <c r="N7" s="46">
        <v>1</v>
      </c>
      <c r="O7" s="46"/>
      <c r="P7" s="46">
        <v>6.8000001907348597</v>
      </c>
      <c r="Q7" s="46" t="s">
        <v>403</v>
      </c>
    </row>
    <row r="8" spans="1:17">
      <c r="A8" s="46" t="s">
        <v>594</v>
      </c>
      <c r="B8" s="46" t="s">
        <v>23</v>
      </c>
      <c r="C8" s="46" t="s">
        <v>183</v>
      </c>
      <c r="D8" s="46" t="s">
        <v>595</v>
      </c>
      <c r="E8" s="46" t="s">
        <v>596</v>
      </c>
      <c r="F8" s="46">
        <v>5.1999998092651296</v>
      </c>
      <c r="G8" s="46">
        <v>2</v>
      </c>
      <c r="H8" s="46">
        <v>5800</v>
      </c>
      <c r="I8" s="46" t="s">
        <v>450</v>
      </c>
      <c r="J8" s="46" t="s">
        <v>451</v>
      </c>
      <c r="K8" s="46" t="s">
        <v>5</v>
      </c>
      <c r="L8" s="46"/>
      <c r="M8" s="46"/>
      <c r="N8" s="46">
        <v>1</v>
      </c>
      <c r="O8" s="46"/>
      <c r="P8" s="46">
        <v>5.1999998092651296</v>
      </c>
      <c r="Q8" s="46" t="s">
        <v>403</v>
      </c>
    </row>
    <row r="9" spans="1:17">
      <c r="A9" s="46" t="s">
        <v>597</v>
      </c>
      <c r="B9" s="46" t="s">
        <v>23</v>
      </c>
      <c r="C9" s="46" t="s">
        <v>279</v>
      </c>
      <c r="D9" s="46" t="s">
        <v>61</v>
      </c>
      <c r="E9" s="46" t="s">
        <v>402</v>
      </c>
      <c r="F9" s="46">
        <v>6.4000000953674299</v>
      </c>
      <c r="G9" s="46">
        <v>1</v>
      </c>
      <c r="H9" s="46">
        <v>5700</v>
      </c>
      <c r="I9" s="46" t="s">
        <v>430</v>
      </c>
      <c r="J9" s="46" t="s">
        <v>43</v>
      </c>
      <c r="K9" s="46" t="s">
        <v>97</v>
      </c>
      <c r="L9" s="46" t="s">
        <v>598</v>
      </c>
      <c r="M9" s="46" t="s">
        <v>511</v>
      </c>
      <c r="N9" s="46">
        <v>1</v>
      </c>
      <c r="O9" s="46"/>
      <c r="P9" s="46">
        <v>6.4000000953674299</v>
      </c>
      <c r="Q9" s="46" t="s">
        <v>403</v>
      </c>
    </row>
    <row r="10" spans="1:17">
      <c r="A10" s="46" t="s">
        <v>599</v>
      </c>
      <c r="B10" s="46" t="s">
        <v>23</v>
      </c>
      <c r="C10" s="46" t="s">
        <v>268</v>
      </c>
      <c r="D10" s="46" t="s">
        <v>600</v>
      </c>
      <c r="E10" s="46" t="s">
        <v>601</v>
      </c>
      <c r="F10" s="46">
        <v>3.0999999046325599</v>
      </c>
      <c r="G10" s="46">
        <v>2</v>
      </c>
      <c r="H10" s="46">
        <v>5500</v>
      </c>
      <c r="I10" s="46" t="s">
        <v>453</v>
      </c>
      <c r="J10" s="46" t="s">
        <v>9</v>
      </c>
      <c r="K10" s="46" t="s">
        <v>11</v>
      </c>
      <c r="L10" s="46"/>
      <c r="M10" s="46"/>
      <c r="N10" s="46">
        <v>1</v>
      </c>
      <c r="O10" s="46"/>
      <c r="P10" s="46">
        <v>3.0999999046325599</v>
      </c>
      <c r="Q10" s="46" t="s">
        <v>403</v>
      </c>
    </row>
    <row r="11" spans="1:17">
      <c r="A11" s="46" t="s">
        <v>602</v>
      </c>
      <c r="B11" s="46" t="s">
        <v>23</v>
      </c>
      <c r="C11" s="46" t="s">
        <v>270</v>
      </c>
      <c r="D11" s="46" t="s">
        <v>137</v>
      </c>
      <c r="E11" s="46" t="s">
        <v>407</v>
      </c>
      <c r="F11" s="46">
        <v>3</v>
      </c>
      <c r="G11" s="46">
        <v>1</v>
      </c>
      <c r="H11" s="46">
        <v>5400</v>
      </c>
      <c r="I11" s="46" t="s">
        <v>459</v>
      </c>
      <c r="J11" s="46" t="s">
        <v>94</v>
      </c>
      <c r="K11" s="46" t="s">
        <v>460</v>
      </c>
      <c r="L11" s="46"/>
      <c r="M11" s="46"/>
      <c r="N11" s="46">
        <v>1</v>
      </c>
      <c r="O11" s="46"/>
      <c r="P11" s="46">
        <v>3</v>
      </c>
      <c r="Q11" s="46" t="s">
        <v>403</v>
      </c>
    </row>
    <row r="12" spans="1:17">
      <c r="A12" s="46" t="s">
        <v>603</v>
      </c>
      <c r="B12" s="46" t="s">
        <v>23</v>
      </c>
      <c r="C12" s="46" t="s">
        <v>417</v>
      </c>
      <c r="D12" s="46" t="s">
        <v>71</v>
      </c>
      <c r="E12" s="46" t="s">
        <v>418</v>
      </c>
      <c r="F12" s="46">
        <v>4.1999998092651296</v>
      </c>
      <c r="G12" s="46">
        <v>2</v>
      </c>
      <c r="H12" s="46">
        <v>5300</v>
      </c>
      <c r="I12" s="46" t="s">
        <v>447</v>
      </c>
      <c r="J12" s="46" t="s">
        <v>17</v>
      </c>
      <c r="K12" s="46" t="s">
        <v>448</v>
      </c>
      <c r="L12" s="46"/>
      <c r="M12" s="46"/>
      <c r="N12" s="46">
        <v>1</v>
      </c>
      <c r="O12" s="46"/>
      <c r="P12" s="46">
        <v>4.1999998092651296</v>
      </c>
      <c r="Q12" s="46" t="s">
        <v>403</v>
      </c>
    </row>
    <row r="13" spans="1:17">
      <c r="A13" s="46" t="s">
        <v>604</v>
      </c>
      <c r="B13" s="46" t="s">
        <v>23</v>
      </c>
      <c r="C13" s="46" t="s">
        <v>408</v>
      </c>
      <c r="D13" s="46" t="s">
        <v>138</v>
      </c>
      <c r="E13" s="46" t="s">
        <v>409</v>
      </c>
      <c r="F13" s="46">
        <v>5.3000001907348597</v>
      </c>
      <c r="G13" s="46">
        <v>2</v>
      </c>
      <c r="H13" s="46">
        <v>5200</v>
      </c>
      <c r="I13" s="46" t="s">
        <v>432</v>
      </c>
      <c r="J13" s="46" t="s">
        <v>95</v>
      </c>
      <c r="K13" s="46" t="s">
        <v>96</v>
      </c>
      <c r="L13" s="46"/>
      <c r="M13" s="46"/>
      <c r="N13" s="46">
        <v>1</v>
      </c>
      <c r="O13" s="46"/>
      <c r="P13" s="46">
        <v>5.3000001907348597</v>
      </c>
      <c r="Q13" s="46" t="s">
        <v>403</v>
      </c>
    </row>
    <row r="14" spans="1:17">
      <c r="A14" s="46" t="s">
        <v>605</v>
      </c>
      <c r="B14" s="46" t="s">
        <v>23</v>
      </c>
      <c r="C14" s="46" t="s">
        <v>406</v>
      </c>
      <c r="D14" s="46" t="s">
        <v>141</v>
      </c>
      <c r="E14" s="46" t="s">
        <v>337</v>
      </c>
      <c r="F14" s="46">
        <v>9.6000003814697195</v>
      </c>
      <c r="G14" s="46">
        <v>1</v>
      </c>
      <c r="H14" s="46">
        <v>5100</v>
      </c>
      <c r="I14" s="46" t="s">
        <v>450</v>
      </c>
      <c r="J14" s="46" t="s">
        <v>5</v>
      </c>
      <c r="K14" s="46" t="s">
        <v>451</v>
      </c>
      <c r="L14" s="46"/>
      <c r="M14" s="46"/>
      <c r="N14" s="46">
        <v>1</v>
      </c>
      <c r="O14" s="46"/>
      <c r="P14" s="46">
        <v>9.6000003814697195</v>
      </c>
      <c r="Q14" s="46" t="s">
        <v>403</v>
      </c>
    </row>
    <row r="15" spans="1:17">
      <c r="A15" s="46" t="s">
        <v>606</v>
      </c>
      <c r="B15" s="46" t="s">
        <v>23</v>
      </c>
      <c r="C15" s="46" t="s">
        <v>425</v>
      </c>
      <c r="D15" s="46" t="s">
        <v>140</v>
      </c>
      <c r="E15" s="46" t="s">
        <v>426</v>
      </c>
      <c r="F15" s="46">
        <v>5.8000001907348597</v>
      </c>
      <c r="G15" s="46">
        <v>2</v>
      </c>
      <c r="H15" s="46">
        <v>5100</v>
      </c>
      <c r="I15" s="46" t="s">
        <v>465</v>
      </c>
      <c r="J15" s="46" t="s">
        <v>98</v>
      </c>
      <c r="K15" s="46" t="s">
        <v>466</v>
      </c>
      <c r="L15" s="46"/>
      <c r="M15" s="46"/>
      <c r="N15" s="46">
        <v>1</v>
      </c>
      <c r="O15" s="46"/>
      <c r="P15" s="46">
        <v>5.8000001907348597</v>
      </c>
      <c r="Q15" s="46" t="s">
        <v>403</v>
      </c>
    </row>
    <row r="16" spans="1:17">
      <c r="A16" s="46" t="s">
        <v>607</v>
      </c>
      <c r="B16" s="46" t="s">
        <v>23</v>
      </c>
      <c r="C16" s="46" t="s">
        <v>414</v>
      </c>
      <c r="D16" s="46" t="s">
        <v>58</v>
      </c>
      <c r="E16" s="46" t="s">
        <v>415</v>
      </c>
      <c r="F16" s="46">
        <v>2.7999999523162802</v>
      </c>
      <c r="G16" s="46">
        <v>2</v>
      </c>
      <c r="H16" s="46">
        <v>5000</v>
      </c>
      <c r="I16" s="46" t="s">
        <v>470</v>
      </c>
      <c r="J16" s="46" t="s">
        <v>39</v>
      </c>
      <c r="K16" s="46" t="s">
        <v>12</v>
      </c>
      <c r="L16" s="46"/>
      <c r="M16" s="46"/>
      <c r="N16" s="46">
        <v>1</v>
      </c>
      <c r="O16" s="46"/>
      <c r="P16" s="46">
        <v>2.7999999523162802</v>
      </c>
      <c r="Q16" s="46" t="s">
        <v>403</v>
      </c>
    </row>
    <row r="17" spans="1:17">
      <c r="A17" s="46" t="s">
        <v>608</v>
      </c>
      <c r="B17" s="46" t="s">
        <v>23</v>
      </c>
      <c r="C17" s="46" t="s">
        <v>412</v>
      </c>
      <c r="D17" s="46" t="s">
        <v>60</v>
      </c>
      <c r="E17" s="46" t="s">
        <v>225</v>
      </c>
      <c r="F17" s="46">
        <v>4.75</v>
      </c>
      <c r="G17" s="46">
        <v>2</v>
      </c>
      <c r="H17" s="46">
        <v>5000</v>
      </c>
      <c r="I17" s="46" t="s">
        <v>436</v>
      </c>
      <c r="J17" s="46" t="s">
        <v>3</v>
      </c>
      <c r="K17" s="46" t="s">
        <v>41</v>
      </c>
      <c r="L17" s="46"/>
      <c r="M17" s="46"/>
      <c r="N17" s="46">
        <v>1</v>
      </c>
      <c r="O17" s="46"/>
      <c r="P17" s="46">
        <v>4.75</v>
      </c>
      <c r="Q17" s="46" t="s">
        <v>403</v>
      </c>
    </row>
    <row r="18" spans="1:17">
      <c r="A18" s="46" t="s">
        <v>609</v>
      </c>
      <c r="B18" s="46" t="s">
        <v>23</v>
      </c>
      <c r="C18" s="46" t="s">
        <v>410</v>
      </c>
      <c r="D18" s="46" t="s">
        <v>69</v>
      </c>
      <c r="E18" s="46" t="s">
        <v>411</v>
      </c>
      <c r="F18" s="46">
        <v>0.30000001192092801</v>
      </c>
      <c r="G18" s="46">
        <v>2</v>
      </c>
      <c r="H18" s="46">
        <v>5000</v>
      </c>
      <c r="I18" s="46" t="s">
        <v>434</v>
      </c>
      <c r="J18" s="46" t="s">
        <v>40</v>
      </c>
      <c r="K18" s="46" t="s">
        <v>99</v>
      </c>
      <c r="L18" s="46"/>
      <c r="M18" s="46"/>
      <c r="N18" s="46">
        <v>1</v>
      </c>
      <c r="O18" s="46"/>
      <c r="P18" s="46">
        <v>0.30000001192092801</v>
      </c>
      <c r="Q18" s="46" t="s">
        <v>403</v>
      </c>
    </row>
    <row r="19" spans="1:17">
      <c r="A19" s="46" t="s">
        <v>610</v>
      </c>
      <c r="B19" s="46" t="s">
        <v>23</v>
      </c>
      <c r="C19" s="46" t="s">
        <v>344</v>
      </c>
      <c r="D19" s="46" t="s">
        <v>611</v>
      </c>
      <c r="E19" s="46" t="s">
        <v>612</v>
      </c>
      <c r="F19" s="46">
        <v>3.6500000953674299</v>
      </c>
      <c r="G19" s="46">
        <v>2</v>
      </c>
      <c r="H19" s="46">
        <v>4900</v>
      </c>
      <c r="I19" s="46" t="s">
        <v>465</v>
      </c>
      <c r="J19" s="46" t="s">
        <v>466</v>
      </c>
      <c r="K19" s="46" t="s">
        <v>98</v>
      </c>
      <c r="L19" s="46"/>
      <c r="M19" s="46"/>
      <c r="N19" s="46">
        <v>1</v>
      </c>
      <c r="O19" s="46"/>
      <c r="P19" s="46">
        <v>3.6500000953674299</v>
      </c>
      <c r="Q19" s="46" t="s">
        <v>403</v>
      </c>
    </row>
    <row r="20" spans="1:17">
      <c r="A20" s="46" t="s">
        <v>613</v>
      </c>
      <c r="B20" s="46" t="s">
        <v>23</v>
      </c>
      <c r="C20" s="46" t="s">
        <v>322</v>
      </c>
      <c r="D20" s="46" t="s">
        <v>614</v>
      </c>
      <c r="E20" s="46" t="s">
        <v>615</v>
      </c>
      <c r="F20" s="46">
        <v>2</v>
      </c>
      <c r="G20" s="46">
        <v>2</v>
      </c>
      <c r="H20" s="46">
        <v>4900</v>
      </c>
      <c r="I20" s="46" t="s">
        <v>436</v>
      </c>
      <c r="J20" s="46" t="s">
        <v>41</v>
      </c>
      <c r="K20" s="46" t="s">
        <v>3</v>
      </c>
      <c r="L20" s="46"/>
      <c r="M20" s="46"/>
      <c r="N20" s="46">
        <v>1</v>
      </c>
      <c r="O20" s="46"/>
      <c r="P20" s="46">
        <v>2</v>
      </c>
      <c r="Q20" s="46" t="s">
        <v>403</v>
      </c>
    </row>
    <row r="21" spans="1:17">
      <c r="A21" s="46" t="s">
        <v>616</v>
      </c>
      <c r="B21" s="46" t="s">
        <v>23</v>
      </c>
      <c r="C21" s="46" t="s">
        <v>420</v>
      </c>
      <c r="D21" s="46" t="s">
        <v>70</v>
      </c>
      <c r="E21" s="46" t="s">
        <v>421</v>
      </c>
      <c r="F21" s="46">
        <v>0.69999998807907104</v>
      </c>
      <c r="G21" s="46">
        <v>2</v>
      </c>
      <c r="H21" s="46">
        <v>4800</v>
      </c>
      <c r="I21" s="46" t="s">
        <v>470</v>
      </c>
      <c r="J21" s="46" t="s">
        <v>12</v>
      </c>
      <c r="K21" s="46" t="s">
        <v>39</v>
      </c>
      <c r="L21" s="46"/>
      <c r="M21" s="46"/>
      <c r="N21" s="46">
        <v>1</v>
      </c>
      <c r="O21" s="46"/>
      <c r="P21" s="46">
        <v>0.69999998807907104</v>
      </c>
      <c r="Q21" s="46" t="s">
        <v>403</v>
      </c>
    </row>
    <row r="22" spans="1:17">
      <c r="A22" s="46" t="s">
        <v>617</v>
      </c>
      <c r="B22" s="46" t="s">
        <v>23</v>
      </c>
      <c r="C22" s="46" t="s">
        <v>263</v>
      </c>
      <c r="D22" s="46" t="s">
        <v>73</v>
      </c>
      <c r="E22" s="46" t="s">
        <v>419</v>
      </c>
      <c r="F22" s="46">
        <v>3.0999999046325599</v>
      </c>
      <c r="G22" s="46">
        <v>2</v>
      </c>
      <c r="H22" s="46">
        <v>4800</v>
      </c>
      <c r="I22" s="46" t="s">
        <v>432</v>
      </c>
      <c r="J22" s="46" t="s">
        <v>96</v>
      </c>
      <c r="K22" s="46" t="s">
        <v>95</v>
      </c>
      <c r="L22" s="46"/>
      <c r="M22" s="46"/>
      <c r="N22" s="46">
        <v>1</v>
      </c>
      <c r="O22" s="46"/>
      <c r="P22" s="46">
        <v>3.0999999046325599</v>
      </c>
      <c r="Q22" s="46" t="s">
        <v>403</v>
      </c>
    </row>
    <row r="23" spans="1:17">
      <c r="A23" s="46" t="s">
        <v>618</v>
      </c>
      <c r="B23" s="46" t="s">
        <v>23</v>
      </c>
      <c r="C23" s="46" t="s">
        <v>235</v>
      </c>
      <c r="D23" s="46" t="s">
        <v>72</v>
      </c>
      <c r="E23" s="46" t="s">
        <v>416</v>
      </c>
      <c r="F23" s="46">
        <v>3.70000004768371</v>
      </c>
      <c r="G23" s="46">
        <v>1</v>
      </c>
      <c r="H23" s="46">
        <v>4800</v>
      </c>
      <c r="I23" s="46" t="s">
        <v>453</v>
      </c>
      <c r="J23" s="46" t="s">
        <v>11</v>
      </c>
      <c r="K23" s="46" t="s">
        <v>9</v>
      </c>
      <c r="L23" s="46"/>
      <c r="M23" s="46"/>
      <c r="N23" s="46">
        <v>1</v>
      </c>
      <c r="O23" s="46"/>
      <c r="P23" s="46">
        <v>3.70000004768371</v>
      </c>
      <c r="Q23" s="46" t="s">
        <v>403</v>
      </c>
    </row>
    <row r="24" spans="1:17">
      <c r="A24" s="46" t="s">
        <v>619</v>
      </c>
      <c r="B24" s="46" t="s">
        <v>23</v>
      </c>
      <c r="C24" s="46" t="s">
        <v>239</v>
      </c>
      <c r="D24" s="46" t="s">
        <v>139</v>
      </c>
      <c r="E24" s="46" t="s">
        <v>422</v>
      </c>
      <c r="F24" s="46">
        <v>0.80000001192092896</v>
      </c>
      <c r="G24" s="46">
        <v>1</v>
      </c>
      <c r="H24" s="46">
        <v>4800</v>
      </c>
      <c r="I24" s="46" t="s">
        <v>430</v>
      </c>
      <c r="J24" s="46" t="s">
        <v>97</v>
      </c>
      <c r="K24" s="46" t="s">
        <v>43</v>
      </c>
      <c r="L24" s="46"/>
      <c r="M24" s="46"/>
      <c r="N24" s="46">
        <v>1</v>
      </c>
      <c r="O24" s="46"/>
      <c r="P24" s="46">
        <v>0.80000001192092896</v>
      </c>
      <c r="Q24" s="46" t="s">
        <v>403</v>
      </c>
    </row>
    <row r="25" spans="1:17">
      <c r="A25" s="46" t="s">
        <v>620</v>
      </c>
      <c r="B25" s="46" t="s">
        <v>23</v>
      </c>
      <c r="C25" s="46" t="s">
        <v>385</v>
      </c>
      <c r="D25" s="46" t="s">
        <v>621</v>
      </c>
      <c r="E25" s="46" t="s">
        <v>622</v>
      </c>
      <c r="F25" s="46">
        <v>2.6500000953674299</v>
      </c>
      <c r="G25" s="46">
        <v>2</v>
      </c>
      <c r="H25" s="46">
        <v>4500</v>
      </c>
      <c r="I25" s="46" t="s">
        <v>434</v>
      </c>
      <c r="J25" s="46" t="s">
        <v>99</v>
      </c>
      <c r="K25" s="46" t="s">
        <v>40</v>
      </c>
      <c r="L25" s="46"/>
      <c r="M25" s="46"/>
      <c r="N25" s="46">
        <v>1</v>
      </c>
      <c r="O25" s="46"/>
      <c r="P25" s="46">
        <v>2.6500000953674299</v>
      </c>
      <c r="Q25" s="46" t="s">
        <v>403</v>
      </c>
    </row>
    <row r="26" spans="1:17">
      <c r="A26" s="46" t="s">
        <v>623</v>
      </c>
      <c r="B26" s="46" t="s">
        <v>23</v>
      </c>
      <c r="C26" s="46" t="s">
        <v>624</v>
      </c>
      <c r="D26" s="46" t="s">
        <v>625</v>
      </c>
      <c r="E26" s="46" t="s">
        <v>626</v>
      </c>
      <c r="F26" s="46">
        <v>3.7999999523162802</v>
      </c>
      <c r="G26" s="46">
        <v>1</v>
      </c>
      <c r="H26" s="46">
        <v>4400</v>
      </c>
      <c r="I26" s="46" t="s">
        <v>428</v>
      </c>
      <c r="J26" s="46" t="s">
        <v>15</v>
      </c>
      <c r="K26" s="46" t="s">
        <v>47</v>
      </c>
      <c r="L26" s="46"/>
      <c r="M26" s="46"/>
      <c r="N26" s="46">
        <v>1</v>
      </c>
      <c r="O26" s="46"/>
      <c r="P26" s="46">
        <v>3.7999999523162802</v>
      </c>
      <c r="Q26" s="46" t="s">
        <v>403</v>
      </c>
    </row>
    <row r="27" spans="1:17">
      <c r="A27" s="46" t="s">
        <v>627</v>
      </c>
      <c r="B27" s="46" t="s">
        <v>23</v>
      </c>
      <c r="C27" s="46" t="s">
        <v>628</v>
      </c>
      <c r="D27" s="46" t="s">
        <v>629</v>
      </c>
      <c r="E27" s="46" t="s">
        <v>630</v>
      </c>
      <c r="F27" s="46">
        <v>1.79999995231628</v>
      </c>
      <c r="G27" s="46">
        <v>2</v>
      </c>
      <c r="H27" s="46">
        <v>4000</v>
      </c>
      <c r="I27" s="46" t="s">
        <v>447</v>
      </c>
      <c r="J27" s="46" t="s">
        <v>448</v>
      </c>
      <c r="K27" s="46" t="s">
        <v>17</v>
      </c>
      <c r="L27" s="46"/>
      <c r="M27" s="46"/>
      <c r="N27" s="46">
        <v>1</v>
      </c>
      <c r="O27" s="46"/>
      <c r="P27" s="46">
        <v>1.79999995231628</v>
      </c>
      <c r="Q27" s="46" t="s">
        <v>403</v>
      </c>
    </row>
    <row r="28" spans="1:17">
      <c r="A28" s="24"/>
      <c r="B28" s="25"/>
      <c r="C28" s="26"/>
      <c r="D28" s="27"/>
      <c r="E28" s="28"/>
    </row>
    <row r="29" spans="1:17">
      <c r="A29" s="24"/>
      <c r="B29" s="25"/>
      <c r="C29" s="26"/>
      <c r="D29" s="27"/>
      <c r="E29" s="28"/>
    </row>
    <row r="30" spans="1:17">
      <c r="A30" s="24"/>
      <c r="B30" s="25"/>
      <c r="C30" s="26"/>
      <c r="D30" s="27"/>
      <c r="E30" s="28"/>
    </row>
    <row r="31" spans="1:17">
      <c r="A31" s="24"/>
      <c r="B31" s="25"/>
      <c r="C31" s="26"/>
      <c r="D31" s="27"/>
      <c r="E31" s="28"/>
    </row>
    <row r="32" spans="1:17">
      <c r="A32" s="24"/>
      <c r="B32" s="25"/>
      <c r="C32" s="26"/>
      <c r="D32" s="27"/>
      <c r="E32" s="28"/>
    </row>
    <row r="33" spans="1:5">
      <c r="A33" s="24"/>
      <c r="B33" s="25"/>
      <c r="C33" s="26"/>
      <c r="D33" s="27"/>
      <c r="E33" s="28"/>
    </row>
    <row r="34" spans="1:5">
      <c r="A34" s="24"/>
      <c r="B34" s="25"/>
      <c r="C34" s="26"/>
      <c r="D34" s="27"/>
      <c r="E34" s="28"/>
    </row>
    <row r="35" spans="1:5">
      <c r="A35" s="24"/>
      <c r="B35" s="25"/>
      <c r="C35" s="26"/>
      <c r="D35" s="27"/>
      <c r="E35" s="28"/>
    </row>
    <row r="36" spans="1:5">
      <c r="A36" s="24"/>
      <c r="B36" s="25"/>
      <c r="C36" s="26"/>
      <c r="D36" s="27"/>
      <c r="E36" s="28"/>
    </row>
    <row r="37" spans="1:5">
      <c r="A37" s="24"/>
      <c r="B37" s="25"/>
      <c r="C37" s="26"/>
      <c r="D37" s="27"/>
      <c r="E37" s="28"/>
    </row>
    <row r="38" spans="1:5">
      <c r="A38" s="24"/>
      <c r="B38" s="25"/>
      <c r="C38" s="26"/>
      <c r="D38" s="27"/>
      <c r="E38" s="28"/>
    </row>
    <row r="39" spans="1:5">
      <c r="A39" s="24"/>
      <c r="B39" s="25"/>
      <c r="C39" s="26"/>
      <c r="D39" s="27"/>
      <c r="E39" s="28"/>
    </row>
    <row r="40" spans="1:5">
      <c r="A40" s="24"/>
      <c r="B40" s="25"/>
      <c r="C40" s="26"/>
      <c r="D40" s="27"/>
      <c r="E40" s="28"/>
    </row>
    <row r="41" spans="1:5">
      <c r="A41" s="24"/>
      <c r="B41" s="25"/>
      <c r="C41" s="26"/>
      <c r="D41" s="27"/>
      <c r="E41" s="28"/>
    </row>
    <row r="42" spans="1:5">
      <c r="A42" s="24"/>
      <c r="B42" s="25"/>
      <c r="C42" s="26"/>
      <c r="D42" s="27"/>
      <c r="E42" s="28"/>
    </row>
    <row r="43" spans="1:5">
      <c r="A43" s="24"/>
      <c r="B43" s="25"/>
      <c r="C43" s="26"/>
      <c r="D43" s="27"/>
      <c r="E43" s="28"/>
    </row>
    <row r="44" spans="1:5">
      <c r="A44" s="24"/>
      <c r="B44" s="25"/>
      <c r="C44" s="26"/>
      <c r="D44" s="27"/>
      <c r="E44" s="28"/>
    </row>
    <row r="45" spans="1:5">
      <c r="A45" s="24"/>
      <c r="B45" s="25"/>
      <c r="C45" s="26"/>
      <c r="D45" s="27"/>
      <c r="E45" s="28"/>
    </row>
    <row r="46" spans="1:5">
      <c r="A46" s="24"/>
      <c r="B46" s="25"/>
      <c r="C46" s="26"/>
      <c r="D46" s="27"/>
      <c r="E46" s="28"/>
    </row>
    <row r="47" spans="1:5">
      <c r="A47" s="24"/>
      <c r="B47" s="25"/>
      <c r="C47" s="26"/>
      <c r="D47" s="27"/>
      <c r="E47" s="28"/>
    </row>
    <row r="48" spans="1:5">
      <c r="A48" s="24"/>
      <c r="B48" s="25"/>
      <c r="C48" s="26"/>
      <c r="D48" s="27"/>
      <c r="E48" s="28"/>
    </row>
    <row r="49" spans="1:5">
      <c r="A49" s="24"/>
      <c r="B49" s="25"/>
      <c r="C49" s="26"/>
      <c r="D49" s="27"/>
      <c r="E49" s="28"/>
    </row>
    <row r="50" spans="1:5">
      <c r="A50" s="24"/>
      <c r="B50" s="25"/>
      <c r="C50" s="26"/>
      <c r="D50" s="27"/>
      <c r="E50" s="28"/>
    </row>
    <row r="51" spans="1:5">
      <c r="A51" s="24"/>
      <c r="B51" s="25"/>
      <c r="C51" s="26"/>
      <c r="D51" s="27"/>
      <c r="E51" s="28"/>
    </row>
    <row r="52" spans="1:5">
      <c r="A52" s="24"/>
      <c r="B52" s="25"/>
      <c r="C52" s="26"/>
      <c r="D52" s="27"/>
      <c r="E52" s="28"/>
    </row>
    <row r="53" spans="1:5">
      <c r="A53" s="24"/>
      <c r="B53" s="25"/>
      <c r="C53" s="26"/>
      <c r="D53" s="27"/>
      <c r="E53" s="28"/>
    </row>
    <row r="54" spans="1:5">
      <c r="A54" s="24"/>
      <c r="B54" s="25"/>
      <c r="C54" s="26"/>
      <c r="D54" s="27"/>
      <c r="E54" s="28"/>
    </row>
    <row r="55" spans="1:5">
      <c r="A55" s="24"/>
      <c r="B55" s="25"/>
      <c r="C55" s="26"/>
      <c r="D55" s="27"/>
      <c r="E55" s="28"/>
    </row>
    <row r="56" spans="1:5">
      <c r="A56" s="24"/>
      <c r="B56" s="25"/>
      <c r="C56" s="26"/>
      <c r="D56" s="27"/>
      <c r="E56" s="28"/>
    </row>
    <row r="57" spans="1:5">
      <c r="A57" s="24"/>
      <c r="B57" s="25"/>
      <c r="C57" s="26"/>
      <c r="D57" s="27"/>
      <c r="E57" s="28"/>
    </row>
    <row r="58" spans="1:5">
      <c r="A58" s="24"/>
      <c r="B58" s="25"/>
      <c r="C58" s="26"/>
      <c r="D58" s="27"/>
      <c r="E58" s="28"/>
    </row>
    <row r="59" spans="1:5">
      <c r="A59" s="24"/>
      <c r="B59" s="25"/>
      <c r="C59" s="26"/>
      <c r="D59" s="27"/>
      <c r="E59" s="28"/>
    </row>
    <row r="60" spans="1:5">
      <c r="A60" s="24"/>
      <c r="B60" s="25"/>
      <c r="C60" s="26"/>
      <c r="D60" s="27"/>
      <c r="E60" s="28"/>
    </row>
    <row r="61" spans="1:5">
      <c r="A61" s="24"/>
      <c r="B61" s="25"/>
      <c r="C61" s="26"/>
      <c r="D61" s="27"/>
      <c r="E61" s="28"/>
    </row>
    <row r="62" spans="1:5">
      <c r="A62" s="24"/>
      <c r="B62" s="25"/>
      <c r="C62" s="26"/>
      <c r="D62" s="27"/>
      <c r="E62" s="28"/>
    </row>
    <row r="63" spans="1:5">
      <c r="A63" s="24"/>
      <c r="B63" s="25"/>
      <c r="C63" s="26"/>
      <c r="D63" s="27"/>
      <c r="E63" s="28"/>
    </row>
    <row r="64" spans="1:5">
      <c r="A64" s="24"/>
      <c r="B64" s="25"/>
      <c r="C64" s="26"/>
      <c r="D64" s="27"/>
      <c r="E64" s="28"/>
    </row>
    <row r="65" spans="1:5">
      <c r="A65" s="24"/>
      <c r="B65" s="25"/>
      <c r="C65" s="26"/>
      <c r="D65" s="27"/>
      <c r="E65" s="28"/>
    </row>
    <row r="66" spans="1:5">
      <c r="A66" s="24"/>
      <c r="B66" s="25"/>
      <c r="C66" s="26"/>
      <c r="D66" s="27"/>
      <c r="E66" s="28"/>
    </row>
    <row r="67" spans="1:5">
      <c r="A67" s="24"/>
      <c r="B67" s="25"/>
      <c r="C67" s="26"/>
      <c r="D67" s="27"/>
      <c r="E67" s="28"/>
    </row>
    <row r="68" spans="1:5">
      <c r="A68" s="24"/>
      <c r="B68" s="25"/>
      <c r="C68" s="26"/>
      <c r="D68" s="27"/>
      <c r="E68" s="28"/>
    </row>
    <row r="69" spans="1:5">
      <c r="A69" s="24"/>
      <c r="B69" s="25"/>
      <c r="C69" s="26"/>
      <c r="D69" s="27"/>
      <c r="E69" s="28"/>
    </row>
    <row r="70" spans="1:5">
      <c r="A70" s="24"/>
      <c r="B70" s="25"/>
      <c r="C70" s="26"/>
      <c r="D70" s="27"/>
      <c r="E70" s="28"/>
    </row>
    <row r="71" spans="1:5">
      <c r="A71" s="24"/>
      <c r="B71" s="25"/>
      <c r="C71" s="26"/>
      <c r="D71" s="27"/>
      <c r="E71" s="28"/>
    </row>
    <row r="72" spans="1:5">
      <c r="A72" s="24"/>
      <c r="B72" s="25"/>
      <c r="C72" s="26"/>
      <c r="D72" s="27"/>
      <c r="E72" s="28"/>
    </row>
    <row r="73" spans="1:5">
      <c r="A73" s="24"/>
      <c r="B73" s="25"/>
      <c r="C73" s="26"/>
      <c r="D73" s="27"/>
      <c r="E73" s="28"/>
    </row>
    <row r="74" spans="1:5">
      <c r="A74" s="24"/>
      <c r="B74" s="25"/>
      <c r="C74" s="26"/>
      <c r="D74" s="27"/>
      <c r="E74" s="28"/>
    </row>
    <row r="75" spans="1:5">
      <c r="A75" s="24"/>
      <c r="B75" s="25"/>
      <c r="C75" s="26"/>
      <c r="D75" s="27"/>
      <c r="E75" s="28"/>
    </row>
    <row r="76" spans="1:5">
      <c r="A76" s="24"/>
      <c r="B76" s="25"/>
      <c r="C76" s="26"/>
      <c r="D76" s="27"/>
      <c r="E76" s="28"/>
    </row>
    <row r="77" spans="1:5">
      <c r="A77" s="24"/>
      <c r="B77" s="25"/>
      <c r="C77" s="26"/>
      <c r="D77" s="27"/>
      <c r="E77" s="28"/>
    </row>
    <row r="78" spans="1:5">
      <c r="A78" s="24"/>
      <c r="B78" s="25"/>
      <c r="C78" s="26"/>
      <c r="D78" s="27"/>
      <c r="E78" s="28"/>
    </row>
    <row r="79" spans="1:5">
      <c r="A79" s="24"/>
      <c r="B79" s="25"/>
      <c r="C79" s="26"/>
      <c r="D79" s="27"/>
      <c r="E79" s="28"/>
    </row>
    <row r="80" spans="1:5">
      <c r="A80" s="24"/>
      <c r="B80" s="25"/>
      <c r="C80" s="26"/>
      <c r="D80" s="27"/>
      <c r="E80" s="28"/>
    </row>
    <row r="81" spans="1:5">
      <c r="A81" s="24"/>
      <c r="B81" s="25"/>
      <c r="C81" s="26"/>
      <c r="D81" s="27"/>
      <c r="E81" s="28"/>
    </row>
    <row r="82" spans="1:5">
      <c r="A82" s="24"/>
      <c r="B82" s="25"/>
      <c r="C82" s="26"/>
      <c r="D82" s="27"/>
      <c r="E82" s="28"/>
    </row>
    <row r="83" spans="1:5">
      <c r="A83" s="24"/>
      <c r="B83" s="25"/>
      <c r="C83" s="26"/>
      <c r="D83" s="27"/>
      <c r="E83" s="28"/>
    </row>
    <row r="84" spans="1:5">
      <c r="A84" s="24"/>
      <c r="B84" s="25"/>
      <c r="C84" s="26"/>
      <c r="D84" s="27"/>
      <c r="E84" s="28"/>
    </row>
    <row r="85" spans="1:5">
      <c r="A85" s="24"/>
      <c r="B85" s="25"/>
      <c r="C85" s="26"/>
      <c r="D85" s="27"/>
      <c r="E85" s="28"/>
    </row>
    <row r="86" spans="1:5">
      <c r="A86" s="24"/>
      <c r="B86" s="25"/>
      <c r="C86" s="26"/>
      <c r="D86" s="27"/>
      <c r="E86" s="28"/>
    </row>
    <row r="87" spans="1:5">
      <c r="A87" s="24"/>
      <c r="B87" s="25"/>
      <c r="C87" s="26"/>
      <c r="D87" s="27"/>
      <c r="E87" s="28"/>
    </row>
    <row r="88" spans="1:5">
      <c r="A88" s="24"/>
      <c r="B88" s="25"/>
      <c r="C88" s="26"/>
      <c r="D88" s="27"/>
      <c r="E88" s="28"/>
    </row>
    <row r="89" spans="1:5">
      <c r="A89" s="24"/>
      <c r="B89" s="25"/>
      <c r="C89" s="26"/>
      <c r="D89" s="27"/>
      <c r="E89" s="28"/>
    </row>
    <row r="90" spans="1:5">
      <c r="A90" s="24"/>
      <c r="B90" s="25"/>
      <c r="C90" s="26"/>
      <c r="D90" s="27"/>
      <c r="E90" s="28"/>
    </row>
    <row r="91" spans="1:5">
      <c r="A91" s="24"/>
      <c r="B91" s="25"/>
      <c r="C91" s="26"/>
      <c r="D91" s="27"/>
      <c r="E91" s="28"/>
    </row>
    <row r="92" spans="1:5">
      <c r="A92" s="24"/>
      <c r="B92" s="25"/>
      <c r="C92" s="26"/>
      <c r="D92" s="27"/>
      <c r="E92" s="28"/>
    </row>
    <row r="93" spans="1:5">
      <c r="A93" s="24"/>
      <c r="B93" s="25"/>
      <c r="C93" s="26"/>
      <c r="D93" s="27"/>
      <c r="E93" s="28"/>
    </row>
    <row r="94" spans="1:5">
      <c r="A94" s="24"/>
      <c r="B94" s="25"/>
      <c r="C94" s="26"/>
      <c r="D94" s="27"/>
      <c r="E94" s="28"/>
    </row>
    <row r="95" spans="1:5">
      <c r="A95" s="24"/>
      <c r="B95" s="25"/>
      <c r="C95" s="26"/>
      <c r="D95" s="27"/>
      <c r="E95" s="28"/>
    </row>
    <row r="96" spans="1:5">
      <c r="A96" s="24"/>
      <c r="B96" s="25"/>
      <c r="C96" s="26"/>
      <c r="D96" s="27"/>
      <c r="E96" s="28"/>
    </row>
    <row r="97" spans="1:5">
      <c r="A97" s="24"/>
      <c r="B97" s="25"/>
      <c r="C97" s="26"/>
      <c r="D97" s="27"/>
      <c r="E97" s="28"/>
    </row>
    <row r="98" spans="1:5">
      <c r="A98" s="24"/>
      <c r="B98" s="25"/>
      <c r="C98" s="26"/>
      <c r="D98" s="27"/>
      <c r="E98" s="28"/>
    </row>
    <row r="99" spans="1:5">
      <c r="A99" s="24"/>
      <c r="B99" s="25"/>
      <c r="C99" s="26"/>
      <c r="D99" s="27"/>
      <c r="E99" s="28"/>
    </row>
    <row r="100" spans="1:5">
      <c r="A100" s="24"/>
      <c r="B100" s="25"/>
      <c r="C100" s="26"/>
      <c r="D100" s="27"/>
      <c r="E100" s="28"/>
    </row>
    <row r="101" spans="1:5">
      <c r="A101" s="24"/>
      <c r="B101" s="25"/>
      <c r="C101" s="26"/>
      <c r="D101" s="27"/>
      <c r="E101" s="28"/>
    </row>
    <row r="102" spans="1:5">
      <c r="A102" s="24"/>
      <c r="B102" s="25"/>
      <c r="C102" s="26"/>
      <c r="D102" s="27"/>
      <c r="E102" s="28"/>
    </row>
    <row r="103" spans="1:5">
      <c r="A103" s="24"/>
      <c r="B103" s="25"/>
      <c r="C103" s="26"/>
      <c r="D103" s="27"/>
      <c r="E103" s="28"/>
    </row>
    <row r="104" spans="1:5">
      <c r="A104" s="24"/>
      <c r="B104" s="25"/>
      <c r="C104" s="26"/>
      <c r="D104" s="27"/>
      <c r="E104" s="28"/>
    </row>
    <row r="105" spans="1:5">
      <c r="A105" s="24"/>
      <c r="B105" s="25"/>
      <c r="C105" s="26"/>
      <c r="D105" s="27"/>
      <c r="E105" s="28"/>
    </row>
    <row r="106" spans="1:5">
      <c r="A106" s="24"/>
      <c r="B106" s="25"/>
      <c r="C106" s="26"/>
      <c r="D106" s="27"/>
      <c r="E106" s="28"/>
    </row>
    <row r="107" spans="1:5">
      <c r="A107" s="24"/>
      <c r="B107" s="25"/>
      <c r="C107" s="26"/>
      <c r="D107" s="27"/>
      <c r="E107" s="28"/>
    </row>
    <row r="108" spans="1:5">
      <c r="A108" s="24"/>
      <c r="B108" s="25"/>
      <c r="C108" s="26"/>
      <c r="D108" s="27"/>
      <c r="E108" s="28"/>
    </row>
    <row r="109" spans="1:5">
      <c r="A109" s="24"/>
      <c r="B109" s="25"/>
      <c r="C109" s="26"/>
      <c r="D109" s="27"/>
      <c r="E109" s="28"/>
    </row>
    <row r="110" spans="1:5">
      <c r="A110" s="24"/>
      <c r="B110" s="25"/>
      <c r="C110" s="26"/>
      <c r="D110" s="27"/>
      <c r="E110" s="28"/>
    </row>
    <row r="111" spans="1:5">
      <c r="A111" s="24"/>
      <c r="B111" s="25"/>
      <c r="C111" s="26"/>
      <c r="D111" s="27"/>
      <c r="E111" s="28"/>
    </row>
    <row r="112" spans="1:5">
      <c r="A112" s="24"/>
      <c r="B112" s="25"/>
      <c r="C112" s="26"/>
      <c r="D112" s="27"/>
      <c r="E112" s="28"/>
    </row>
    <row r="113" spans="1:5">
      <c r="A113" s="24"/>
      <c r="B113" s="25"/>
      <c r="C113" s="26"/>
      <c r="D113" s="27"/>
      <c r="E113" s="28"/>
    </row>
    <row r="114" spans="1:5">
      <c r="A114" s="24"/>
      <c r="B114" s="25"/>
      <c r="C114" s="26"/>
      <c r="D114" s="27"/>
      <c r="E114" s="28"/>
    </row>
    <row r="115" spans="1:5">
      <c r="A115" s="24"/>
      <c r="B115" s="25"/>
      <c r="C115" s="26"/>
      <c r="D115" s="27"/>
      <c r="E115" s="28"/>
    </row>
    <row r="116" spans="1:5">
      <c r="A116" s="24"/>
      <c r="B116" s="25"/>
      <c r="C116" s="26"/>
      <c r="D116" s="27"/>
      <c r="E116" s="28"/>
    </row>
    <row r="117" spans="1:5">
      <c r="A117" s="24"/>
      <c r="B117" s="25"/>
      <c r="C117" s="26"/>
      <c r="D117" s="27"/>
      <c r="E117" s="28"/>
    </row>
    <row r="118" spans="1:5">
      <c r="A118" s="24"/>
      <c r="B118" s="25"/>
      <c r="C118" s="26"/>
      <c r="D118" s="27"/>
      <c r="E118" s="28"/>
    </row>
    <row r="119" spans="1:5">
      <c r="A119" s="24"/>
      <c r="B119" s="25"/>
      <c r="C119" s="26"/>
      <c r="D119" s="27"/>
      <c r="E119" s="28"/>
    </row>
    <row r="120" spans="1:5">
      <c r="A120" s="24"/>
      <c r="B120" s="25"/>
      <c r="C120" s="26"/>
      <c r="D120" s="27"/>
      <c r="E120" s="28"/>
    </row>
    <row r="121" spans="1:5">
      <c r="A121" s="24"/>
      <c r="B121" s="25"/>
      <c r="C121" s="26"/>
      <c r="D121" s="27"/>
      <c r="E121" s="28"/>
    </row>
    <row r="122" spans="1:5">
      <c r="A122" s="24"/>
      <c r="B122" s="25"/>
      <c r="C122" s="26"/>
      <c r="D122" s="27"/>
      <c r="E122" s="28"/>
    </row>
    <row r="123" spans="1:5">
      <c r="A123" s="24"/>
      <c r="B123" s="25"/>
      <c r="C123" s="26"/>
      <c r="D123" s="27"/>
      <c r="E123" s="28"/>
    </row>
    <row r="124" spans="1:5">
      <c r="A124" s="24"/>
      <c r="B124" s="25"/>
      <c r="C124" s="26"/>
      <c r="D124" s="27"/>
      <c r="E124" s="28"/>
    </row>
    <row r="125" spans="1:5">
      <c r="A125" s="24"/>
      <c r="B125" s="25"/>
      <c r="C125" s="26"/>
      <c r="D125" s="27"/>
      <c r="E125" s="28"/>
    </row>
    <row r="126" spans="1:5">
      <c r="A126" s="24"/>
      <c r="B126" s="25"/>
      <c r="C126" s="26"/>
      <c r="D126" s="27"/>
      <c r="E126" s="28"/>
    </row>
    <row r="127" spans="1:5">
      <c r="A127" s="24"/>
      <c r="B127" s="25"/>
      <c r="C127" s="26"/>
      <c r="D127" s="27"/>
      <c r="E127" s="28"/>
    </row>
    <row r="128" spans="1:5">
      <c r="A128" s="24"/>
      <c r="B128" s="25"/>
      <c r="C128" s="26"/>
      <c r="D128" s="27"/>
      <c r="E128" s="28"/>
    </row>
    <row r="129" spans="1:5">
      <c r="A129" s="24"/>
      <c r="B129" s="25"/>
      <c r="C129" s="26"/>
      <c r="D129" s="27"/>
      <c r="E129" s="28"/>
    </row>
    <row r="130" spans="1:5">
      <c r="A130" s="24"/>
      <c r="B130" s="25"/>
      <c r="C130" s="26"/>
      <c r="D130" s="27"/>
      <c r="E130" s="28"/>
    </row>
    <row r="131" spans="1:5">
      <c r="A131" s="24"/>
      <c r="B131" s="25"/>
      <c r="C131" s="26"/>
      <c r="D131" s="27"/>
      <c r="E131" s="28"/>
    </row>
    <row r="132" spans="1:5">
      <c r="A132" s="24"/>
      <c r="B132" s="25"/>
      <c r="C132" s="26"/>
      <c r="D132" s="27"/>
      <c r="E132" s="28"/>
    </row>
    <row r="133" spans="1:5">
      <c r="A133" s="24"/>
      <c r="B133" s="25"/>
      <c r="C133" s="26"/>
      <c r="D133" s="27"/>
      <c r="E133" s="28"/>
    </row>
    <row r="134" spans="1:5">
      <c r="A134" s="24"/>
      <c r="B134" s="25"/>
      <c r="C134" s="26"/>
      <c r="D134" s="27"/>
      <c r="E134" s="28"/>
    </row>
    <row r="135" spans="1:5">
      <c r="A135" s="24"/>
      <c r="B135" s="25"/>
      <c r="C135" s="26"/>
      <c r="D135" s="27"/>
      <c r="E135" s="28"/>
    </row>
    <row r="136" spans="1:5">
      <c r="A136" s="24"/>
      <c r="B136" s="25"/>
      <c r="C136" s="26"/>
      <c r="D136" s="27"/>
      <c r="E136" s="28"/>
    </row>
    <row r="137" spans="1:5">
      <c r="A137" s="24"/>
      <c r="B137" s="25"/>
      <c r="C137" s="26"/>
      <c r="D137" s="27"/>
      <c r="E137" s="28"/>
    </row>
    <row r="138" spans="1:5">
      <c r="A138" s="24"/>
      <c r="B138" s="25"/>
      <c r="C138" s="26"/>
      <c r="D138" s="27"/>
      <c r="E138" s="28"/>
    </row>
    <row r="139" spans="1:5">
      <c r="A139" s="24"/>
      <c r="B139" s="25"/>
      <c r="C139" s="26"/>
      <c r="D139" s="27"/>
      <c r="E139" s="28"/>
    </row>
    <row r="140" spans="1:5">
      <c r="A140" s="24"/>
      <c r="B140" s="25"/>
      <c r="C140" s="26"/>
      <c r="D140" s="27"/>
      <c r="E140" s="28"/>
    </row>
    <row r="141" spans="1:5">
      <c r="A141" s="24"/>
      <c r="B141" s="25"/>
      <c r="C141" s="26"/>
      <c r="D141" s="27"/>
      <c r="E141" s="28"/>
    </row>
    <row r="142" spans="1:5">
      <c r="A142" s="24"/>
      <c r="B142" s="25"/>
      <c r="C142" s="26"/>
      <c r="D142" s="27"/>
      <c r="E142" s="28"/>
    </row>
    <row r="143" spans="1:5">
      <c r="A143" s="24"/>
      <c r="B143" s="25"/>
      <c r="C143" s="26"/>
      <c r="D143" s="27"/>
      <c r="E143" s="28"/>
    </row>
    <row r="144" spans="1:5">
      <c r="A144" s="24"/>
      <c r="B144" s="25"/>
      <c r="C144" s="26"/>
      <c r="D144" s="27"/>
      <c r="E144" s="28"/>
    </row>
    <row r="145" spans="1:5">
      <c r="A145" s="24"/>
      <c r="B145" s="25"/>
      <c r="C145" s="26"/>
      <c r="D145" s="27"/>
      <c r="E145" s="28"/>
    </row>
    <row r="146" spans="1:5">
      <c r="A146" s="24"/>
      <c r="B146" s="25"/>
      <c r="C146" s="26"/>
      <c r="D146" s="27"/>
      <c r="E146" s="28"/>
    </row>
    <row r="147" spans="1:5">
      <c r="A147" s="24"/>
      <c r="B147" s="25"/>
      <c r="C147" s="26"/>
      <c r="D147" s="27"/>
      <c r="E147" s="28"/>
    </row>
    <row r="148" spans="1:5">
      <c r="A148" s="24"/>
      <c r="B148" s="25"/>
      <c r="C148" s="26"/>
      <c r="D148" s="27"/>
      <c r="E148" s="28"/>
    </row>
    <row r="149" spans="1:5">
      <c r="A149" s="24"/>
      <c r="B149" s="25"/>
      <c r="C149" s="26"/>
      <c r="D149" s="27"/>
      <c r="E149" s="28"/>
    </row>
    <row r="150" spans="1:5">
      <c r="A150" s="24"/>
      <c r="B150" s="25"/>
      <c r="C150" s="26"/>
      <c r="D150" s="27"/>
      <c r="E150" s="28"/>
    </row>
    <row r="151" spans="1:5">
      <c r="A151" s="24"/>
      <c r="B151" s="25"/>
      <c r="C151" s="26"/>
      <c r="D151" s="27"/>
      <c r="E151" s="28"/>
    </row>
    <row r="152" spans="1:5">
      <c r="A152" s="24"/>
      <c r="B152" s="25"/>
      <c r="C152" s="26"/>
      <c r="D152" s="27"/>
      <c r="E152" s="28"/>
    </row>
    <row r="153" spans="1:5">
      <c r="A153" s="24"/>
      <c r="B153" s="25"/>
      <c r="C153" s="26"/>
      <c r="D153" s="27"/>
      <c r="E153" s="28"/>
    </row>
    <row r="154" spans="1:5">
      <c r="A154" s="24"/>
      <c r="B154" s="25"/>
      <c r="C154" s="26"/>
      <c r="D154" s="27"/>
      <c r="E154" s="28"/>
    </row>
    <row r="155" spans="1:5">
      <c r="A155" s="24"/>
      <c r="B155" s="25"/>
      <c r="C155" s="26"/>
      <c r="D155" s="27"/>
      <c r="E155" s="28"/>
    </row>
    <row r="156" spans="1:5">
      <c r="A156" s="24"/>
      <c r="B156" s="25"/>
      <c r="C156" s="26"/>
      <c r="D156" s="27"/>
      <c r="E156" s="28"/>
    </row>
    <row r="157" spans="1:5">
      <c r="A157" s="24"/>
      <c r="B157" s="25"/>
      <c r="C157" s="26"/>
      <c r="D157" s="27"/>
      <c r="E157" s="28"/>
    </row>
    <row r="158" spans="1:5">
      <c r="A158" s="24"/>
      <c r="B158" s="25"/>
      <c r="C158" s="26"/>
      <c r="D158" s="27"/>
      <c r="E158" s="28"/>
    </row>
    <row r="159" spans="1:5">
      <c r="A159" s="24"/>
      <c r="B159" s="25"/>
      <c r="C159" s="26"/>
      <c r="D159" s="27"/>
      <c r="E159" s="28"/>
    </row>
    <row r="160" spans="1:5">
      <c r="A160" s="24"/>
      <c r="B160" s="25"/>
      <c r="C160" s="26"/>
      <c r="D160" s="27"/>
      <c r="E160" s="28"/>
    </row>
    <row r="161" spans="1:5">
      <c r="A161" s="24"/>
      <c r="B161" s="25"/>
      <c r="C161" s="26"/>
      <c r="D161" s="27"/>
      <c r="E161" s="28"/>
    </row>
    <row r="162" spans="1:5">
      <c r="A162" s="24"/>
      <c r="B162" s="25"/>
      <c r="C162" s="26"/>
      <c r="D162" s="27"/>
      <c r="E162" s="28"/>
    </row>
    <row r="163" spans="1:5">
      <c r="A163" s="24"/>
      <c r="B163" s="25"/>
      <c r="C163" s="26"/>
      <c r="D163" s="27"/>
      <c r="E163" s="28"/>
    </row>
    <row r="164" spans="1:5">
      <c r="A164" s="24"/>
      <c r="B164" s="25"/>
      <c r="C164" s="26"/>
      <c r="D164" s="27"/>
      <c r="E164" s="28"/>
    </row>
    <row r="165" spans="1:5">
      <c r="A165" s="24"/>
      <c r="B165" s="25"/>
      <c r="C165" s="26"/>
      <c r="D165" s="27"/>
      <c r="E165" s="28"/>
    </row>
    <row r="166" spans="1:5">
      <c r="A166" s="24"/>
      <c r="B166" s="25"/>
      <c r="C166" s="26"/>
      <c r="D166" s="27"/>
      <c r="E166" s="28"/>
    </row>
    <row r="167" spans="1:5">
      <c r="A167" s="24"/>
      <c r="B167" s="25"/>
      <c r="C167" s="26"/>
      <c r="D167" s="27"/>
      <c r="E167" s="28"/>
    </row>
    <row r="168" spans="1:5">
      <c r="A168" s="24"/>
      <c r="B168" s="25"/>
      <c r="C168" s="26"/>
      <c r="D168" s="27"/>
      <c r="E168" s="28"/>
    </row>
    <row r="169" spans="1:5">
      <c r="A169" s="24"/>
      <c r="B169" s="25"/>
      <c r="C169" s="26"/>
      <c r="D169" s="27"/>
      <c r="E169" s="28"/>
    </row>
    <row r="170" spans="1:5">
      <c r="A170" s="24"/>
      <c r="B170" s="25"/>
      <c r="C170" s="26"/>
      <c r="D170" s="27"/>
      <c r="E170" s="28"/>
    </row>
    <row r="171" spans="1:5">
      <c r="A171" s="24"/>
      <c r="B171" s="25"/>
      <c r="C171" s="26"/>
      <c r="D171" s="27"/>
      <c r="E171" s="28"/>
    </row>
    <row r="172" spans="1:5">
      <c r="A172" s="24"/>
      <c r="B172" s="25"/>
      <c r="C172" s="26"/>
      <c r="D172" s="27"/>
      <c r="E172" s="28"/>
    </row>
    <row r="173" spans="1:5">
      <c r="A173" s="24"/>
      <c r="B173" s="25"/>
      <c r="C173" s="26"/>
      <c r="D173" s="27"/>
      <c r="E173" s="28"/>
    </row>
    <row r="174" spans="1:5">
      <c r="A174" s="24"/>
      <c r="B174" s="25"/>
      <c r="C174" s="26"/>
      <c r="D174" s="27"/>
      <c r="E174" s="28"/>
    </row>
    <row r="175" spans="1:5">
      <c r="A175" s="24"/>
      <c r="B175" s="25"/>
      <c r="C175" s="26"/>
      <c r="D175" s="27"/>
      <c r="E175" s="28"/>
    </row>
    <row r="176" spans="1:5">
      <c r="A176" s="24"/>
      <c r="B176" s="25"/>
      <c r="C176" s="26"/>
      <c r="D176" s="27"/>
      <c r="E176" s="28"/>
    </row>
    <row r="177" spans="1:5">
      <c r="A177" s="24"/>
      <c r="B177" s="25"/>
      <c r="C177" s="26"/>
      <c r="D177" s="27"/>
      <c r="E177" s="28"/>
    </row>
    <row r="178" spans="1:5">
      <c r="A178" s="24"/>
      <c r="B178" s="25"/>
      <c r="C178" s="26"/>
      <c r="D178" s="27"/>
      <c r="E178" s="28"/>
    </row>
    <row r="179" spans="1:5">
      <c r="A179" s="24"/>
      <c r="B179" s="25"/>
      <c r="C179" s="26"/>
      <c r="E179" s="28"/>
    </row>
    <row r="180" spans="1:5">
      <c r="C180" s="11"/>
      <c r="E180" s="11"/>
    </row>
    <row r="181" spans="1:5">
      <c r="C181" s="11"/>
      <c r="E181" s="11"/>
    </row>
    <row r="182" spans="1:5">
      <c r="C182" s="11"/>
      <c r="E182" s="11"/>
    </row>
    <row r="183" spans="1:5">
      <c r="C183" s="11"/>
      <c r="E183" s="11"/>
    </row>
    <row r="184" spans="1:5">
      <c r="C184" s="11"/>
      <c r="E184" s="11"/>
    </row>
    <row r="185" spans="1:5">
      <c r="C185" s="11"/>
      <c r="E185" s="11"/>
    </row>
    <row r="186" spans="1:5">
      <c r="C186" s="11"/>
      <c r="E186" s="11"/>
    </row>
    <row r="187" spans="1:5">
      <c r="C187" s="11"/>
      <c r="E187" s="11"/>
    </row>
    <row r="188" spans="1:5">
      <c r="C188" s="11"/>
      <c r="E188" s="11"/>
    </row>
    <row r="189" spans="1:5">
      <c r="C189" s="11"/>
      <c r="E189" s="11"/>
    </row>
    <row r="190" spans="1:5">
      <c r="C190" s="11"/>
      <c r="E190" s="11"/>
    </row>
    <row r="191" spans="1:5">
      <c r="C191" s="11"/>
      <c r="E191" s="11"/>
    </row>
    <row r="192" spans="1:5">
      <c r="C192" s="11"/>
      <c r="E192" s="11"/>
    </row>
    <row r="193" spans="3:5">
      <c r="C193" s="11"/>
      <c r="E193" s="11"/>
    </row>
    <row r="194" spans="3:5">
      <c r="C194" s="11"/>
      <c r="E194" s="11"/>
    </row>
    <row r="195" spans="3:5">
      <c r="C195" s="11"/>
      <c r="E195" s="11"/>
    </row>
    <row r="196" spans="3:5">
      <c r="C196" s="11"/>
      <c r="E196" s="11"/>
    </row>
    <row r="197" spans="3:5">
      <c r="C197" s="11"/>
      <c r="E197" s="11"/>
    </row>
    <row r="198" spans="3:5">
      <c r="C198" s="11"/>
      <c r="E198" s="11"/>
    </row>
    <row r="199" spans="3:5">
      <c r="C199" s="11"/>
      <c r="E199" s="11"/>
    </row>
    <row r="200" spans="3:5">
      <c r="C200" s="11"/>
      <c r="E200" s="11"/>
    </row>
    <row r="201" spans="3:5">
      <c r="C201" s="11"/>
      <c r="E201" s="11"/>
    </row>
    <row r="202" spans="3:5">
      <c r="C202" s="11"/>
      <c r="E202" s="11"/>
    </row>
    <row r="203" spans="3:5">
      <c r="C203" s="11"/>
      <c r="E203" s="11"/>
    </row>
    <row r="204" spans="3:5">
      <c r="C204" s="11"/>
      <c r="E204" s="11"/>
    </row>
    <row r="205" spans="3:5">
      <c r="C205" s="11"/>
      <c r="E205" s="11"/>
    </row>
    <row r="206" spans="3:5">
      <c r="C206" s="11"/>
      <c r="E206" s="11"/>
    </row>
    <row r="207" spans="3:5">
      <c r="C207" s="11"/>
      <c r="E207" s="11"/>
    </row>
    <row r="208" spans="3:5">
      <c r="C208" s="11"/>
      <c r="E208" s="11"/>
    </row>
    <row r="209" spans="3:5">
      <c r="C209" s="11"/>
      <c r="E209" s="11"/>
    </row>
    <row r="210" spans="3:5">
      <c r="C210" s="11"/>
      <c r="E210" s="11"/>
    </row>
    <row r="211" spans="3:5">
      <c r="C211" s="11"/>
      <c r="E211" s="11"/>
    </row>
    <row r="212" spans="3:5">
      <c r="C212" s="11"/>
      <c r="E212" s="11"/>
    </row>
    <row r="213" spans="3:5">
      <c r="C213" s="11"/>
      <c r="E213" s="11"/>
    </row>
    <row r="214" spans="3:5">
      <c r="C214" s="11"/>
      <c r="E214" s="11"/>
    </row>
    <row r="215" spans="3:5">
      <c r="C215" s="11"/>
      <c r="E215" s="11"/>
    </row>
    <row r="216" spans="3:5">
      <c r="C216" s="11"/>
      <c r="E216" s="11"/>
    </row>
    <row r="217" spans="3:5">
      <c r="C217" s="11"/>
      <c r="E217" s="11"/>
    </row>
    <row r="218" spans="3:5">
      <c r="C218" s="11"/>
      <c r="E218" s="11"/>
    </row>
    <row r="219" spans="3:5">
      <c r="C219" s="11"/>
      <c r="E219" s="11"/>
    </row>
    <row r="220" spans="3:5">
      <c r="C220" s="11"/>
      <c r="E220" s="11"/>
    </row>
    <row r="221" spans="3:5">
      <c r="C221" s="11"/>
      <c r="E221" s="11"/>
    </row>
    <row r="222" spans="3:5">
      <c r="C222" s="11"/>
      <c r="E222" s="11"/>
    </row>
    <row r="223" spans="3:5">
      <c r="C223" s="11"/>
      <c r="E223" s="11"/>
    </row>
    <row r="224" spans="3:5">
      <c r="C224" s="11"/>
      <c r="E224" s="11"/>
    </row>
    <row r="225" spans="3:5">
      <c r="C225" s="11"/>
      <c r="E225" s="11"/>
    </row>
    <row r="226" spans="3:5">
      <c r="C226" s="11"/>
      <c r="E226" s="11"/>
    </row>
    <row r="227" spans="3:5">
      <c r="C227" s="11"/>
      <c r="E227" s="11"/>
    </row>
    <row r="228" spans="3:5">
      <c r="C228" s="11"/>
      <c r="E228" s="11"/>
    </row>
    <row r="229" spans="3:5">
      <c r="C229" s="11"/>
      <c r="E229" s="11"/>
    </row>
    <row r="230" spans="3:5">
      <c r="C230" s="11"/>
      <c r="E230" s="11"/>
    </row>
    <row r="231" spans="3:5">
      <c r="C231" s="11"/>
      <c r="E231" s="11"/>
    </row>
    <row r="232" spans="3:5">
      <c r="C232" s="11"/>
      <c r="E232" s="11"/>
    </row>
    <row r="233" spans="3:5">
      <c r="C233" s="11"/>
      <c r="E233" s="11"/>
    </row>
    <row r="234" spans="3:5">
      <c r="C234" s="11"/>
      <c r="E234" s="11"/>
    </row>
    <row r="235" spans="3:5">
      <c r="C235" s="11"/>
      <c r="E235" s="11"/>
    </row>
    <row r="236" spans="3:5">
      <c r="C236" s="11"/>
      <c r="E236" s="11"/>
    </row>
    <row r="237" spans="3:5">
      <c r="C237" s="11"/>
      <c r="E237" s="11"/>
    </row>
    <row r="238" spans="3:5">
      <c r="C238" s="11"/>
      <c r="E238" s="11"/>
    </row>
    <row r="239" spans="3:5">
      <c r="C239" s="11"/>
      <c r="E239" s="11"/>
    </row>
    <row r="240" spans="3:5">
      <c r="C240" s="11"/>
      <c r="E240" s="11"/>
    </row>
    <row r="241" spans="3:5">
      <c r="C241" s="11"/>
      <c r="E241" s="11"/>
    </row>
    <row r="242" spans="3:5">
      <c r="C242" s="11"/>
      <c r="E242" s="11"/>
    </row>
    <row r="243" spans="3:5">
      <c r="C243" s="11"/>
      <c r="E243" s="11"/>
    </row>
    <row r="244" spans="3:5">
      <c r="C244" s="11"/>
      <c r="E244" s="11"/>
    </row>
    <row r="245" spans="3:5">
      <c r="C245" s="11"/>
      <c r="E245" s="11"/>
    </row>
    <row r="246" spans="3:5">
      <c r="C246" s="11"/>
    </row>
    <row r="247" spans="3:5">
      <c r="C247" s="11"/>
    </row>
    <row r="248" spans="3:5">
      <c r="C248" s="11"/>
    </row>
    <row r="249" spans="3:5">
      <c r="C249" s="11"/>
    </row>
    <row r="250" spans="3:5">
      <c r="C250" s="11"/>
    </row>
    <row r="251" spans="3:5">
      <c r="C251" s="11"/>
    </row>
    <row r="252" spans="3:5">
      <c r="C252" s="11"/>
    </row>
    <row r="253" spans="3:5">
      <c r="C253" s="11"/>
    </row>
    <row r="254" spans="3:5">
      <c r="C254" s="11"/>
    </row>
    <row r="255" spans="3:5">
      <c r="C255" s="11"/>
    </row>
    <row r="256" spans="3:5">
      <c r="C256" s="11"/>
    </row>
    <row r="257" spans="3:3">
      <c r="C257" s="11"/>
    </row>
    <row r="258" spans="3:3">
      <c r="C258" s="11"/>
    </row>
    <row r="259" spans="3:3">
      <c r="C259" s="11"/>
    </row>
    <row r="260" spans="3:3">
      <c r="C260" s="11"/>
    </row>
    <row r="261" spans="3:3">
      <c r="C261" s="11"/>
    </row>
    <row r="262" spans="3:3">
      <c r="C262" s="11"/>
    </row>
    <row r="263" spans="3:3">
      <c r="C263" s="11"/>
    </row>
    <row r="264" spans="3:3">
      <c r="C264" s="11"/>
    </row>
    <row r="265" spans="3:3">
      <c r="C265" s="11"/>
    </row>
    <row r="266" spans="3:3">
      <c r="C266" s="11"/>
    </row>
    <row r="267" spans="3:3">
      <c r="C267" s="11"/>
    </row>
    <row r="268" spans="3:3">
      <c r="C268" s="11"/>
    </row>
    <row r="269" spans="3:3">
      <c r="C269" s="11"/>
    </row>
    <row r="270" spans="3:3">
      <c r="C270" s="11"/>
    </row>
    <row r="271" spans="3:3">
      <c r="C271" s="11"/>
    </row>
    <row r="272" spans="3:3">
      <c r="C272" s="11"/>
    </row>
    <row r="273" spans="3:3">
      <c r="C273" s="11"/>
    </row>
    <row r="274" spans="3:3">
      <c r="C274" s="11"/>
    </row>
    <row r="275" spans="3:3">
      <c r="C275" s="11"/>
    </row>
    <row r="276" spans="3:3">
      <c r="C276" s="11"/>
    </row>
    <row r="277" spans="3:3">
      <c r="C277" s="11"/>
    </row>
    <row r="278" spans="3:3">
      <c r="C278" s="11"/>
    </row>
    <row r="279" spans="3:3">
      <c r="C279" s="11"/>
    </row>
    <row r="280" spans="3:3">
      <c r="C280" s="11"/>
    </row>
    <row r="281" spans="3:3">
      <c r="C281" s="11"/>
    </row>
    <row r="282" spans="3:3">
      <c r="C282" s="11"/>
    </row>
    <row r="283" spans="3:3">
      <c r="C283" s="11"/>
    </row>
    <row r="284" spans="3:3">
      <c r="C284" s="11"/>
    </row>
    <row r="285" spans="3:3">
      <c r="C285" s="11"/>
    </row>
    <row r="286" spans="3:3">
      <c r="C286" s="11"/>
    </row>
    <row r="287" spans="3:3">
      <c r="C287" s="11"/>
    </row>
    <row r="288" spans="3:3">
      <c r="C288" s="11"/>
    </row>
    <row r="289" spans="3:3">
      <c r="C289" s="11"/>
    </row>
    <row r="290" spans="3:3">
      <c r="C290" s="11"/>
    </row>
    <row r="291" spans="3:3">
      <c r="C291" s="11"/>
    </row>
    <row r="292" spans="3:3">
      <c r="C292" s="11"/>
    </row>
    <row r="293" spans="3:3">
      <c r="C293" s="11"/>
    </row>
    <row r="294" spans="3:3">
      <c r="C294" s="11"/>
    </row>
    <row r="295" spans="3:3">
      <c r="C295" s="11"/>
    </row>
    <row r="296" spans="3:3">
      <c r="C296" s="11"/>
    </row>
    <row r="297" spans="3:3">
      <c r="C297" s="11"/>
    </row>
    <row r="298" spans="3:3">
      <c r="C298" s="11"/>
    </row>
    <row r="299" spans="3:3">
      <c r="C299" s="11"/>
    </row>
    <row r="300" spans="3:3">
      <c r="C300" s="11"/>
    </row>
    <row r="301" spans="3:3">
      <c r="C301" s="11"/>
    </row>
    <row r="302" spans="3:3">
      <c r="C302" s="11"/>
    </row>
    <row r="303" spans="3:3">
      <c r="C303" s="11"/>
    </row>
    <row r="304" spans="3:3">
      <c r="C304" s="11"/>
    </row>
    <row r="305" spans="3:3">
      <c r="C305" s="11"/>
    </row>
    <row r="306" spans="3:3">
      <c r="C306" s="11"/>
    </row>
    <row r="307" spans="3:3">
      <c r="C307" s="11"/>
    </row>
    <row r="308" spans="3:3">
      <c r="C308" s="11"/>
    </row>
    <row r="309" spans="3:3">
      <c r="C309" s="11"/>
    </row>
    <row r="310" spans="3:3">
      <c r="C310" s="11"/>
    </row>
    <row r="311" spans="3:3">
      <c r="C311" s="11"/>
    </row>
    <row r="312" spans="3:3">
      <c r="C312" s="11"/>
    </row>
    <row r="313" spans="3:3">
      <c r="C313" s="11"/>
    </row>
    <row r="314" spans="3:3">
      <c r="C314" s="11"/>
    </row>
    <row r="315" spans="3:3">
      <c r="C315" s="11"/>
    </row>
    <row r="316" spans="3:3">
      <c r="C316" s="11"/>
    </row>
    <row r="317" spans="3:3">
      <c r="C317" s="11"/>
    </row>
    <row r="318" spans="3:3">
      <c r="C318" s="11"/>
    </row>
    <row r="319" spans="3:3">
      <c r="C319" s="11"/>
    </row>
    <row r="320" spans="3:3">
      <c r="C320" s="11"/>
    </row>
    <row r="321" spans="3:3">
      <c r="C321" s="11"/>
    </row>
    <row r="322" spans="3:3">
      <c r="C322" s="11"/>
    </row>
    <row r="323" spans="3:3">
      <c r="C323" s="11"/>
    </row>
    <row r="324" spans="3:3">
      <c r="C324" s="11"/>
    </row>
    <row r="325" spans="3:3">
      <c r="C325" s="11"/>
    </row>
    <row r="326" spans="3:3">
      <c r="C326" s="11"/>
    </row>
    <row r="327" spans="3:3">
      <c r="C327" s="11"/>
    </row>
    <row r="328" spans="3:3">
      <c r="C328" s="11"/>
    </row>
    <row r="329" spans="3:3">
      <c r="C329" s="11"/>
    </row>
    <row r="330" spans="3:3">
      <c r="C330" s="11"/>
    </row>
    <row r="331" spans="3:3">
      <c r="C331" s="11"/>
    </row>
    <row r="332" spans="3:3">
      <c r="C332" s="11"/>
    </row>
    <row r="333" spans="3:3">
      <c r="C333" s="11"/>
    </row>
    <row r="334" spans="3:3">
      <c r="C334" s="11"/>
    </row>
    <row r="335" spans="3:3">
      <c r="C335" s="11"/>
    </row>
    <row r="336" spans="3:3">
      <c r="C336" s="11"/>
    </row>
    <row r="337" spans="3:3">
      <c r="C337" s="11"/>
    </row>
    <row r="338" spans="3:3">
      <c r="C338" s="11"/>
    </row>
    <row r="339" spans="3:3">
      <c r="C339" s="11"/>
    </row>
    <row r="340" spans="3:3">
      <c r="C340" s="11"/>
    </row>
    <row r="341" spans="3:3">
      <c r="C341" s="11"/>
    </row>
    <row r="342" spans="3:3">
      <c r="C342" s="11"/>
    </row>
    <row r="343" spans="3:3">
      <c r="C343" s="11"/>
    </row>
    <row r="344" spans="3:3">
      <c r="C344" s="11"/>
    </row>
    <row r="345" spans="3:3">
      <c r="C345" s="11"/>
    </row>
    <row r="346" spans="3:3">
      <c r="C346" s="11"/>
    </row>
    <row r="347" spans="3:3">
      <c r="C347" s="11"/>
    </row>
    <row r="348" spans="3:3">
      <c r="C348" s="11"/>
    </row>
    <row r="349" spans="3:3">
      <c r="C349" s="11"/>
    </row>
    <row r="350" spans="3:3">
      <c r="C350" s="11"/>
    </row>
    <row r="351" spans="3:3">
      <c r="C351" s="11"/>
    </row>
    <row r="352" spans="3:3">
      <c r="C352" s="11"/>
    </row>
    <row r="353" spans="3:3">
      <c r="C353" s="11"/>
    </row>
    <row r="354" spans="3:3">
      <c r="C354" s="11"/>
    </row>
    <row r="355" spans="3:3">
      <c r="C355" s="11"/>
    </row>
    <row r="356" spans="3:3">
      <c r="C356" s="11"/>
    </row>
    <row r="357" spans="3:3">
      <c r="C357" s="11"/>
    </row>
    <row r="358" spans="3:3">
      <c r="C358" s="11"/>
    </row>
    <row r="359" spans="3:3">
      <c r="C359" s="11"/>
    </row>
    <row r="360" spans="3:3">
      <c r="C360" s="11"/>
    </row>
    <row r="361" spans="3:3">
      <c r="C361" s="11"/>
    </row>
    <row r="362" spans="3:3">
      <c r="C362" s="11"/>
    </row>
    <row r="363" spans="3:3">
      <c r="C363" s="11"/>
    </row>
    <row r="364" spans="3:3">
      <c r="C364" s="11"/>
    </row>
    <row r="365" spans="3:3">
      <c r="C365" s="11"/>
    </row>
    <row r="366" spans="3:3">
      <c r="C366" s="11"/>
    </row>
    <row r="367" spans="3:3">
      <c r="C367" s="11"/>
    </row>
    <row r="368" spans="3:3">
      <c r="C368" s="11"/>
    </row>
    <row r="369" spans="3:3">
      <c r="C369" s="11"/>
    </row>
    <row r="370" spans="3:3">
      <c r="C370" s="11"/>
    </row>
    <row r="371" spans="3:3">
      <c r="C371" s="11"/>
    </row>
    <row r="372" spans="3:3">
      <c r="C372" s="11"/>
    </row>
    <row r="373" spans="3:3">
      <c r="C373" s="11"/>
    </row>
    <row r="374" spans="3:3">
      <c r="C374" s="11"/>
    </row>
    <row r="375" spans="3:3">
      <c r="C375" s="11"/>
    </row>
    <row r="376" spans="3:3">
      <c r="C376" s="11"/>
    </row>
    <row r="377" spans="3:3">
      <c r="C377" s="11"/>
    </row>
    <row r="378" spans="3:3">
      <c r="C378" s="11"/>
    </row>
    <row r="379" spans="3:3">
      <c r="C379" s="11"/>
    </row>
    <row r="380" spans="3:3">
      <c r="C380" s="11"/>
    </row>
    <row r="381" spans="3:3">
      <c r="C381" s="11"/>
    </row>
    <row r="382" spans="3:3">
      <c r="C382" s="11"/>
    </row>
    <row r="383" spans="3:3">
      <c r="C383" s="11"/>
    </row>
    <row r="384" spans="3:3">
      <c r="C384" s="11"/>
    </row>
    <row r="385" spans="3:3">
      <c r="C385" s="11"/>
    </row>
    <row r="386" spans="3:3">
      <c r="C386" s="11"/>
    </row>
    <row r="387" spans="3:3">
      <c r="C387" s="11"/>
    </row>
    <row r="388" spans="3:3">
      <c r="C388" s="11"/>
    </row>
    <row r="389" spans="3:3">
      <c r="C389" s="11"/>
    </row>
    <row r="390" spans="3:3">
      <c r="C390" s="11"/>
    </row>
    <row r="391" spans="3:3">
      <c r="C391" s="11"/>
    </row>
    <row r="392" spans="3:3">
      <c r="C392" s="11"/>
    </row>
    <row r="393" spans="3:3">
      <c r="C393" s="11"/>
    </row>
    <row r="394" spans="3:3">
      <c r="C394" s="11"/>
    </row>
    <row r="395" spans="3:3">
      <c r="C395" s="11"/>
    </row>
    <row r="396" spans="3:3">
      <c r="C396" s="11"/>
    </row>
    <row r="397" spans="3:3">
      <c r="C397" s="11"/>
    </row>
    <row r="398" spans="3:3">
      <c r="C398" s="11"/>
    </row>
    <row r="399" spans="3:3">
      <c r="C399" s="11"/>
    </row>
    <row r="400" spans="3:3">
      <c r="C400" s="11"/>
    </row>
    <row r="401" spans="3:3">
      <c r="C401" s="11"/>
    </row>
    <row r="402" spans="3:3">
      <c r="C402" s="11"/>
    </row>
    <row r="403" spans="3:3">
      <c r="C403" s="11"/>
    </row>
    <row r="404" spans="3:3">
      <c r="C404" s="11"/>
    </row>
    <row r="405" spans="3:3">
      <c r="C405" s="11"/>
    </row>
    <row r="406" spans="3:3">
      <c r="C406" s="11"/>
    </row>
    <row r="407" spans="3:3">
      <c r="C407" s="11"/>
    </row>
    <row r="408" spans="3:3">
      <c r="C408" s="11"/>
    </row>
    <row r="409" spans="3:3">
      <c r="C409" s="11"/>
    </row>
    <row r="410" spans="3:3">
      <c r="C410" s="11"/>
    </row>
    <row r="411" spans="3:3">
      <c r="C411" s="11"/>
    </row>
    <row r="412" spans="3:3">
      <c r="C412" s="11"/>
    </row>
    <row r="413" spans="3:3">
      <c r="C413" s="11"/>
    </row>
    <row r="414" spans="3:3">
      <c r="C414" s="11"/>
    </row>
    <row r="415" spans="3:3">
      <c r="C415" s="11"/>
    </row>
    <row r="416" spans="3:3">
      <c r="C416" s="11"/>
    </row>
    <row r="417" spans="3:3">
      <c r="C417" s="11"/>
    </row>
    <row r="418" spans="3:3">
      <c r="C418" s="11"/>
    </row>
    <row r="419" spans="3:3">
      <c r="C419" s="11"/>
    </row>
    <row r="420" spans="3:3">
      <c r="C420" s="11"/>
    </row>
    <row r="421" spans="3:3">
      <c r="C421" s="11"/>
    </row>
    <row r="422" spans="3:3">
      <c r="C422" s="11"/>
    </row>
    <row r="423" spans="3:3">
      <c r="C423" s="11"/>
    </row>
    <row r="424" spans="3:3">
      <c r="C424" s="11"/>
    </row>
    <row r="425" spans="3:3">
      <c r="C425" s="11"/>
    </row>
    <row r="426" spans="3:3">
      <c r="C426" s="11"/>
    </row>
    <row r="427" spans="3:3">
      <c r="C427" s="11"/>
    </row>
    <row r="428" spans="3:3">
      <c r="C428" s="11"/>
    </row>
    <row r="429" spans="3:3">
      <c r="C429" s="11"/>
    </row>
    <row r="430" spans="3:3">
      <c r="C430" s="11"/>
    </row>
    <row r="431" spans="3:3">
      <c r="C431" s="11"/>
    </row>
    <row r="432" spans="3:3">
      <c r="C432" s="11"/>
    </row>
    <row r="433" spans="3:3">
      <c r="C433" s="11"/>
    </row>
    <row r="434" spans="3:3">
      <c r="C434" s="11"/>
    </row>
    <row r="435" spans="3:3">
      <c r="C435" s="11"/>
    </row>
    <row r="436" spans="3:3">
      <c r="C436" s="11"/>
    </row>
    <row r="437" spans="3:3">
      <c r="C437" s="11"/>
    </row>
    <row r="438" spans="3:3">
      <c r="C438" s="11"/>
    </row>
    <row r="439" spans="3:3">
      <c r="C439" s="11"/>
    </row>
    <row r="440" spans="3:3">
      <c r="C440" s="11"/>
    </row>
    <row r="441" spans="3:3">
      <c r="C441" s="11"/>
    </row>
    <row r="442" spans="3:3">
      <c r="C442" s="1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Q350"/>
  <sheetViews>
    <sheetView topLeftCell="A2" workbookViewId="0">
      <selection activeCell="A3" sqref="A3"/>
    </sheetView>
  </sheetViews>
  <sheetFormatPr defaultRowHeight="15"/>
  <cols>
    <col min="1" max="1" width="13.85546875" style="13" bestFit="1" customWidth="1"/>
    <col min="2" max="2" width="8.28515625" style="13" bestFit="1" customWidth="1"/>
    <col min="3" max="3" width="10.5703125" style="13" bestFit="1" customWidth="1"/>
    <col min="4" max="4" width="18.7109375" style="13" bestFit="1" customWidth="1"/>
    <col min="5" max="5" width="12.5703125" style="13" bestFit="1" customWidth="1"/>
    <col min="6" max="6" width="12" bestFit="1" customWidth="1"/>
    <col min="7" max="7" width="7" bestFit="1" customWidth="1"/>
    <col min="8" max="8" width="6.28515625" bestFit="1" customWidth="1"/>
    <col min="9" max="9" width="10.28515625" bestFit="1" customWidth="1"/>
    <col min="10" max="10" width="5.85546875" bestFit="1" customWidth="1"/>
    <col min="11" max="11" width="10" bestFit="1" customWidth="1"/>
    <col min="12" max="12" width="14.5703125" bestFit="1" customWidth="1"/>
    <col min="13" max="13" width="12.7109375" bestFit="1" customWidth="1"/>
    <col min="14" max="14" width="4.42578125" bestFit="1" customWidth="1"/>
    <col min="15" max="15" width="6.5703125" bestFit="1" customWidth="1"/>
    <col min="16" max="16" width="15.7109375" bestFit="1" customWidth="1"/>
    <col min="17" max="17" width="14.5703125" bestFit="1" customWidth="1"/>
  </cols>
  <sheetData>
    <row r="1" spans="1:17">
      <c r="A1" s="39" t="s">
        <v>143</v>
      </c>
      <c r="B1" s="39" t="s">
        <v>144</v>
      </c>
      <c r="C1" s="39" t="s">
        <v>145</v>
      </c>
      <c r="D1" s="39" t="s">
        <v>146</v>
      </c>
      <c r="E1" s="39" t="s">
        <v>147</v>
      </c>
      <c r="F1" s="39" t="s">
        <v>148</v>
      </c>
      <c r="G1" s="39" t="s">
        <v>149</v>
      </c>
      <c r="H1" s="39" t="s">
        <v>150</v>
      </c>
      <c r="I1" s="39" t="s">
        <v>151</v>
      </c>
      <c r="J1" s="39" t="s">
        <v>152</v>
      </c>
      <c r="K1" s="39" t="s">
        <v>153</v>
      </c>
      <c r="L1" s="39" t="s">
        <v>154</v>
      </c>
      <c r="M1" s="39" t="s">
        <v>155</v>
      </c>
      <c r="N1" s="39" t="s">
        <v>156</v>
      </c>
      <c r="O1" s="39" t="s">
        <v>157</v>
      </c>
      <c r="P1" s="39" t="s">
        <v>158</v>
      </c>
      <c r="Q1" s="39" t="s">
        <v>159</v>
      </c>
    </row>
    <row r="2" spans="1:17">
      <c r="A2" s="47" t="s">
        <v>631</v>
      </c>
      <c r="B2" s="47" t="s">
        <v>21</v>
      </c>
      <c r="C2" s="47" t="s">
        <v>632</v>
      </c>
      <c r="D2" s="47" t="s">
        <v>633</v>
      </c>
      <c r="E2" s="47" t="s">
        <v>634</v>
      </c>
      <c r="F2" s="47">
        <v>14.050000190734799</v>
      </c>
      <c r="G2" s="47">
        <v>2</v>
      </c>
      <c r="H2" s="47">
        <v>9300</v>
      </c>
      <c r="I2" s="47" t="s">
        <v>459</v>
      </c>
      <c r="J2" s="47" t="s">
        <v>94</v>
      </c>
      <c r="K2" s="47" t="s">
        <v>460</v>
      </c>
      <c r="L2" s="47"/>
      <c r="M2" s="47"/>
      <c r="N2" s="47">
        <v>1</v>
      </c>
      <c r="O2" s="47"/>
      <c r="P2" s="47">
        <v>14.050000190734799</v>
      </c>
      <c r="Q2" s="47" t="s">
        <v>311</v>
      </c>
    </row>
    <row r="3" spans="1:17">
      <c r="A3" s="47" t="s">
        <v>635</v>
      </c>
      <c r="B3" s="47" t="s">
        <v>21</v>
      </c>
      <c r="C3" s="47" t="s">
        <v>233</v>
      </c>
      <c r="D3" s="47" t="s">
        <v>115</v>
      </c>
      <c r="E3" s="47" t="s">
        <v>326</v>
      </c>
      <c r="F3" s="47">
        <v>19.100000381469702</v>
      </c>
      <c r="G3" s="47">
        <v>2</v>
      </c>
      <c r="H3" s="47">
        <v>9200</v>
      </c>
      <c r="I3" s="47" t="s">
        <v>453</v>
      </c>
      <c r="J3" s="47" t="s">
        <v>11</v>
      </c>
      <c r="K3" s="47" t="s">
        <v>9</v>
      </c>
      <c r="L3" s="47"/>
      <c r="M3" s="47"/>
      <c r="N3" s="47">
        <v>1</v>
      </c>
      <c r="O3" s="47"/>
      <c r="P3" s="47">
        <v>19.100000381469702</v>
      </c>
      <c r="Q3" s="47" t="s">
        <v>311</v>
      </c>
    </row>
    <row r="4" spans="1:17">
      <c r="A4" s="47" t="s">
        <v>636</v>
      </c>
      <c r="B4" s="47" t="s">
        <v>21</v>
      </c>
      <c r="C4" s="47" t="s">
        <v>369</v>
      </c>
      <c r="D4" s="47" t="s">
        <v>54</v>
      </c>
      <c r="E4" s="47" t="s">
        <v>370</v>
      </c>
      <c r="F4" s="47">
        <v>11.6000003814697</v>
      </c>
      <c r="G4" s="47">
        <v>2</v>
      </c>
      <c r="H4" s="47">
        <v>9100</v>
      </c>
      <c r="I4" s="47" t="s">
        <v>478</v>
      </c>
      <c r="J4" s="47" t="s">
        <v>14</v>
      </c>
      <c r="K4" s="47" t="s">
        <v>6</v>
      </c>
      <c r="L4" s="47"/>
      <c r="M4" s="47"/>
      <c r="N4" s="47">
        <v>1</v>
      </c>
      <c r="O4" s="47"/>
      <c r="P4" s="47">
        <v>11.6000003814697</v>
      </c>
      <c r="Q4" s="47" t="s">
        <v>311</v>
      </c>
    </row>
    <row r="5" spans="1:17">
      <c r="A5" s="47" t="s">
        <v>637</v>
      </c>
      <c r="B5" s="47" t="s">
        <v>21</v>
      </c>
      <c r="C5" s="47" t="s">
        <v>341</v>
      </c>
      <c r="D5" s="47" t="s">
        <v>22</v>
      </c>
      <c r="E5" s="47" t="s">
        <v>342</v>
      </c>
      <c r="F5" s="47">
        <v>15.300000190734799</v>
      </c>
      <c r="G5" s="47">
        <v>2</v>
      </c>
      <c r="H5" s="47">
        <v>9000</v>
      </c>
      <c r="I5" s="47" t="s">
        <v>436</v>
      </c>
      <c r="J5" s="47" t="s">
        <v>3</v>
      </c>
      <c r="K5" s="47" t="s">
        <v>41</v>
      </c>
      <c r="L5" s="47"/>
      <c r="M5" s="47"/>
      <c r="N5" s="47">
        <v>1</v>
      </c>
      <c r="O5" s="47"/>
      <c r="P5" s="47">
        <v>15.300000190734799</v>
      </c>
      <c r="Q5" s="47" t="s">
        <v>311</v>
      </c>
    </row>
    <row r="6" spans="1:17">
      <c r="A6" s="47" t="s">
        <v>638</v>
      </c>
      <c r="B6" s="47" t="s">
        <v>21</v>
      </c>
      <c r="C6" s="47" t="s">
        <v>639</v>
      </c>
      <c r="D6" s="47" t="s">
        <v>640</v>
      </c>
      <c r="E6" s="47" t="s">
        <v>323</v>
      </c>
      <c r="F6" s="47">
        <v>23.399999618530199</v>
      </c>
      <c r="G6" s="47">
        <v>1</v>
      </c>
      <c r="H6" s="47">
        <v>8500</v>
      </c>
      <c r="I6" s="47" t="s">
        <v>450</v>
      </c>
      <c r="J6" s="47" t="s">
        <v>451</v>
      </c>
      <c r="K6" s="47" t="s">
        <v>5</v>
      </c>
      <c r="L6" s="47" t="s">
        <v>598</v>
      </c>
      <c r="M6" s="47" t="s">
        <v>641</v>
      </c>
      <c r="N6" s="47">
        <v>1</v>
      </c>
      <c r="O6" s="47"/>
      <c r="P6" s="47">
        <v>23.399999618530199</v>
      </c>
      <c r="Q6" s="47" t="s">
        <v>311</v>
      </c>
    </row>
    <row r="7" spans="1:17">
      <c r="A7" s="47" t="s">
        <v>642</v>
      </c>
      <c r="B7" s="47" t="s">
        <v>21</v>
      </c>
      <c r="C7" s="47" t="s">
        <v>271</v>
      </c>
      <c r="D7" s="47" t="s">
        <v>55</v>
      </c>
      <c r="E7" s="47" t="s">
        <v>355</v>
      </c>
      <c r="F7" s="47">
        <v>13.149999618530201</v>
      </c>
      <c r="G7" s="47">
        <v>2</v>
      </c>
      <c r="H7" s="47">
        <v>8300</v>
      </c>
      <c r="I7" s="47" t="s">
        <v>434</v>
      </c>
      <c r="J7" s="47" t="s">
        <v>40</v>
      </c>
      <c r="K7" s="47" t="s">
        <v>99</v>
      </c>
      <c r="L7" s="47"/>
      <c r="M7" s="47"/>
      <c r="N7" s="47">
        <v>1</v>
      </c>
      <c r="O7" s="47"/>
      <c r="P7" s="47">
        <v>13.149999618530201</v>
      </c>
      <c r="Q7" s="47" t="s">
        <v>311</v>
      </c>
    </row>
    <row r="8" spans="1:17">
      <c r="A8" s="47" t="s">
        <v>643</v>
      </c>
      <c r="B8" s="47" t="s">
        <v>21</v>
      </c>
      <c r="C8" s="47" t="s">
        <v>318</v>
      </c>
      <c r="D8" s="47" t="s">
        <v>52</v>
      </c>
      <c r="E8" s="47" t="s">
        <v>319</v>
      </c>
      <c r="F8" s="47">
        <v>16.4500007629394</v>
      </c>
      <c r="G8" s="47">
        <v>2</v>
      </c>
      <c r="H8" s="47">
        <v>7800</v>
      </c>
      <c r="I8" s="47" t="s">
        <v>428</v>
      </c>
      <c r="J8" s="47" t="s">
        <v>47</v>
      </c>
      <c r="K8" s="47" t="s">
        <v>15</v>
      </c>
      <c r="L8" s="47"/>
      <c r="M8" s="47"/>
      <c r="N8" s="47">
        <v>1</v>
      </c>
      <c r="O8" s="47"/>
      <c r="P8" s="47">
        <v>16.4500007629394</v>
      </c>
      <c r="Q8" s="47" t="s">
        <v>311</v>
      </c>
    </row>
    <row r="9" spans="1:17">
      <c r="A9" s="47" t="s">
        <v>644</v>
      </c>
      <c r="B9" s="47" t="s">
        <v>21</v>
      </c>
      <c r="C9" s="47" t="s">
        <v>347</v>
      </c>
      <c r="D9" s="47" t="s">
        <v>8</v>
      </c>
      <c r="E9" s="47" t="s">
        <v>348</v>
      </c>
      <c r="F9" s="47">
        <v>22.100000381469702</v>
      </c>
      <c r="G9" s="47">
        <v>2</v>
      </c>
      <c r="H9" s="47">
        <v>7600</v>
      </c>
      <c r="I9" s="47" t="s">
        <v>453</v>
      </c>
      <c r="J9" s="47" t="s">
        <v>9</v>
      </c>
      <c r="K9" s="47" t="s">
        <v>11</v>
      </c>
      <c r="L9" s="47"/>
      <c r="M9" s="47"/>
      <c r="N9" s="47">
        <v>1</v>
      </c>
      <c r="O9" s="47"/>
      <c r="P9" s="47">
        <v>22.100000381469702</v>
      </c>
      <c r="Q9" s="47" t="s">
        <v>311</v>
      </c>
    </row>
    <row r="10" spans="1:17">
      <c r="A10" s="47" t="s">
        <v>645</v>
      </c>
      <c r="B10" s="47" t="s">
        <v>21</v>
      </c>
      <c r="C10" s="47" t="s">
        <v>333</v>
      </c>
      <c r="D10" s="47" t="s">
        <v>117</v>
      </c>
      <c r="E10" s="47" t="s">
        <v>395</v>
      </c>
      <c r="F10" s="47">
        <v>15.449999809265099</v>
      </c>
      <c r="G10" s="47">
        <v>2</v>
      </c>
      <c r="H10" s="47">
        <v>7500</v>
      </c>
      <c r="I10" s="47" t="s">
        <v>478</v>
      </c>
      <c r="J10" s="47" t="s">
        <v>6</v>
      </c>
      <c r="K10" s="47" t="s">
        <v>14</v>
      </c>
      <c r="L10" s="47"/>
      <c r="M10" s="47"/>
      <c r="N10" s="47">
        <v>1</v>
      </c>
      <c r="O10" s="47"/>
      <c r="P10" s="47">
        <v>15.449999809265099</v>
      </c>
      <c r="Q10" s="47" t="s">
        <v>311</v>
      </c>
    </row>
    <row r="11" spans="1:17">
      <c r="A11" s="47" t="s">
        <v>646</v>
      </c>
      <c r="B11" s="47" t="s">
        <v>21</v>
      </c>
      <c r="C11" s="47" t="s">
        <v>647</v>
      </c>
      <c r="D11" s="47" t="s">
        <v>648</v>
      </c>
      <c r="E11" s="47" t="s">
        <v>649</v>
      </c>
      <c r="F11" s="47">
        <v>16.399999618530199</v>
      </c>
      <c r="G11" s="47">
        <v>2</v>
      </c>
      <c r="H11" s="47">
        <v>7300</v>
      </c>
      <c r="I11" s="47" t="s">
        <v>441</v>
      </c>
      <c r="J11" s="47" t="s">
        <v>442</v>
      </c>
      <c r="K11" s="47" t="s">
        <v>10</v>
      </c>
      <c r="L11" s="47"/>
      <c r="M11" s="47"/>
      <c r="N11" s="47">
        <v>1</v>
      </c>
      <c r="O11" s="47"/>
      <c r="P11" s="47">
        <v>16.399999618530199</v>
      </c>
      <c r="Q11" s="47" t="s">
        <v>311</v>
      </c>
    </row>
    <row r="12" spans="1:17">
      <c r="A12" s="47" t="s">
        <v>650</v>
      </c>
      <c r="B12" s="47" t="s">
        <v>21</v>
      </c>
      <c r="C12" s="47" t="s">
        <v>314</v>
      </c>
      <c r="D12" s="47" t="s">
        <v>56</v>
      </c>
      <c r="E12" s="47" t="s">
        <v>315</v>
      </c>
      <c r="F12" s="47">
        <v>15.649999618530201</v>
      </c>
      <c r="G12" s="47">
        <v>2</v>
      </c>
      <c r="H12" s="47">
        <v>7200</v>
      </c>
      <c r="I12" s="47" t="s">
        <v>436</v>
      </c>
      <c r="J12" s="47" t="s">
        <v>41</v>
      </c>
      <c r="K12" s="47" t="s">
        <v>3</v>
      </c>
      <c r="L12" s="47"/>
      <c r="M12" s="47"/>
      <c r="N12" s="47">
        <v>1</v>
      </c>
      <c r="O12" s="47"/>
      <c r="P12" s="47">
        <v>15.649999618530201</v>
      </c>
      <c r="Q12" s="47" t="s">
        <v>311</v>
      </c>
    </row>
    <row r="13" spans="1:17">
      <c r="A13" s="47" t="s">
        <v>651</v>
      </c>
      <c r="B13" s="47" t="s">
        <v>21</v>
      </c>
      <c r="C13" s="47" t="s">
        <v>358</v>
      </c>
      <c r="D13" s="47" t="s">
        <v>119</v>
      </c>
      <c r="E13" s="47" t="s">
        <v>359</v>
      </c>
      <c r="F13" s="47">
        <v>17.899999618530199</v>
      </c>
      <c r="G13" s="47">
        <v>2</v>
      </c>
      <c r="H13" s="47">
        <v>7100</v>
      </c>
      <c r="I13" s="47" t="s">
        <v>430</v>
      </c>
      <c r="J13" s="47" t="s">
        <v>97</v>
      </c>
      <c r="K13" s="47" t="s">
        <v>43</v>
      </c>
      <c r="L13" s="47"/>
      <c r="M13" s="47"/>
      <c r="N13" s="47">
        <v>1</v>
      </c>
      <c r="O13" s="47"/>
      <c r="P13" s="47">
        <v>17.899999618530199</v>
      </c>
      <c r="Q13" s="47" t="s">
        <v>311</v>
      </c>
    </row>
    <row r="14" spans="1:17">
      <c r="A14" s="47" t="s">
        <v>652</v>
      </c>
      <c r="B14" s="47" t="s">
        <v>21</v>
      </c>
      <c r="C14" s="47" t="s">
        <v>379</v>
      </c>
      <c r="D14" s="47" t="s">
        <v>116</v>
      </c>
      <c r="E14" s="47" t="s">
        <v>380</v>
      </c>
      <c r="F14" s="47">
        <v>12.300000190734799</v>
      </c>
      <c r="G14" s="47">
        <v>2</v>
      </c>
      <c r="H14" s="47">
        <v>6900</v>
      </c>
      <c r="I14" s="47" t="s">
        <v>453</v>
      </c>
      <c r="J14" s="47" t="s">
        <v>9</v>
      </c>
      <c r="K14" s="47" t="s">
        <v>11</v>
      </c>
      <c r="L14" s="47"/>
      <c r="M14" s="47"/>
      <c r="N14" s="47">
        <v>1</v>
      </c>
      <c r="O14" s="47"/>
      <c r="P14" s="47">
        <v>12.300000190734799</v>
      </c>
      <c r="Q14" s="47" t="s">
        <v>311</v>
      </c>
    </row>
    <row r="15" spans="1:17">
      <c r="A15" s="47" t="s">
        <v>653</v>
      </c>
      <c r="B15" s="47" t="s">
        <v>21</v>
      </c>
      <c r="C15" s="47" t="s">
        <v>654</v>
      </c>
      <c r="D15" s="47" t="s">
        <v>655</v>
      </c>
      <c r="E15" s="47" t="s">
        <v>656</v>
      </c>
      <c r="F15" s="47">
        <v>13.3500003814697</v>
      </c>
      <c r="G15" s="47">
        <v>2</v>
      </c>
      <c r="H15" s="47">
        <v>6800</v>
      </c>
      <c r="I15" s="47" t="s">
        <v>459</v>
      </c>
      <c r="J15" s="47" t="s">
        <v>460</v>
      </c>
      <c r="K15" s="47" t="s">
        <v>94</v>
      </c>
      <c r="L15" s="47"/>
      <c r="M15" s="47"/>
      <c r="N15" s="47">
        <v>1</v>
      </c>
      <c r="O15" s="47"/>
      <c r="P15" s="47">
        <v>13.3500003814697</v>
      </c>
      <c r="Q15" s="47" t="s">
        <v>311</v>
      </c>
    </row>
    <row r="16" spans="1:17">
      <c r="A16" s="47" t="s">
        <v>657</v>
      </c>
      <c r="B16" s="47" t="s">
        <v>21</v>
      </c>
      <c r="C16" s="47" t="s">
        <v>327</v>
      </c>
      <c r="D16" s="47" t="s">
        <v>25</v>
      </c>
      <c r="E16" s="47" t="s">
        <v>397</v>
      </c>
      <c r="F16" s="47">
        <v>6.4499998092651296</v>
      </c>
      <c r="G16" s="47">
        <v>2</v>
      </c>
      <c r="H16" s="47">
        <v>6700</v>
      </c>
      <c r="I16" s="47" t="s">
        <v>450</v>
      </c>
      <c r="J16" s="47" t="s">
        <v>5</v>
      </c>
      <c r="K16" s="47" t="s">
        <v>451</v>
      </c>
      <c r="L16" s="47"/>
      <c r="M16" s="47"/>
      <c r="N16" s="47">
        <v>1</v>
      </c>
      <c r="O16" s="47"/>
      <c r="P16" s="47">
        <v>6.4499998092651296</v>
      </c>
      <c r="Q16" s="47" t="s">
        <v>311</v>
      </c>
    </row>
    <row r="17" spans="1:17">
      <c r="A17" s="47" t="s">
        <v>658</v>
      </c>
      <c r="B17" s="47" t="s">
        <v>21</v>
      </c>
      <c r="C17" s="47" t="s">
        <v>324</v>
      </c>
      <c r="D17" s="47" t="s">
        <v>26</v>
      </c>
      <c r="E17" s="47" t="s">
        <v>325</v>
      </c>
      <c r="F17" s="47">
        <v>11.6000003814697</v>
      </c>
      <c r="G17" s="47">
        <v>2</v>
      </c>
      <c r="H17" s="47">
        <v>6600</v>
      </c>
      <c r="I17" s="47" t="s">
        <v>436</v>
      </c>
      <c r="J17" s="47" t="s">
        <v>3</v>
      </c>
      <c r="K17" s="47" t="s">
        <v>41</v>
      </c>
      <c r="L17" s="47"/>
      <c r="M17" s="47"/>
      <c r="N17" s="47">
        <v>1</v>
      </c>
      <c r="O17" s="47"/>
      <c r="P17" s="47">
        <v>11.6000003814697</v>
      </c>
      <c r="Q17" s="47" t="s">
        <v>311</v>
      </c>
    </row>
    <row r="18" spans="1:17">
      <c r="A18" s="47" t="s">
        <v>659</v>
      </c>
      <c r="B18" s="47" t="s">
        <v>21</v>
      </c>
      <c r="C18" s="47" t="s">
        <v>327</v>
      </c>
      <c r="D18" s="47" t="s">
        <v>79</v>
      </c>
      <c r="E18" s="47" t="s">
        <v>328</v>
      </c>
      <c r="F18" s="47">
        <v>21.25</v>
      </c>
      <c r="G18" s="47">
        <v>2</v>
      </c>
      <c r="H18" s="47">
        <v>6600</v>
      </c>
      <c r="I18" s="47" t="s">
        <v>434</v>
      </c>
      <c r="J18" s="47" t="s">
        <v>40</v>
      </c>
      <c r="K18" s="47" t="s">
        <v>99</v>
      </c>
      <c r="L18" s="47"/>
      <c r="M18" s="47"/>
      <c r="N18" s="47">
        <v>1</v>
      </c>
      <c r="O18" s="47"/>
      <c r="P18" s="47">
        <v>21.25</v>
      </c>
      <c r="Q18" s="47" t="s">
        <v>311</v>
      </c>
    </row>
    <row r="19" spans="1:17">
      <c r="A19" s="47" t="s">
        <v>660</v>
      </c>
      <c r="B19" s="47" t="s">
        <v>21</v>
      </c>
      <c r="C19" s="47" t="s">
        <v>340</v>
      </c>
      <c r="D19" s="47" t="s">
        <v>53</v>
      </c>
      <c r="E19" s="47" t="s">
        <v>339</v>
      </c>
      <c r="F19" s="47">
        <v>7.9000000953674299</v>
      </c>
      <c r="G19" s="47">
        <v>2</v>
      </c>
      <c r="H19" s="47">
        <v>6500</v>
      </c>
      <c r="I19" s="47" t="s">
        <v>470</v>
      </c>
      <c r="J19" s="47" t="s">
        <v>39</v>
      </c>
      <c r="K19" s="47" t="s">
        <v>12</v>
      </c>
      <c r="L19" s="47"/>
      <c r="M19" s="47"/>
      <c r="N19" s="47">
        <v>1</v>
      </c>
      <c r="O19" s="47"/>
      <c r="P19" s="47">
        <v>7.9000000953674299</v>
      </c>
      <c r="Q19" s="47" t="s">
        <v>311</v>
      </c>
    </row>
    <row r="20" spans="1:17">
      <c r="A20" s="47" t="s">
        <v>661</v>
      </c>
      <c r="B20" s="47" t="s">
        <v>21</v>
      </c>
      <c r="C20" s="47" t="s">
        <v>400</v>
      </c>
      <c r="D20" s="47" t="s">
        <v>662</v>
      </c>
      <c r="E20" s="47" t="s">
        <v>663</v>
      </c>
      <c r="F20" s="47">
        <v>5.0500001907348597</v>
      </c>
      <c r="G20" s="47">
        <v>2</v>
      </c>
      <c r="H20" s="47">
        <v>6500</v>
      </c>
      <c r="I20" s="47" t="s">
        <v>447</v>
      </c>
      <c r="J20" s="47" t="s">
        <v>448</v>
      </c>
      <c r="K20" s="47" t="s">
        <v>17</v>
      </c>
      <c r="L20" s="47"/>
      <c r="M20" s="47"/>
      <c r="N20" s="47">
        <v>1</v>
      </c>
      <c r="O20" s="47"/>
      <c r="P20" s="47">
        <v>5.0500001907348597</v>
      </c>
      <c r="Q20" s="47" t="s">
        <v>311</v>
      </c>
    </row>
    <row r="21" spans="1:17">
      <c r="A21" s="47" t="s">
        <v>664</v>
      </c>
      <c r="B21" s="47" t="s">
        <v>21</v>
      </c>
      <c r="C21" s="47" t="s">
        <v>273</v>
      </c>
      <c r="D21" s="47" t="s">
        <v>78</v>
      </c>
      <c r="E21" s="47" t="s">
        <v>374</v>
      </c>
      <c r="F21" s="47">
        <v>8.4499998092651296</v>
      </c>
      <c r="G21" s="47">
        <v>2</v>
      </c>
      <c r="H21" s="47">
        <v>6400</v>
      </c>
      <c r="I21" s="47" t="s">
        <v>441</v>
      </c>
      <c r="J21" s="47" t="s">
        <v>10</v>
      </c>
      <c r="K21" s="47" t="s">
        <v>442</v>
      </c>
      <c r="L21" s="47"/>
      <c r="M21" s="47"/>
      <c r="N21" s="47">
        <v>1</v>
      </c>
      <c r="O21" s="47"/>
      <c r="P21" s="47">
        <v>8.4499998092651296</v>
      </c>
      <c r="Q21" s="47" t="s">
        <v>311</v>
      </c>
    </row>
    <row r="22" spans="1:17">
      <c r="A22" s="47" t="s">
        <v>665</v>
      </c>
      <c r="B22" s="47" t="s">
        <v>21</v>
      </c>
      <c r="C22" s="47" t="s">
        <v>345</v>
      </c>
      <c r="D22" s="47" t="s">
        <v>59</v>
      </c>
      <c r="E22" s="47" t="s">
        <v>423</v>
      </c>
      <c r="F22" s="47">
        <v>14.6000003814697</v>
      </c>
      <c r="G22" s="47">
        <v>2</v>
      </c>
      <c r="H22" s="47">
        <v>6400</v>
      </c>
      <c r="I22" s="47" t="s">
        <v>465</v>
      </c>
      <c r="J22" s="47" t="s">
        <v>98</v>
      </c>
      <c r="K22" s="47" t="s">
        <v>466</v>
      </c>
      <c r="L22" s="47"/>
      <c r="M22" s="47"/>
      <c r="N22" s="47">
        <v>1</v>
      </c>
      <c r="O22" s="47"/>
      <c r="P22" s="47">
        <v>14.6000003814697</v>
      </c>
      <c r="Q22" s="47" t="s">
        <v>311</v>
      </c>
    </row>
    <row r="23" spans="1:17">
      <c r="A23" s="47" t="s">
        <v>666</v>
      </c>
      <c r="B23" s="47" t="s">
        <v>21</v>
      </c>
      <c r="C23" s="47" t="s">
        <v>371</v>
      </c>
      <c r="D23" s="47" t="s">
        <v>84</v>
      </c>
      <c r="E23" s="47" t="s">
        <v>256</v>
      </c>
      <c r="F23" s="47">
        <v>18.399999618530199</v>
      </c>
      <c r="G23" s="47">
        <v>2</v>
      </c>
      <c r="H23" s="47">
        <v>6300</v>
      </c>
      <c r="I23" s="47" t="s">
        <v>478</v>
      </c>
      <c r="J23" s="47" t="s">
        <v>14</v>
      </c>
      <c r="K23" s="47" t="s">
        <v>6</v>
      </c>
      <c r="L23" s="47"/>
      <c r="M23" s="47"/>
      <c r="N23" s="47">
        <v>1</v>
      </c>
      <c r="O23" s="47"/>
      <c r="P23" s="47">
        <v>18.399999618530199</v>
      </c>
      <c r="Q23" s="47" t="s">
        <v>311</v>
      </c>
    </row>
    <row r="24" spans="1:17">
      <c r="A24" s="47" t="s">
        <v>667</v>
      </c>
      <c r="B24" s="47" t="s">
        <v>21</v>
      </c>
      <c r="C24" s="47" t="s">
        <v>362</v>
      </c>
      <c r="D24" s="47" t="s">
        <v>85</v>
      </c>
      <c r="E24" s="47" t="s">
        <v>363</v>
      </c>
      <c r="F24" s="47">
        <v>16.850000381469702</v>
      </c>
      <c r="G24" s="47">
        <v>2</v>
      </c>
      <c r="H24" s="47">
        <v>6300</v>
      </c>
      <c r="I24" s="47" t="s">
        <v>450</v>
      </c>
      <c r="J24" s="47" t="s">
        <v>5</v>
      </c>
      <c r="K24" s="47" t="s">
        <v>451</v>
      </c>
      <c r="L24" s="47"/>
      <c r="M24" s="47"/>
      <c r="N24" s="47">
        <v>1</v>
      </c>
      <c r="O24" s="47"/>
      <c r="P24" s="47">
        <v>16.850000381469702</v>
      </c>
      <c r="Q24" s="47" t="s">
        <v>311</v>
      </c>
    </row>
    <row r="25" spans="1:17">
      <c r="A25" s="47" t="s">
        <v>668</v>
      </c>
      <c r="B25" s="47" t="s">
        <v>21</v>
      </c>
      <c r="C25" s="47" t="s">
        <v>312</v>
      </c>
      <c r="D25" s="47" t="s">
        <v>118</v>
      </c>
      <c r="E25" s="47" t="s">
        <v>313</v>
      </c>
      <c r="F25" s="47">
        <v>7.1999998092651296</v>
      </c>
      <c r="G25" s="47">
        <v>2</v>
      </c>
      <c r="H25" s="47">
        <v>6300</v>
      </c>
      <c r="I25" s="47" t="s">
        <v>432</v>
      </c>
      <c r="J25" s="47" t="s">
        <v>95</v>
      </c>
      <c r="K25" s="47" t="s">
        <v>96</v>
      </c>
      <c r="L25" s="47"/>
      <c r="M25" s="47"/>
      <c r="N25" s="47">
        <v>1</v>
      </c>
      <c r="O25" s="47"/>
      <c r="P25" s="47">
        <v>7.1999998092651296</v>
      </c>
      <c r="Q25" s="47" t="s">
        <v>311</v>
      </c>
    </row>
    <row r="26" spans="1:17">
      <c r="A26" s="47" t="s">
        <v>669</v>
      </c>
      <c r="B26" s="47" t="s">
        <v>21</v>
      </c>
      <c r="C26" s="47" t="s">
        <v>316</v>
      </c>
      <c r="D26" s="47" t="s">
        <v>81</v>
      </c>
      <c r="E26" s="47" t="s">
        <v>317</v>
      </c>
      <c r="F26" s="47">
        <v>4.5999999046325604</v>
      </c>
      <c r="G26" s="47">
        <v>2</v>
      </c>
      <c r="H26" s="47">
        <v>6200</v>
      </c>
      <c r="I26" s="47" t="s">
        <v>453</v>
      </c>
      <c r="J26" s="47" t="s">
        <v>9</v>
      </c>
      <c r="K26" s="47" t="s">
        <v>11</v>
      </c>
      <c r="L26" s="47"/>
      <c r="M26" s="47"/>
      <c r="N26" s="47">
        <v>1</v>
      </c>
      <c r="O26" s="47"/>
      <c r="P26" s="47">
        <v>4.5999999046325604</v>
      </c>
      <c r="Q26" s="47" t="s">
        <v>311</v>
      </c>
    </row>
    <row r="27" spans="1:17">
      <c r="A27" s="47" t="s">
        <v>670</v>
      </c>
      <c r="B27" s="47" t="s">
        <v>21</v>
      </c>
      <c r="C27" s="47" t="s">
        <v>391</v>
      </c>
      <c r="D27" s="47" t="s">
        <v>120</v>
      </c>
      <c r="E27" s="47" t="s">
        <v>392</v>
      </c>
      <c r="F27" s="47">
        <v>2.95000004768371</v>
      </c>
      <c r="G27" s="47">
        <v>2</v>
      </c>
      <c r="H27" s="47">
        <v>6100</v>
      </c>
      <c r="I27" s="47" t="s">
        <v>470</v>
      </c>
      <c r="J27" s="47" t="s">
        <v>39</v>
      </c>
      <c r="K27" s="47" t="s">
        <v>12</v>
      </c>
      <c r="L27" s="47"/>
      <c r="M27" s="47"/>
      <c r="N27" s="47">
        <v>1</v>
      </c>
      <c r="O27" s="47"/>
      <c r="P27" s="47">
        <v>2.95000004768371</v>
      </c>
      <c r="Q27" s="47" t="s">
        <v>311</v>
      </c>
    </row>
    <row r="28" spans="1:17">
      <c r="A28" s="47" t="s">
        <v>671</v>
      </c>
      <c r="B28" s="47" t="s">
        <v>21</v>
      </c>
      <c r="C28" s="47" t="s">
        <v>354</v>
      </c>
      <c r="D28" s="47" t="s">
        <v>136</v>
      </c>
      <c r="E28" s="47" t="s">
        <v>309</v>
      </c>
      <c r="F28" s="47">
        <v>6.0999999046325604</v>
      </c>
      <c r="G28" s="47">
        <v>2</v>
      </c>
      <c r="H28" s="47">
        <v>6100</v>
      </c>
      <c r="I28" s="47" t="s">
        <v>447</v>
      </c>
      <c r="J28" s="47" t="s">
        <v>17</v>
      </c>
      <c r="K28" s="47" t="s">
        <v>448</v>
      </c>
      <c r="L28" s="47"/>
      <c r="M28" s="47"/>
      <c r="N28" s="47">
        <v>1</v>
      </c>
      <c r="O28" s="47"/>
      <c r="P28" s="47">
        <v>6.0999999046325604</v>
      </c>
      <c r="Q28" s="47" t="s">
        <v>311</v>
      </c>
    </row>
    <row r="29" spans="1:17">
      <c r="A29" s="47" t="s">
        <v>672</v>
      </c>
      <c r="B29" s="47" t="s">
        <v>21</v>
      </c>
      <c r="C29" s="47" t="s">
        <v>367</v>
      </c>
      <c r="D29" s="47" t="s">
        <v>91</v>
      </c>
      <c r="E29" s="47" t="s">
        <v>368</v>
      </c>
      <c r="F29" s="47">
        <v>11.800000190734799</v>
      </c>
      <c r="G29" s="47">
        <v>2</v>
      </c>
      <c r="H29" s="47">
        <v>6100</v>
      </c>
      <c r="I29" s="47" t="s">
        <v>436</v>
      </c>
      <c r="J29" s="47" t="s">
        <v>41</v>
      </c>
      <c r="K29" s="47" t="s">
        <v>3</v>
      </c>
      <c r="L29" s="47"/>
      <c r="M29" s="47"/>
      <c r="N29" s="47">
        <v>1</v>
      </c>
      <c r="O29" s="47"/>
      <c r="P29" s="47">
        <v>11.800000190734799</v>
      </c>
      <c r="Q29" s="47" t="s">
        <v>311</v>
      </c>
    </row>
    <row r="30" spans="1:17">
      <c r="A30" s="47" t="s">
        <v>673</v>
      </c>
      <c r="B30" s="47" t="s">
        <v>21</v>
      </c>
      <c r="C30" s="47" t="s">
        <v>310</v>
      </c>
      <c r="D30" s="47" t="s">
        <v>77</v>
      </c>
      <c r="E30" s="47" t="s">
        <v>269</v>
      </c>
      <c r="F30" s="47">
        <v>2.5999999046325599</v>
      </c>
      <c r="G30" s="47">
        <v>2</v>
      </c>
      <c r="H30" s="47">
        <v>6000</v>
      </c>
      <c r="I30" s="47" t="s">
        <v>430</v>
      </c>
      <c r="J30" s="47" t="s">
        <v>43</v>
      </c>
      <c r="K30" s="47" t="s">
        <v>97</v>
      </c>
      <c r="L30" s="47"/>
      <c r="M30" s="47"/>
      <c r="N30" s="47">
        <v>1</v>
      </c>
      <c r="O30" s="47"/>
      <c r="P30" s="47">
        <v>2.5999999046325599</v>
      </c>
      <c r="Q30" s="47" t="s">
        <v>311</v>
      </c>
    </row>
    <row r="31" spans="1:17">
      <c r="A31" s="47" t="s">
        <v>674</v>
      </c>
      <c r="B31" s="47" t="s">
        <v>21</v>
      </c>
      <c r="C31" s="47" t="s">
        <v>393</v>
      </c>
      <c r="D31" s="47" t="s">
        <v>675</v>
      </c>
      <c r="E31" s="47" t="s">
        <v>676</v>
      </c>
      <c r="F31" s="47">
        <v>11.5</v>
      </c>
      <c r="G31" s="47">
        <v>2</v>
      </c>
      <c r="H31" s="47">
        <v>6000</v>
      </c>
      <c r="I31" s="47" t="s">
        <v>441</v>
      </c>
      <c r="J31" s="47" t="s">
        <v>442</v>
      </c>
      <c r="K31" s="47" t="s">
        <v>10</v>
      </c>
      <c r="L31" s="47"/>
      <c r="M31" s="47"/>
      <c r="N31" s="47">
        <v>1</v>
      </c>
      <c r="O31" s="47"/>
      <c r="P31" s="47">
        <v>11.5</v>
      </c>
      <c r="Q31" s="47" t="s">
        <v>311</v>
      </c>
    </row>
    <row r="32" spans="1:17">
      <c r="A32" s="47" t="s">
        <v>677</v>
      </c>
      <c r="B32" s="47" t="s">
        <v>21</v>
      </c>
      <c r="C32" s="47" t="s">
        <v>329</v>
      </c>
      <c r="D32" s="47" t="s">
        <v>126</v>
      </c>
      <c r="E32" s="47" t="s">
        <v>330</v>
      </c>
      <c r="F32" s="47">
        <v>7.5500001907348597</v>
      </c>
      <c r="G32" s="47">
        <v>2</v>
      </c>
      <c r="H32" s="47">
        <v>5900</v>
      </c>
      <c r="I32" s="47" t="s">
        <v>459</v>
      </c>
      <c r="J32" s="47" t="s">
        <v>94</v>
      </c>
      <c r="K32" s="47" t="s">
        <v>460</v>
      </c>
      <c r="L32" s="47"/>
      <c r="M32" s="47"/>
      <c r="N32" s="47">
        <v>1</v>
      </c>
      <c r="O32" s="47"/>
      <c r="P32" s="47">
        <v>7.5500001907348597</v>
      </c>
      <c r="Q32" s="47" t="s">
        <v>311</v>
      </c>
    </row>
    <row r="33" spans="1:17">
      <c r="A33" s="47" t="s">
        <v>678</v>
      </c>
      <c r="B33" s="47" t="s">
        <v>21</v>
      </c>
      <c r="C33" s="47" t="s">
        <v>372</v>
      </c>
      <c r="D33" s="47" t="s">
        <v>679</v>
      </c>
      <c r="E33" s="47" t="s">
        <v>680</v>
      </c>
      <c r="F33" s="47">
        <v>10.75</v>
      </c>
      <c r="G33" s="47">
        <v>2</v>
      </c>
      <c r="H33" s="47">
        <v>5900</v>
      </c>
      <c r="I33" s="47" t="s">
        <v>453</v>
      </c>
      <c r="J33" s="47" t="s">
        <v>11</v>
      </c>
      <c r="K33" s="47" t="s">
        <v>9</v>
      </c>
      <c r="L33" s="47"/>
      <c r="M33" s="47"/>
      <c r="N33" s="47">
        <v>1</v>
      </c>
      <c r="O33" s="47"/>
      <c r="P33" s="47">
        <v>10.75</v>
      </c>
      <c r="Q33" s="47" t="s">
        <v>311</v>
      </c>
    </row>
    <row r="34" spans="1:17">
      <c r="A34" s="47" t="s">
        <v>681</v>
      </c>
      <c r="B34" s="47" t="s">
        <v>21</v>
      </c>
      <c r="C34" s="47" t="s">
        <v>386</v>
      </c>
      <c r="D34" s="47" t="s">
        <v>682</v>
      </c>
      <c r="E34" s="47" t="s">
        <v>683</v>
      </c>
      <c r="F34" s="47">
        <v>6.5999999046325604</v>
      </c>
      <c r="G34" s="47">
        <v>2</v>
      </c>
      <c r="H34" s="47">
        <v>5900</v>
      </c>
      <c r="I34" s="47" t="s">
        <v>436</v>
      </c>
      <c r="J34" s="47" t="s">
        <v>41</v>
      </c>
      <c r="K34" s="47" t="s">
        <v>3</v>
      </c>
      <c r="L34" s="47"/>
      <c r="M34" s="47"/>
      <c r="N34" s="47">
        <v>1</v>
      </c>
      <c r="O34" s="47"/>
      <c r="P34" s="47">
        <v>6.5999999046325604</v>
      </c>
      <c r="Q34" s="47" t="s">
        <v>311</v>
      </c>
    </row>
    <row r="35" spans="1:17">
      <c r="A35" s="47" t="s">
        <v>684</v>
      </c>
      <c r="B35" s="47" t="s">
        <v>21</v>
      </c>
      <c r="C35" s="47" t="s">
        <v>349</v>
      </c>
      <c r="D35" s="47" t="s">
        <v>121</v>
      </c>
      <c r="E35" s="47" t="s">
        <v>350</v>
      </c>
      <c r="F35" s="47">
        <v>9.8999996185302699</v>
      </c>
      <c r="G35" s="47">
        <v>2</v>
      </c>
      <c r="H35" s="47">
        <v>5800</v>
      </c>
      <c r="I35" s="47" t="s">
        <v>430</v>
      </c>
      <c r="J35" s="47" t="s">
        <v>43</v>
      </c>
      <c r="K35" s="47" t="s">
        <v>97</v>
      </c>
      <c r="L35" s="47"/>
      <c r="M35" s="47"/>
      <c r="N35" s="47">
        <v>1</v>
      </c>
      <c r="O35" s="47"/>
      <c r="P35" s="47">
        <v>9.8999996185302699</v>
      </c>
      <c r="Q35" s="47" t="s">
        <v>311</v>
      </c>
    </row>
    <row r="36" spans="1:17">
      <c r="A36" s="47" t="s">
        <v>685</v>
      </c>
      <c r="B36" s="47" t="s">
        <v>21</v>
      </c>
      <c r="C36" s="47" t="s">
        <v>398</v>
      </c>
      <c r="D36" s="47" t="s">
        <v>88</v>
      </c>
      <c r="E36" s="47" t="s">
        <v>399</v>
      </c>
      <c r="F36" s="47">
        <v>18.549999237060501</v>
      </c>
      <c r="G36" s="47">
        <v>2</v>
      </c>
      <c r="H36" s="47">
        <v>5800</v>
      </c>
      <c r="I36" s="47" t="s">
        <v>470</v>
      </c>
      <c r="J36" s="47" t="s">
        <v>12</v>
      </c>
      <c r="K36" s="47" t="s">
        <v>39</v>
      </c>
      <c r="L36" s="47"/>
      <c r="M36" s="47"/>
      <c r="N36" s="47">
        <v>1</v>
      </c>
      <c r="O36" s="47"/>
      <c r="P36" s="47">
        <v>18.549999237060501</v>
      </c>
      <c r="Q36" s="47" t="s">
        <v>311</v>
      </c>
    </row>
    <row r="37" spans="1:17">
      <c r="A37" s="47" t="s">
        <v>686</v>
      </c>
      <c r="B37" s="47" t="s">
        <v>21</v>
      </c>
      <c r="C37" s="47" t="s">
        <v>386</v>
      </c>
      <c r="D37" s="47" t="s">
        <v>687</v>
      </c>
      <c r="E37" s="47" t="s">
        <v>337</v>
      </c>
      <c r="F37" s="47">
        <v>6.6999998092651296</v>
      </c>
      <c r="G37" s="47">
        <v>2</v>
      </c>
      <c r="H37" s="47">
        <v>5800</v>
      </c>
      <c r="I37" s="47" t="s">
        <v>447</v>
      </c>
      <c r="J37" s="47" t="s">
        <v>17</v>
      </c>
      <c r="K37" s="47" t="s">
        <v>448</v>
      </c>
      <c r="L37" s="47"/>
      <c r="M37" s="47"/>
      <c r="N37" s="47">
        <v>1</v>
      </c>
      <c r="O37" s="47"/>
      <c r="P37" s="47">
        <v>6.6999998092651296</v>
      </c>
      <c r="Q37" s="47" t="s">
        <v>311</v>
      </c>
    </row>
    <row r="38" spans="1:17">
      <c r="A38" s="47" t="s">
        <v>688</v>
      </c>
      <c r="B38" s="47" t="s">
        <v>21</v>
      </c>
      <c r="C38" s="47" t="s">
        <v>230</v>
      </c>
      <c r="D38" s="47" t="s">
        <v>689</v>
      </c>
      <c r="E38" s="47" t="s">
        <v>690</v>
      </c>
      <c r="F38" s="47">
        <v>19.850000381469702</v>
      </c>
      <c r="G38" s="47">
        <v>2</v>
      </c>
      <c r="H38" s="47">
        <v>5700</v>
      </c>
      <c r="I38" s="47" t="s">
        <v>465</v>
      </c>
      <c r="J38" s="47" t="s">
        <v>466</v>
      </c>
      <c r="K38" s="47" t="s">
        <v>98</v>
      </c>
      <c r="L38" s="47"/>
      <c r="M38" s="47"/>
      <c r="N38" s="47">
        <v>1</v>
      </c>
      <c r="O38" s="47"/>
      <c r="P38" s="47">
        <v>19.850000381469702</v>
      </c>
      <c r="Q38" s="47" t="s">
        <v>311</v>
      </c>
    </row>
    <row r="39" spans="1:17">
      <c r="A39" s="47" t="s">
        <v>691</v>
      </c>
      <c r="B39" s="47" t="s">
        <v>21</v>
      </c>
      <c r="C39" s="47" t="s">
        <v>356</v>
      </c>
      <c r="D39" s="47" t="s">
        <v>125</v>
      </c>
      <c r="E39" s="47" t="s">
        <v>357</v>
      </c>
      <c r="F39" s="47">
        <v>8</v>
      </c>
      <c r="G39" s="47">
        <v>2</v>
      </c>
      <c r="H39" s="47">
        <v>5700</v>
      </c>
      <c r="I39" s="47" t="s">
        <v>432</v>
      </c>
      <c r="J39" s="47" t="s">
        <v>96</v>
      </c>
      <c r="K39" s="47" t="s">
        <v>95</v>
      </c>
      <c r="L39" s="47"/>
      <c r="M39" s="47"/>
      <c r="N39" s="47">
        <v>1</v>
      </c>
      <c r="O39" s="47"/>
      <c r="P39" s="47">
        <v>8</v>
      </c>
      <c r="Q39" s="47" t="s">
        <v>311</v>
      </c>
    </row>
    <row r="40" spans="1:17">
      <c r="A40" s="47" t="s">
        <v>692</v>
      </c>
      <c r="B40" s="47" t="s">
        <v>21</v>
      </c>
      <c r="C40" s="47" t="s">
        <v>387</v>
      </c>
      <c r="D40" s="47" t="s">
        <v>130</v>
      </c>
      <c r="E40" s="47" t="s">
        <v>388</v>
      </c>
      <c r="F40" s="47">
        <v>12.449999809265099</v>
      </c>
      <c r="G40" s="47">
        <v>2</v>
      </c>
      <c r="H40" s="47">
        <v>5600</v>
      </c>
      <c r="I40" s="47" t="s">
        <v>432</v>
      </c>
      <c r="J40" s="47" t="s">
        <v>96</v>
      </c>
      <c r="K40" s="47" t="s">
        <v>95</v>
      </c>
      <c r="L40" s="47"/>
      <c r="M40" s="47"/>
      <c r="N40" s="47">
        <v>1</v>
      </c>
      <c r="O40" s="47"/>
      <c r="P40" s="47">
        <v>12.449999809265099</v>
      </c>
      <c r="Q40" s="47" t="s">
        <v>311</v>
      </c>
    </row>
    <row r="41" spans="1:17">
      <c r="A41" s="47" t="s">
        <v>693</v>
      </c>
      <c r="B41" s="47" t="s">
        <v>21</v>
      </c>
      <c r="C41" s="47" t="s">
        <v>353</v>
      </c>
      <c r="D41" s="47" t="s">
        <v>132</v>
      </c>
      <c r="E41" s="47" t="s">
        <v>309</v>
      </c>
      <c r="F41" s="47">
        <v>8.8000001907348597</v>
      </c>
      <c r="G41" s="47">
        <v>2</v>
      </c>
      <c r="H41" s="47">
        <v>5600</v>
      </c>
      <c r="I41" s="47" t="s">
        <v>430</v>
      </c>
      <c r="J41" s="47" t="s">
        <v>97</v>
      </c>
      <c r="K41" s="47" t="s">
        <v>43</v>
      </c>
      <c r="L41" s="47"/>
      <c r="M41" s="47"/>
      <c r="N41" s="47">
        <v>1</v>
      </c>
      <c r="O41" s="47"/>
      <c r="P41" s="47">
        <v>8.8000001907348597</v>
      </c>
      <c r="Q41" s="47" t="s">
        <v>311</v>
      </c>
    </row>
    <row r="42" spans="1:17">
      <c r="A42" s="47" t="s">
        <v>694</v>
      </c>
      <c r="B42" s="47" t="s">
        <v>21</v>
      </c>
      <c r="C42" s="47" t="s">
        <v>235</v>
      </c>
      <c r="D42" s="47" t="s">
        <v>695</v>
      </c>
      <c r="E42" s="47" t="s">
        <v>696</v>
      </c>
      <c r="F42" s="47">
        <v>7.24117638083065</v>
      </c>
      <c r="G42" s="47">
        <v>17</v>
      </c>
      <c r="H42" s="47">
        <v>5500</v>
      </c>
      <c r="I42" s="47" t="s">
        <v>470</v>
      </c>
      <c r="J42" s="47" t="s">
        <v>12</v>
      </c>
      <c r="K42" s="47" t="s">
        <v>39</v>
      </c>
      <c r="L42" s="47"/>
      <c r="M42" s="47"/>
      <c r="N42" s="47">
        <v>1</v>
      </c>
      <c r="O42" s="47"/>
      <c r="P42" s="47">
        <v>7.24117638083065</v>
      </c>
      <c r="Q42" s="47" t="s">
        <v>311</v>
      </c>
    </row>
    <row r="43" spans="1:17">
      <c r="A43" s="47" t="s">
        <v>697</v>
      </c>
      <c r="B43" s="47" t="s">
        <v>21</v>
      </c>
      <c r="C43" s="47" t="s">
        <v>364</v>
      </c>
      <c r="D43" s="47" t="s">
        <v>698</v>
      </c>
      <c r="E43" s="47" t="s">
        <v>244</v>
      </c>
      <c r="F43" s="47">
        <v>8.8000001907348597</v>
      </c>
      <c r="G43" s="47">
        <v>1</v>
      </c>
      <c r="H43" s="47">
        <v>5400</v>
      </c>
      <c r="I43" s="47" t="s">
        <v>465</v>
      </c>
      <c r="J43" s="47" t="s">
        <v>466</v>
      </c>
      <c r="K43" s="47" t="s">
        <v>98</v>
      </c>
      <c r="L43" s="47"/>
      <c r="M43" s="47"/>
      <c r="N43" s="47">
        <v>1</v>
      </c>
      <c r="O43" s="47"/>
      <c r="P43" s="47">
        <v>8.8000001907348597</v>
      </c>
      <c r="Q43" s="47" t="s">
        <v>311</v>
      </c>
    </row>
    <row r="44" spans="1:17">
      <c r="A44" s="47" t="s">
        <v>699</v>
      </c>
      <c r="B44" s="47" t="s">
        <v>21</v>
      </c>
      <c r="C44" s="47" t="s">
        <v>375</v>
      </c>
      <c r="D44" s="47" t="s">
        <v>128</v>
      </c>
      <c r="E44" s="47" t="s">
        <v>376</v>
      </c>
      <c r="F44" s="47">
        <v>2.70000004768371</v>
      </c>
      <c r="G44" s="47">
        <v>2</v>
      </c>
      <c r="H44" s="47">
        <v>5400</v>
      </c>
      <c r="I44" s="47" t="s">
        <v>432</v>
      </c>
      <c r="J44" s="47" t="s">
        <v>96</v>
      </c>
      <c r="K44" s="47" t="s">
        <v>95</v>
      </c>
      <c r="L44" s="47" t="s">
        <v>510</v>
      </c>
      <c r="M44" s="47" t="s">
        <v>700</v>
      </c>
      <c r="N44" s="47">
        <v>1</v>
      </c>
      <c r="O44" s="47"/>
      <c r="P44" s="47">
        <v>2.70000004768371</v>
      </c>
      <c r="Q44" s="47" t="s">
        <v>311</v>
      </c>
    </row>
    <row r="45" spans="1:17">
      <c r="A45" s="47" t="s">
        <v>701</v>
      </c>
      <c r="B45" s="47" t="s">
        <v>21</v>
      </c>
      <c r="C45" s="47" t="s">
        <v>702</v>
      </c>
      <c r="D45" s="47" t="s">
        <v>703</v>
      </c>
      <c r="E45" s="47" t="s">
        <v>704</v>
      </c>
      <c r="F45" s="47">
        <v>1.3500000238418499</v>
      </c>
      <c r="G45" s="47">
        <v>2</v>
      </c>
      <c r="H45" s="47">
        <v>5400</v>
      </c>
      <c r="I45" s="47" t="s">
        <v>465</v>
      </c>
      <c r="J45" s="47" t="s">
        <v>98</v>
      </c>
      <c r="K45" s="47" t="s">
        <v>466</v>
      </c>
      <c r="L45" s="47"/>
      <c r="M45" s="47"/>
      <c r="N45" s="47">
        <v>1</v>
      </c>
      <c r="O45" s="47"/>
      <c r="P45" s="47">
        <v>1.3500000238418499</v>
      </c>
      <c r="Q45" s="47" t="s">
        <v>311</v>
      </c>
    </row>
    <row r="46" spans="1:17">
      <c r="A46" s="47" t="s">
        <v>705</v>
      </c>
      <c r="B46" s="47" t="s">
        <v>21</v>
      </c>
      <c r="C46" s="47" t="s">
        <v>381</v>
      </c>
      <c r="D46" s="47" t="s">
        <v>82</v>
      </c>
      <c r="E46" s="47" t="s">
        <v>382</v>
      </c>
      <c r="F46" s="47">
        <v>9.1499996185302699</v>
      </c>
      <c r="G46" s="47">
        <v>2</v>
      </c>
      <c r="H46" s="47">
        <v>5300</v>
      </c>
      <c r="I46" s="47" t="s">
        <v>441</v>
      </c>
      <c r="J46" s="47" t="s">
        <v>10</v>
      </c>
      <c r="K46" s="47" t="s">
        <v>442</v>
      </c>
      <c r="L46" s="47"/>
      <c r="M46" s="47"/>
      <c r="N46" s="47">
        <v>1</v>
      </c>
      <c r="O46" s="47"/>
      <c r="P46" s="47">
        <v>9.1499996185302699</v>
      </c>
      <c r="Q46" s="47" t="s">
        <v>311</v>
      </c>
    </row>
    <row r="47" spans="1:17">
      <c r="A47" s="47" t="s">
        <v>706</v>
      </c>
      <c r="B47" s="47" t="s">
        <v>21</v>
      </c>
      <c r="C47" s="47" t="s">
        <v>336</v>
      </c>
      <c r="D47" s="47" t="s">
        <v>122</v>
      </c>
      <c r="E47" s="47" t="s">
        <v>337</v>
      </c>
      <c r="F47" s="47">
        <v>2.95000004768371</v>
      </c>
      <c r="G47" s="47">
        <v>2</v>
      </c>
      <c r="H47" s="47">
        <v>5300</v>
      </c>
      <c r="I47" s="47" t="s">
        <v>428</v>
      </c>
      <c r="J47" s="47" t="s">
        <v>15</v>
      </c>
      <c r="K47" s="47" t="s">
        <v>47</v>
      </c>
      <c r="L47" s="47"/>
      <c r="M47" s="47"/>
      <c r="N47" s="47">
        <v>1</v>
      </c>
      <c r="O47" s="47"/>
      <c r="P47" s="47">
        <v>2.95000004768371</v>
      </c>
      <c r="Q47" s="47" t="s">
        <v>311</v>
      </c>
    </row>
    <row r="48" spans="1:17">
      <c r="A48" s="47" t="s">
        <v>707</v>
      </c>
      <c r="B48" s="47" t="s">
        <v>21</v>
      </c>
      <c r="C48" s="47" t="s">
        <v>360</v>
      </c>
      <c r="D48" s="47" t="s">
        <v>123</v>
      </c>
      <c r="E48" s="47" t="s">
        <v>361</v>
      </c>
      <c r="F48" s="47">
        <v>4.4499998092651296</v>
      </c>
      <c r="G48" s="47">
        <v>2</v>
      </c>
      <c r="H48" s="47">
        <v>5300</v>
      </c>
      <c r="I48" s="47" t="s">
        <v>434</v>
      </c>
      <c r="J48" s="47" t="s">
        <v>99</v>
      </c>
      <c r="K48" s="47" t="s">
        <v>40</v>
      </c>
      <c r="L48" s="47"/>
      <c r="M48" s="47"/>
      <c r="N48" s="47">
        <v>1</v>
      </c>
      <c r="O48" s="47"/>
      <c r="P48" s="47">
        <v>4.4499998092651296</v>
      </c>
      <c r="Q48" s="47" t="s">
        <v>311</v>
      </c>
    </row>
    <row r="49" spans="1:17">
      <c r="A49" s="47" t="s">
        <v>708</v>
      </c>
      <c r="B49" s="47" t="s">
        <v>21</v>
      </c>
      <c r="C49" s="47" t="s">
        <v>396</v>
      </c>
      <c r="D49" s="47" t="s">
        <v>124</v>
      </c>
      <c r="E49" s="47" t="s">
        <v>266</v>
      </c>
      <c r="F49" s="47">
        <v>2.0999999046325599</v>
      </c>
      <c r="G49" s="47">
        <v>2</v>
      </c>
      <c r="H49" s="47">
        <v>5300</v>
      </c>
      <c r="I49" s="47" t="s">
        <v>470</v>
      </c>
      <c r="J49" s="47" t="s">
        <v>12</v>
      </c>
      <c r="K49" s="47" t="s">
        <v>39</v>
      </c>
      <c r="L49" s="47"/>
      <c r="M49" s="47"/>
      <c r="N49" s="47">
        <v>1</v>
      </c>
      <c r="O49" s="47"/>
      <c r="P49" s="47">
        <v>2.0999999046325599</v>
      </c>
      <c r="Q49" s="47" t="s">
        <v>311</v>
      </c>
    </row>
    <row r="50" spans="1:17">
      <c r="A50" s="47" t="s">
        <v>709</v>
      </c>
      <c r="B50" s="47" t="s">
        <v>21</v>
      </c>
      <c r="C50" s="47" t="s">
        <v>331</v>
      </c>
      <c r="D50" s="47" t="s">
        <v>75</v>
      </c>
      <c r="E50" s="47" t="s">
        <v>332</v>
      </c>
      <c r="F50" s="47">
        <v>6.4000000953674299</v>
      </c>
      <c r="G50" s="47">
        <v>2</v>
      </c>
      <c r="H50" s="47">
        <v>5300</v>
      </c>
      <c r="I50" s="47" t="s">
        <v>428</v>
      </c>
      <c r="J50" s="47" t="s">
        <v>47</v>
      </c>
      <c r="K50" s="47" t="s">
        <v>15</v>
      </c>
      <c r="L50" s="47"/>
      <c r="M50" s="47"/>
      <c r="N50" s="47">
        <v>1</v>
      </c>
      <c r="O50" s="47"/>
      <c r="P50" s="47">
        <v>6.4000000953674299</v>
      </c>
      <c r="Q50" s="47" t="s">
        <v>311</v>
      </c>
    </row>
    <row r="51" spans="1:17">
      <c r="A51" s="47" t="s">
        <v>710</v>
      </c>
      <c r="B51" s="47" t="s">
        <v>21</v>
      </c>
      <c r="C51" s="47" t="s">
        <v>235</v>
      </c>
      <c r="D51" s="47" t="s">
        <v>76</v>
      </c>
      <c r="E51" s="47" t="s">
        <v>377</v>
      </c>
      <c r="F51" s="47">
        <v>9.1499996185302699</v>
      </c>
      <c r="G51" s="47">
        <v>2</v>
      </c>
      <c r="H51" s="47">
        <v>5200</v>
      </c>
      <c r="I51" s="47" t="s">
        <v>434</v>
      </c>
      <c r="J51" s="47" t="s">
        <v>99</v>
      </c>
      <c r="K51" s="47" t="s">
        <v>40</v>
      </c>
      <c r="L51" s="47"/>
      <c r="M51" s="47"/>
      <c r="N51" s="47">
        <v>1</v>
      </c>
      <c r="O51" s="47"/>
      <c r="P51" s="47">
        <v>9.1499996185302699</v>
      </c>
      <c r="Q51" s="47" t="s">
        <v>311</v>
      </c>
    </row>
    <row r="52" spans="1:17">
      <c r="A52" s="47" t="s">
        <v>711</v>
      </c>
      <c r="B52" s="47" t="s">
        <v>21</v>
      </c>
      <c r="C52" s="47" t="s">
        <v>712</v>
      </c>
      <c r="D52" s="47" t="s">
        <v>713</v>
      </c>
      <c r="E52" s="47" t="s">
        <v>714</v>
      </c>
      <c r="F52" s="47">
        <v>7.3499999046325604</v>
      </c>
      <c r="G52" s="47">
        <v>2</v>
      </c>
      <c r="H52" s="47">
        <v>5200</v>
      </c>
      <c r="I52" s="47" t="s">
        <v>465</v>
      </c>
      <c r="J52" s="47" t="s">
        <v>466</v>
      </c>
      <c r="K52" s="47" t="s">
        <v>98</v>
      </c>
      <c r="L52" s="47"/>
      <c r="M52" s="47"/>
      <c r="N52" s="47">
        <v>1</v>
      </c>
      <c r="O52" s="47"/>
      <c r="P52" s="47">
        <v>7.3499999046325604</v>
      </c>
      <c r="Q52" s="47" t="s">
        <v>311</v>
      </c>
    </row>
    <row r="53" spans="1:17">
      <c r="A53" s="47" t="s">
        <v>715</v>
      </c>
      <c r="B53" s="47" t="s">
        <v>21</v>
      </c>
      <c r="C53" s="47" t="s">
        <v>716</v>
      </c>
      <c r="D53" s="47" t="s">
        <v>717</v>
      </c>
      <c r="E53" s="47" t="s">
        <v>718</v>
      </c>
      <c r="F53" s="47">
        <v>6.8000001907348597</v>
      </c>
      <c r="G53" s="47">
        <v>2</v>
      </c>
      <c r="H53" s="47">
        <v>5200</v>
      </c>
      <c r="I53" s="47" t="s">
        <v>447</v>
      </c>
      <c r="J53" s="47" t="s">
        <v>448</v>
      </c>
      <c r="K53" s="47" t="s">
        <v>17</v>
      </c>
      <c r="L53" s="47"/>
      <c r="M53" s="47"/>
      <c r="N53" s="47">
        <v>1</v>
      </c>
      <c r="O53" s="47"/>
      <c r="P53" s="47">
        <v>6.8000001907348597</v>
      </c>
      <c r="Q53" s="47" t="s">
        <v>311</v>
      </c>
    </row>
    <row r="54" spans="1:17">
      <c r="A54" s="47" t="s">
        <v>719</v>
      </c>
      <c r="B54" s="47" t="s">
        <v>21</v>
      </c>
      <c r="C54" s="47" t="s">
        <v>320</v>
      </c>
      <c r="D54" s="47" t="s">
        <v>57</v>
      </c>
      <c r="E54" s="47" t="s">
        <v>321</v>
      </c>
      <c r="F54" s="47">
        <v>4.6999998092651296</v>
      </c>
      <c r="G54" s="47">
        <v>2</v>
      </c>
      <c r="H54" s="47">
        <v>5100</v>
      </c>
      <c r="I54" s="47" t="s">
        <v>428</v>
      </c>
      <c r="J54" s="47" t="s">
        <v>15</v>
      </c>
      <c r="K54" s="47" t="s">
        <v>47</v>
      </c>
      <c r="L54" s="47"/>
      <c r="M54" s="47"/>
      <c r="N54" s="47">
        <v>1</v>
      </c>
      <c r="O54" s="47"/>
      <c r="P54" s="47">
        <v>4.6999998092651296</v>
      </c>
      <c r="Q54" s="47" t="s">
        <v>311</v>
      </c>
    </row>
    <row r="55" spans="1:17">
      <c r="A55" s="47" t="s">
        <v>720</v>
      </c>
      <c r="B55" s="47" t="s">
        <v>21</v>
      </c>
      <c r="C55" s="47" t="s">
        <v>274</v>
      </c>
      <c r="D55" s="47" t="s">
        <v>86</v>
      </c>
      <c r="E55" s="47" t="s">
        <v>236</v>
      </c>
      <c r="F55" s="47">
        <v>5.5500001907348597</v>
      </c>
      <c r="G55" s="47">
        <v>2</v>
      </c>
      <c r="H55" s="47">
        <v>5000</v>
      </c>
      <c r="I55" s="47" t="s">
        <v>478</v>
      </c>
      <c r="J55" s="47" t="s">
        <v>6</v>
      </c>
      <c r="K55" s="47" t="s">
        <v>14</v>
      </c>
      <c r="L55" s="47"/>
      <c r="M55" s="47"/>
      <c r="N55" s="47">
        <v>1</v>
      </c>
      <c r="O55" s="47"/>
      <c r="P55" s="47">
        <v>5.5500001907348597</v>
      </c>
      <c r="Q55" s="47" t="s">
        <v>311</v>
      </c>
    </row>
    <row r="56" spans="1:17">
      <c r="A56" s="47" t="s">
        <v>721</v>
      </c>
      <c r="B56" s="47" t="s">
        <v>21</v>
      </c>
      <c r="C56" s="47" t="s">
        <v>372</v>
      </c>
      <c r="D56" s="47" t="s">
        <v>127</v>
      </c>
      <c r="E56" s="47" t="s">
        <v>373</v>
      </c>
      <c r="F56" s="47">
        <v>6.1500000953674299</v>
      </c>
      <c r="G56" s="47">
        <v>2</v>
      </c>
      <c r="H56" s="47">
        <v>5000</v>
      </c>
      <c r="I56" s="47" t="s">
        <v>434</v>
      </c>
      <c r="J56" s="47" t="s">
        <v>40</v>
      </c>
      <c r="K56" s="47" t="s">
        <v>99</v>
      </c>
      <c r="L56" s="47"/>
      <c r="M56" s="47"/>
      <c r="N56" s="47">
        <v>1</v>
      </c>
      <c r="O56" s="47"/>
      <c r="P56" s="47">
        <v>6.1500000953674299</v>
      </c>
      <c r="Q56" s="47" t="s">
        <v>311</v>
      </c>
    </row>
    <row r="57" spans="1:17">
      <c r="A57" s="47" t="s">
        <v>722</v>
      </c>
      <c r="B57" s="47" t="s">
        <v>21</v>
      </c>
      <c r="C57" s="47" t="s">
        <v>383</v>
      </c>
      <c r="D57" s="47" t="s">
        <v>93</v>
      </c>
      <c r="E57" s="47" t="s">
        <v>384</v>
      </c>
      <c r="F57" s="47">
        <v>6.5999999046325604</v>
      </c>
      <c r="G57" s="47">
        <v>2</v>
      </c>
      <c r="H57" s="47">
        <v>4900</v>
      </c>
      <c r="I57" s="47" t="s">
        <v>441</v>
      </c>
      <c r="J57" s="47" t="s">
        <v>10</v>
      </c>
      <c r="K57" s="47" t="s">
        <v>442</v>
      </c>
      <c r="L57" s="47"/>
      <c r="M57" s="47"/>
      <c r="N57" s="47">
        <v>1</v>
      </c>
      <c r="O57" s="47"/>
      <c r="P57" s="47">
        <v>6.5999999046325604</v>
      </c>
      <c r="Q57" s="47" t="s">
        <v>311</v>
      </c>
    </row>
    <row r="58" spans="1:17">
      <c r="A58" s="47" t="s">
        <v>723</v>
      </c>
      <c r="B58" s="47" t="s">
        <v>21</v>
      </c>
      <c r="C58" s="47" t="s">
        <v>724</v>
      </c>
      <c r="D58" s="47" t="s">
        <v>725</v>
      </c>
      <c r="E58" s="47" t="s">
        <v>726</v>
      </c>
      <c r="F58" s="47">
        <v>5.9000000953674299</v>
      </c>
      <c r="G58" s="47">
        <v>2</v>
      </c>
      <c r="H58" s="47">
        <v>4900</v>
      </c>
      <c r="I58" s="47" t="s">
        <v>459</v>
      </c>
      <c r="J58" s="47" t="s">
        <v>460</v>
      </c>
      <c r="K58" s="47" t="s">
        <v>94</v>
      </c>
      <c r="L58" s="47"/>
      <c r="M58" s="47"/>
      <c r="N58" s="47">
        <v>1</v>
      </c>
      <c r="O58" s="47"/>
      <c r="P58" s="47">
        <v>5.9000000953674299</v>
      </c>
      <c r="Q58" s="47" t="s">
        <v>311</v>
      </c>
    </row>
    <row r="59" spans="1:17">
      <c r="A59" s="47" t="s">
        <v>727</v>
      </c>
      <c r="B59" s="47" t="s">
        <v>21</v>
      </c>
      <c r="C59" s="47" t="s">
        <v>338</v>
      </c>
      <c r="D59" s="47" t="s">
        <v>83</v>
      </c>
      <c r="E59" s="47" t="s">
        <v>339</v>
      </c>
      <c r="F59" s="47">
        <v>4.9000000953674299</v>
      </c>
      <c r="G59" s="47">
        <v>2</v>
      </c>
      <c r="H59" s="47">
        <v>4900</v>
      </c>
      <c r="I59" s="47" t="s">
        <v>430</v>
      </c>
      <c r="J59" s="47" t="s">
        <v>43</v>
      </c>
      <c r="K59" s="47" t="s">
        <v>97</v>
      </c>
      <c r="L59" s="47"/>
      <c r="M59" s="47"/>
      <c r="N59" s="47">
        <v>1</v>
      </c>
      <c r="O59" s="47"/>
      <c r="P59" s="47">
        <v>4.9000000953674299</v>
      </c>
      <c r="Q59" s="47" t="s">
        <v>311</v>
      </c>
    </row>
    <row r="60" spans="1:17">
      <c r="A60" s="47" t="s">
        <v>728</v>
      </c>
      <c r="B60" s="47" t="s">
        <v>21</v>
      </c>
      <c r="C60" s="47" t="s">
        <v>372</v>
      </c>
      <c r="D60" s="47" t="s">
        <v>131</v>
      </c>
      <c r="E60" s="47" t="s">
        <v>378</v>
      </c>
      <c r="F60" s="47">
        <v>6.4499998092651296</v>
      </c>
      <c r="G60" s="47">
        <v>2</v>
      </c>
      <c r="H60" s="47">
        <v>4900</v>
      </c>
      <c r="I60" s="47" t="s">
        <v>459</v>
      </c>
      <c r="J60" s="47" t="s">
        <v>94</v>
      </c>
      <c r="K60" s="47" t="s">
        <v>460</v>
      </c>
      <c r="L60" s="47"/>
      <c r="M60" s="47"/>
      <c r="N60" s="47">
        <v>1</v>
      </c>
      <c r="O60" s="47"/>
      <c r="P60" s="47">
        <v>6.4499998092651296</v>
      </c>
      <c r="Q60" s="47" t="s">
        <v>311</v>
      </c>
    </row>
    <row r="61" spans="1:17">
      <c r="A61" s="47" t="s">
        <v>729</v>
      </c>
      <c r="B61" s="47" t="s">
        <v>21</v>
      </c>
      <c r="C61" s="47" t="s">
        <v>386</v>
      </c>
      <c r="D61" s="47" t="s">
        <v>80</v>
      </c>
      <c r="E61" s="47" t="s">
        <v>424</v>
      </c>
      <c r="F61" s="47">
        <v>3.45000004768371</v>
      </c>
      <c r="G61" s="47">
        <v>2</v>
      </c>
      <c r="H61" s="47">
        <v>4900</v>
      </c>
      <c r="I61" s="47" t="s">
        <v>465</v>
      </c>
      <c r="J61" s="47" t="s">
        <v>98</v>
      </c>
      <c r="K61" s="47" t="s">
        <v>466</v>
      </c>
      <c r="L61" s="47"/>
      <c r="M61" s="47"/>
      <c r="N61" s="47">
        <v>1</v>
      </c>
      <c r="O61" s="47"/>
      <c r="P61" s="47">
        <v>3.45000004768371</v>
      </c>
      <c r="Q61" s="47" t="s">
        <v>311</v>
      </c>
    </row>
    <row r="62" spans="1:17">
      <c r="A62" s="47" t="s">
        <v>730</v>
      </c>
      <c r="B62" s="47" t="s">
        <v>21</v>
      </c>
      <c r="C62" s="47" t="s">
        <v>351</v>
      </c>
      <c r="D62" s="47" t="s">
        <v>89</v>
      </c>
      <c r="E62" s="47" t="s">
        <v>352</v>
      </c>
      <c r="F62" s="47">
        <v>2.70000004768371</v>
      </c>
      <c r="G62" s="47">
        <v>2</v>
      </c>
      <c r="H62" s="47">
        <v>4800</v>
      </c>
      <c r="I62" s="47" t="s">
        <v>478</v>
      </c>
      <c r="J62" s="47" t="s">
        <v>14</v>
      </c>
      <c r="K62" s="47" t="s">
        <v>6</v>
      </c>
      <c r="L62" s="47"/>
      <c r="M62" s="47"/>
      <c r="N62" s="47">
        <v>1</v>
      </c>
      <c r="O62" s="47"/>
      <c r="P62" s="47">
        <v>2.70000004768371</v>
      </c>
      <c r="Q62" s="47" t="s">
        <v>311</v>
      </c>
    </row>
    <row r="63" spans="1:17">
      <c r="A63" s="47" t="s">
        <v>731</v>
      </c>
      <c r="B63" s="47" t="s">
        <v>21</v>
      </c>
      <c r="C63" s="47" t="s">
        <v>334</v>
      </c>
      <c r="D63" s="47" t="s">
        <v>134</v>
      </c>
      <c r="E63" s="47" t="s">
        <v>335</v>
      </c>
      <c r="F63" s="47">
        <v>4.4499998092651296</v>
      </c>
      <c r="G63" s="47">
        <v>2</v>
      </c>
      <c r="H63" s="47">
        <v>4800</v>
      </c>
      <c r="I63" s="47" t="s">
        <v>430</v>
      </c>
      <c r="J63" s="47" t="s">
        <v>97</v>
      </c>
      <c r="K63" s="47" t="s">
        <v>43</v>
      </c>
      <c r="L63" s="47"/>
      <c r="M63" s="47"/>
      <c r="N63" s="47">
        <v>1</v>
      </c>
      <c r="O63" s="47"/>
      <c r="P63" s="47">
        <v>4.4499998092651296</v>
      </c>
      <c r="Q63" s="47" t="s">
        <v>311</v>
      </c>
    </row>
    <row r="64" spans="1:17">
      <c r="A64" s="47" t="s">
        <v>732</v>
      </c>
      <c r="B64" s="47" t="s">
        <v>21</v>
      </c>
      <c r="C64" s="47" t="s">
        <v>389</v>
      </c>
      <c r="D64" s="47" t="s">
        <v>92</v>
      </c>
      <c r="E64" s="47" t="s">
        <v>326</v>
      </c>
      <c r="F64" s="47">
        <v>1.5</v>
      </c>
      <c r="G64" s="47">
        <v>2</v>
      </c>
      <c r="H64" s="47">
        <v>4800</v>
      </c>
      <c r="I64" s="47" t="s">
        <v>432</v>
      </c>
      <c r="J64" s="47" t="s">
        <v>95</v>
      </c>
      <c r="K64" s="47" t="s">
        <v>96</v>
      </c>
      <c r="L64" s="47"/>
      <c r="M64" s="47"/>
      <c r="N64" s="47">
        <v>1</v>
      </c>
      <c r="O64" s="47"/>
      <c r="P64" s="47">
        <v>1.5</v>
      </c>
      <c r="Q64" s="47" t="s">
        <v>311</v>
      </c>
    </row>
    <row r="65" spans="1:17">
      <c r="A65" s="47" t="s">
        <v>733</v>
      </c>
      <c r="B65" s="47" t="s">
        <v>21</v>
      </c>
      <c r="C65" s="47" t="s">
        <v>734</v>
      </c>
      <c r="D65" s="47" t="s">
        <v>735</v>
      </c>
      <c r="E65" s="47" t="s">
        <v>736</v>
      </c>
      <c r="F65" s="47">
        <v>7.9000000953674299</v>
      </c>
      <c r="G65" s="47">
        <v>1</v>
      </c>
      <c r="H65" s="47">
        <v>4700</v>
      </c>
      <c r="I65" s="47" t="s">
        <v>434</v>
      </c>
      <c r="J65" s="47" t="s">
        <v>99</v>
      </c>
      <c r="K65" s="47" t="s">
        <v>40</v>
      </c>
      <c r="L65" s="47"/>
      <c r="M65" s="47"/>
      <c r="N65" s="47">
        <v>1</v>
      </c>
      <c r="O65" s="47"/>
      <c r="P65" s="47">
        <v>7.9000000953674299</v>
      </c>
      <c r="Q65" s="47" t="s">
        <v>311</v>
      </c>
    </row>
    <row r="66" spans="1:17">
      <c r="A66" s="47" t="s">
        <v>737</v>
      </c>
      <c r="B66" s="47" t="s">
        <v>21</v>
      </c>
      <c r="C66" s="47" t="s">
        <v>233</v>
      </c>
      <c r="D66" s="47" t="s">
        <v>738</v>
      </c>
      <c r="E66" s="47" t="s">
        <v>244</v>
      </c>
      <c r="F66" s="47">
        <v>3.0999999046325599</v>
      </c>
      <c r="G66" s="47">
        <v>2</v>
      </c>
      <c r="H66" s="47">
        <v>4700</v>
      </c>
      <c r="I66" s="47" t="s">
        <v>441</v>
      </c>
      <c r="J66" s="47" t="s">
        <v>442</v>
      </c>
      <c r="K66" s="47" t="s">
        <v>10</v>
      </c>
      <c r="L66" s="47"/>
      <c r="M66" s="47"/>
      <c r="N66" s="47">
        <v>1</v>
      </c>
      <c r="O66" s="47"/>
      <c r="P66" s="47">
        <v>3.0999999046325599</v>
      </c>
      <c r="Q66" s="47" t="s">
        <v>311</v>
      </c>
    </row>
    <row r="67" spans="1:17">
      <c r="A67" s="47" t="s">
        <v>739</v>
      </c>
      <c r="B67" s="47" t="s">
        <v>21</v>
      </c>
      <c r="C67" s="47" t="s">
        <v>343</v>
      </c>
      <c r="D67" s="47" t="s">
        <v>133</v>
      </c>
      <c r="E67" s="47" t="s">
        <v>344</v>
      </c>
      <c r="F67" s="47">
        <v>2.75</v>
      </c>
      <c r="G67" s="47">
        <v>2</v>
      </c>
      <c r="H67" s="47">
        <v>4700</v>
      </c>
      <c r="I67" s="47" t="s">
        <v>428</v>
      </c>
      <c r="J67" s="47" t="s">
        <v>47</v>
      </c>
      <c r="K67" s="47" t="s">
        <v>15</v>
      </c>
      <c r="L67" s="47"/>
      <c r="M67" s="47"/>
      <c r="N67" s="47">
        <v>1</v>
      </c>
      <c r="O67" s="47"/>
      <c r="P67" s="47">
        <v>2.75</v>
      </c>
      <c r="Q67" s="47" t="s">
        <v>311</v>
      </c>
    </row>
    <row r="68" spans="1:17">
      <c r="A68" s="47" t="s">
        <v>740</v>
      </c>
      <c r="B68" s="47" t="s">
        <v>21</v>
      </c>
      <c r="C68" s="47" t="s">
        <v>393</v>
      </c>
      <c r="D68" s="47" t="s">
        <v>129</v>
      </c>
      <c r="E68" s="47" t="s">
        <v>394</v>
      </c>
      <c r="F68" s="47">
        <v>5.5</v>
      </c>
      <c r="G68" s="47">
        <v>1</v>
      </c>
      <c r="H68" s="47">
        <v>4600</v>
      </c>
      <c r="I68" s="47" t="s">
        <v>428</v>
      </c>
      <c r="J68" s="47" t="s">
        <v>15</v>
      </c>
      <c r="K68" s="47" t="s">
        <v>47</v>
      </c>
      <c r="L68" s="47"/>
      <c r="M68" s="47"/>
      <c r="N68" s="47">
        <v>1</v>
      </c>
      <c r="O68" s="47"/>
      <c r="P68" s="47">
        <v>5.5</v>
      </c>
      <c r="Q68" s="47" t="s">
        <v>311</v>
      </c>
    </row>
    <row r="69" spans="1:17">
      <c r="A69" s="47" t="s">
        <v>741</v>
      </c>
      <c r="B69" s="47" t="s">
        <v>21</v>
      </c>
      <c r="C69" s="47" t="s">
        <v>702</v>
      </c>
      <c r="D69" s="47" t="s">
        <v>742</v>
      </c>
      <c r="E69" s="47" t="s">
        <v>743</v>
      </c>
      <c r="F69" s="47">
        <v>2.9000000953674299</v>
      </c>
      <c r="G69" s="47">
        <v>2</v>
      </c>
      <c r="H69" s="47">
        <v>4600</v>
      </c>
      <c r="I69" s="47" t="s">
        <v>470</v>
      </c>
      <c r="J69" s="47" t="s">
        <v>39</v>
      </c>
      <c r="K69" s="47" t="s">
        <v>12</v>
      </c>
      <c r="L69" s="47"/>
      <c r="M69" s="47"/>
      <c r="N69" s="47">
        <v>1</v>
      </c>
      <c r="O69" s="47"/>
      <c r="P69" s="47">
        <v>2.9000000953674299</v>
      </c>
      <c r="Q69" s="47" t="s">
        <v>311</v>
      </c>
    </row>
    <row r="70" spans="1:17">
      <c r="A70" s="47" t="s">
        <v>744</v>
      </c>
      <c r="B70" s="47" t="s">
        <v>21</v>
      </c>
      <c r="C70" s="47" t="s">
        <v>538</v>
      </c>
      <c r="D70" s="47" t="s">
        <v>745</v>
      </c>
      <c r="E70" s="47" t="s">
        <v>746</v>
      </c>
      <c r="F70" s="47">
        <v>1.6000000238418499</v>
      </c>
      <c r="G70" s="47">
        <v>2</v>
      </c>
      <c r="H70" s="47">
        <v>4600</v>
      </c>
      <c r="I70" s="47" t="s">
        <v>447</v>
      </c>
      <c r="J70" s="47" t="s">
        <v>17</v>
      </c>
      <c r="K70" s="47" t="s">
        <v>448</v>
      </c>
      <c r="L70" s="47"/>
      <c r="M70" s="47"/>
      <c r="N70" s="47">
        <v>1</v>
      </c>
      <c r="O70" s="47"/>
      <c r="P70" s="47">
        <v>1.6000000238418499</v>
      </c>
      <c r="Q70" s="47" t="s">
        <v>311</v>
      </c>
    </row>
    <row r="71" spans="1:17">
      <c r="A71" s="47" t="s">
        <v>747</v>
      </c>
      <c r="B71" s="47" t="s">
        <v>21</v>
      </c>
      <c r="C71" s="47" t="s">
        <v>400</v>
      </c>
      <c r="D71" s="47" t="s">
        <v>87</v>
      </c>
      <c r="E71" s="47" t="s">
        <v>401</v>
      </c>
      <c r="F71" s="47">
        <v>1.29999995231628</v>
      </c>
      <c r="G71" s="47">
        <v>2</v>
      </c>
      <c r="H71" s="47">
        <v>4500</v>
      </c>
      <c r="I71" s="47" t="s">
        <v>453</v>
      </c>
      <c r="J71" s="47" t="s">
        <v>11</v>
      </c>
      <c r="K71" s="47" t="s">
        <v>9</v>
      </c>
      <c r="L71" s="47"/>
      <c r="M71" s="47"/>
      <c r="N71" s="47">
        <v>1</v>
      </c>
      <c r="O71" s="47"/>
      <c r="P71" s="47">
        <v>1.29999995231628</v>
      </c>
      <c r="Q71" s="47" t="s">
        <v>311</v>
      </c>
    </row>
    <row r="72" spans="1:17">
      <c r="A72" s="47" t="s">
        <v>748</v>
      </c>
      <c r="B72" s="47" t="s">
        <v>21</v>
      </c>
      <c r="C72" s="47" t="s">
        <v>749</v>
      </c>
      <c r="D72" s="47" t="s">
        <v>750</v>
      </c>
      <c r="E72" s="47" t="s">
        <v>751</v>
      </c>
      <c r="F72" s="47">
        <v>1.45000004768371</v>
      </c>
      <c r="G72" s="47">
        <v>2</v>
      </c>
      <c r="H72" s="47">
        <v>4300</v>
      </c>
      <c r="I72" s="47" t="s">
        <v>459</v>
      </c>
      <c r="J72" s="47" t="s">
        <v>460</v>
      </c>
      <c r="K72" s="47" t="s">
        <v>94</v>
      </c>
      <c r="L72" s="47"/>
      <c r="M72" s="47"/>
      <c r="N72" s="47">
        <v>1</v>
      </c>
      <c r="O72" s="47"/>
      <c r="P72" s="47">
        <v>1.45000004768371</v>
      </c>
      <c r="Q72" s="47" t="s">
        <v>311</v>
      </c>
    </row>
    <row r="73" spans="1:17">
      <c r="A73" s="47" t="s">
        <v>752</v>
      </c>
      <c r="B73" s="47" t="s">
        <v>21</v>
      </c>
      <c r="C73" s="47" t="s">
        <v>365</v>
      </c>
      <c r="D73" s="47" t="s">
        <v>90</v>
      </c>
      <c r="E73" s="47" t="s">
        <v>366</v>
      </c>
      <c r="F73" s="47">
        <v>0</v>
      </c>
      <c r="G73" s="47">
        <v>2</v>
      </c>
      <c r="H73" s="47">
        <v>4300</v>
      </c>
      <c r="I73" s="47" t="s">
        <v>436</v>
      </c>
      <c r="J73" s="47" t="s">
        <v>3</v>
      </c>
      <c r="K73" s="47" t="s">
        <v>41</v>
      </c>
      <c r="L73" s="47"/>
      <c r="M73" s="47"/>
      <c r="N73" s="47">
        <v>1</v>
      </c>
      <c r="O73" s="47"/>
      <c r="P73" s="47">
        <v>0</v>
      </c>
      <c r="Q73" s="47" t="s">
        <v>311</v>
      </c>
    </row>
    <row r="74" spans="1:17">
      <c r="A74" s="47" t="s">
        <v>753</v>
      </c>
      <c r="B74" s="47" t="s">
        <v>21</v>
      </c>
      <c r="C74" s="47" t="s">
        <v>754</v>
      </c>
      <c r="D74" s="47" t="s">
        <v>755</v>
      </c>
      <c r="E74" s="47" t="s">
        <v>756</v>
      </c>
      <c r="F74" s="47">
        <v>-2</v>
      </c>
      <c r="G74" s="47">
        <v>1</v>
      </c>
      <c r="H74" s="47">
        <v>4300</v>
      </c>
      <c r="I74" s="47" t="s">
        <v>450</v>
      </c>
      <c r="J74" s="47" t="s">
        <v>5</v>
      </c>
      <c r="K74" s="47" t="s">
        <v>451</v>
      </c>
      <c r="L74" s="47"/>
      <c r="M74" s="47"/>
      <c r="N74" s="47">
        <v>1</v>
      </c>
      <c r="O74" s="47"/>
      <c r="P74" s="47">
        <v>-2</v>
      </c>
      <c r="Q74" s="47" t="s">
        <v>311</v>
      </c>
    </row>
    <row r="75" spans="1:17">
      <c r="A75" s="47" t="s">
        <v>757</v>
      </c>
      <c r="B75" s="47" t="s">
        <v>21</v>
      </c>
      <c r="C75" s="47" t="s">
        <v>345</v>
      </c>
      <c r="D75" s="47" t="s">
        <v>135</v>
      </c>
      <c r="E75" s="47" t="s">
        <v>346</v>
      </c>
      <c r="F75" s="47">
        <v>1.1499999761581401</v>
      </c>
      <c r="G75" s="47">
        <v>2</v>
      </c>
      <c r="H75" s="47">
        <v>4200</v>
      </c>
      <c r="I75" s="47" t="s">
        <v>432</v>
      </c>
      <c r="J75" s="47" t="s">
        <v>95</v>
      </c>
      <c r="K75" s="47" t="s">
        <v>96</v>
      </c>
      <c r="L75" s="47"/>
      <c r="M75" s="47"/>
      <c r="N75" s="47">
        <v>1</v>
      </c>
      <c r="O75" s="47"/>
      <c r="P75" s="47">
        <v>1.1499999761581401</v>
      </c>
      <c r="Q75" s="47" t="s">
        <v>311</v>
      </c>
    </row>
    <row r="76" spans="1:17">
      <c r="A76" s="47" t="s">
        <v>758</v>
      </c>
      <c r="B76" s="47" t="s">
        <v>21</v>
      </c>
      <c r="C76" s="47" t="s">
        <v>327</v>
      </c>
      <c r="D76" s="47" t="s">
        <v>759</v>
      </c>
      <c r="E76" s="47" t="s">
        <v>760</v>
      </c>
      <c r="F76" s="47">
        <v>0.89999997615814198</v>
      </c>
      <c r="G76" s="47">
        <v>1</v>
      </c>
      <c r="H76" s="47">
        <v>4200</v>
      </c>
      <c r="I76" s="47" t="s">
        <v>447</v>
      </c>
      <c r="J76" s="47" t="s">
        <v>448</v>
      </c>
      <c r="K76" s="47" t="s">
        <v>17</v>
      </c>
      <c r="L76" s="47"/>
      <c r="M76" s="47"/>
      <c r="N76" s="47">
        <v>1</v>
      </c>
      <c r="O76" s="47"/>
      <c r="P76" s="47">
        <v>0.89999997615814198</v>
      </c>
      <c r="Q76" s="47" t="s">
        <v>311</v>
      </c>
    </row>
    <row r="77" spans="1:17">
      <c r="A77" s="47" t="s">
        <v>761</v>
      </c>
      <c r="B77" s="47" t="s">
        <v>21</v>
      </c>
      <c r="C77" s="47" t="s">
        <v>327</v>
      </c>
      <c r="D77" s="47" t="s">
        <v>762</v>
      </c>
      <c r="E77" s="47" t="s">
        <v>339</v>
      </c>
      <c r="F77" s="47">
        <v>3.81999994913736</v>
      </c>
      <c r="G77" s="47">
        <v>15</v>
      </c>
      <c r="H77" s="47">
        <v>4100</v>
      </c>
      <c r="I77" s="47" t="s">
        <v>478</v>
      </c>
      <c r="J77" s="47" t="s">
        <v>6</v>
      </c>
      <c r="K77" s="47" t="s">
        <v>14</v>
      </c>
      <c r="L77" s="47"/>
      <c r="M77" s="47"/>
      <c r="N77" s="47">
        <v>1</v>
      </c>
      <c r="O77" s="47"/>
      <c r="P77" s="47">
        <v>3.81999994913736</v>
      </c>
      <c r="Q77" s="47" t="s">
        <v>311</v>
      </c>
    </row>
    <row r="78" spans="1:17">
      <c r="A78" s="19"/>
      <c r="B78" s="20"/>
      <c r="C78" s="21"/>
      <c r="D78" s="22"/>
      <c r="E78" s="23"/>
    </row>
    <row r="79" spans="1:17">
      <c r="A79" s="19"/>
      <c r="B79" s="20"/>
      <c r="C79" s="21"/>
      <c r="D79" s="22"/>
      <c r="E79" s="23"/>
    </row>
    <row r="80" spans="1:17">
      <c r="A80" s="19"/>
      <c r="B80" s="20"/>
      <c r="C80" s="21"/>
      <c r="D80" s="22"/>
      <c r="E80" s="23"/>
    </row>
    <row r="81" spans="1:5">
      <c r="A81" s="19"/>
      <c r="B81" s="20"/>
      <c r="C81" s="21"/>
      <c r="D81" s="22"/>
      <c r="E81" s="23"/>
    </row>
    <row r="82" spans="1:5">
      <c r="A82" s="19"/>
      <c r="B82" s="20"/>
      <c r="C82" s="21"/>
      <c r="D82" s="22"/>
      <c r="E82" s="23"/>
    </row>
    <row r="83" spans="1:5">
      <c r="A83" s="19"/>
      <c r="B83" s="20"/>
      <c r="C83" s="21"/>
      <c r="D83" s="22"/>
      <c r="E83" s="23"/>
    </row>
    <row r="84" spans="1:5">
      <c r="A84" s="19"/>
      <c r="B84" s="20"/>
      <c r="C84" s="21"/>
      <c r="D84" s="22"/>
      <c r="E84" s="23"/>
    </row>
    <row r="85" spans="1:5">
      <c r="A85" s="19"/>
      <c r="B85" s="20"/>
      <c r="C85" s="21"/>
      <c r="D85" s="22"/>
      <c r="E85" s="23"/>
    </row>
    <row r="86" spans="1:5">
      <c r="A86" s="19"/>
      <c r="B86" s="20"/>
      <c r="C86" s="21"/>
      <c r="D86" s="22"/>
      <c r="E86" s="23"/>
    </row>
    <row r="87" spans="1:5">
      <c r="A87" s="19"/>
      <c r="B87" s="20"/>
      <c r="C87" s="21"/>
      <c r="D87" s="22"/>
      <c r="E87" s="23"/>
    </row>
    <row r="88" spans="1:5">
      <c r="A88" s="19"/>
      <c r="B88" s="20"/>
      <c r="C88" s="21"/>
      <c r="D88" s="22"/>
      <c r="E88" s="23"/>
    </row>
    <row r="89" spans="1:5">
      <c r="A89" s="19"/>
      <c r="B89" s="20"/>
      <c r="C89" s="21"/>
      <c r="D89" s="22"/>
      <c r="E89" s="23"/>
    </row>
    <row r="90" spans="1:5">
      <c r="A90" s="19"/>
      <c r="B90" s="20"/>
      <c r="C90" s="21"/>
      <c r="D90" s="22"/>
      <c r="E90" s="23"/>
    </row>
    <row r="91" spans="1:5">
      <c r="A91" s="19"/>
      <c r="B91" s="20"/>
      <c r="C91" s="21"/>
      <c r="D91" s="22"/>
      <c r="E91" s="23"/>
    </row>
    <row r="92" spans="1:5">
      <c r="A92" s="19"/>
      <c r="B92" s="20"/>
      <c r="C92" s="21"/>
      <c r="D92" s="22"/>
      <c r="E92" s="23"/>
    </row>
    <row r="93" spans="1:5">
      <c r="A93" s="19"/>
      <c r="B93" s="20"/>
      <c r="C93" s="21"/>
      <c r="D93" s="22"/>
      <c r="E93" s="23"/>
    </row>
    <row r="94" spans="1:5">
      <c r="A94" s="19"/>
      <c r="B94" s="20"/>
      <c r="C94" s="21"/>
      <c r="D94" s="22"/>
      <c r="E94" s="23"/>
    </row>
    <row r="95" spans="1:5">
      <c r="A95" s="19"/>
      <c r="B95" s="20"/>
      <c r="C95" s="21"/>
      <c r="D95" s="22"/>
      <c r="E95" s="23"/>
    </row>
    <row r="96" spans="1:5">
      <c r="A96" s="19"/>
      <c r="B96" s="20"/>
      <c r="C96" s="21"/>
      <c r="D96" s="22"/>
      <c r="E96" s="23"/>
    </row>
    <row r="97" spans="1:5">
      <c r="A97" s="19"/>
      <c r="B97" s="20"/>
      <c r="C97" s="21"/>
      <c r="D97" s="22"/>
      <c r="E97" s="23"/>
    </row>
    <row r="98" spans="1:5">
      <c r="A98" s="19"/>
      <c r="B98" s="20"/>
      <c r="C98" s="21"/>
      <c r="D98" s="22"/>
      <c r="E98" s="23"/>
    </row>
    <row r="99" spans="1:5">
      <c r="A99" s="19"/>
      <c r="B99" s="20"/>
      <c r="C99" s="21"/>
      <c r="D99" s="22"/>
      <c r="E99" s="23"/>
    </row>
    <row r="100" spans="1:5">
      <c r="A100" s="19"/>
      <c r="B100" s="20"/>
      <c r="C100" s="21"/>
      <c r="D100" s="22"/>
      <c r="E100" s="23"/>
    </row>
    <row r="101" spans="1:5">
      <c r="A101" s="19"/>
      <c r="B101" s="20"/>
      <c r="C101" s="21"/>
      <c r="D101" s="22"/>
      <c r="E101" s="23"/>
    </row>
    <row r="102" spans="1:5">
      <c r="A102" s="19"/>
      <c r="B102" s="20"/>
      <c r="C102" s="21"/>
      <c r="D102" s="22"/>
      <c r="E102" s="23"/>
    </row>
    <row r="103" spans="1:5">
      <c r="A103" s="19"/>
      <c r="B103" s="20"/>
      <c r="C103" s="21"/>
      <c r="D103" s="22"/>
      <c r="E103" s="23"/>
    </row>
    <row r="104" spans="1:5">
      <c r="A104" s="19"/>
      <c r="B104" s="20"/>
      <c r="C104" s="21"/>
      <c r="D104" s="22"/>
      <c r="E104" s="23"/>
    </row>
    <row r="105" spans="1:5">
      <c r="A105" s="19"/>
      <c r="B105" s="20"/>
      <c r="C105" s="21"/>
      <c r="D105" s="22"/>
      <c r="E105" s="23"/>
    </row>
    <row r="106" spans="1:5">
      <c r="A106" s="19"/>
      <c r="B106" s="20"/>
      <c r="C106" s="21"/>
      <c r="D106" s="22"/>
      <c r="E106" s="23"/>
    </row>
    <row r="107" spans="1:5">
      <c r="A107" s="19"/>
      <c r="B107" s="20"/>
      <c r="C107" s="21"/>
      <c r="D107" s="22"/>
      <c r="E107" s="23"/>
    </row>
    <row r="108" spans="1:5">
      <c r="A108" s="19"/>
      <c r="B108" s="20"/>
      <c r="C108" s="21"/>
      <c r="D108" s="22"/>
      <c r="E108" s="23"/>
    </row>
    <row r="109" spans="1:5">
      <c r="A109" s="19"/>
      <c r="B109" s="20"/>
      <c r="C109" s="21"/>
      <c r="D109" s="22"/>
      <c r="E109" s="23"/>
    </row>
    <row r="110" spans="1:5">
      <c r="A110" s="19"/>
      <c r="B110" s="20"/>
      <c r="C110" s="21"/>
      <c r="D110" s="22"/>
      <c r="E110" s="23"/>
    </row>
    <row r="111" spans="1:5">
      <c r="A111" s="19"/>
      <c r="B111" s="20"/>
      <c r="C111" s="21"/>
      <c r="D111" s="22"/>
      <c r="E111" s="23"/>
    </row>
    <row r="112" spans="1:5">
      <c r="A112" s="19"/>
      <c r="B112" s="20"/>
      <c r="C112" s="21"/>
      <c r="D112" s="22"/>
      <c r="E112" s="23"/>
    </row>
    <row r="113" spans="1:5">
      <c r="A113" s="19"/>
      <c r="B113" s="20"/>
      <c r="C113" s="21"/>
      <c r="D113" s="22"/>
      <c r="E113" s="23"/>
    </row>
    <row r="114" spans="1:5">
      <c r="A114" s="19"/>
      <c r="B114" s="20"/>
      <c r="C114" s="21"/>
      <c r="D114" s="22"/>
      <c r="E114" s="23"/>
    </row>
    <row r="115" spans="1:5">
      <c r="A115" s="19"/>
      <c r="B115" s="20"/>
      <c r="C115" s="21"/>
      <c r="D115" s="22"/>
      <c r="E115" s="23"/>
    </row>
    <row r="116" spans="1:5">
      <c r="A116" s="19"/>
      <c r="B116" s="20"/>
      <c r="C116" s="21"/>
      <c r="D116" s="22"/>
      <c r="E116" s="23"/>
    </row>
    <row r="117" spans="1:5">
      <c r="A117" s="19"/>
      <c r="B117" s="20"/>
      <c r="C117" s="21"/>
      <c r="D117" s="22"/>
      <c r="E117" s="23"/>
    </row>
    <row r="118" spans="1:5">
      <c r="A118" s="19"/>
      <c r="B118" s="20"/>
      <c r="C118" s="21"/>
      <c r="D118" s="22"/>
      <c r="E118" s="23"/>
    </row>
    <row r="119" spans="1:5">
      <c r="A119" s="19"/>
      <c r="B119" s="20"/>
      <c r="C119" s="21"/>
      <c r="D119" s="22"/>
      <c r="E119" s="23"/>
    </row>
    <row r="120" spans="1:5">
      <c r="A120" s="19"/>
      <c r="B120" s="20"/>
      <c r="C120" s="21"/>
      <c r="D120" s="22"/>
      <c r="E120" s="23"/>
    </row>
    <row r="121" spans="1:5">
      <c r="A121" s="19"/>
      <c r="B121" s="20"/>
      <c r="C121" s="21"/>
      <c r="D121" s="22"/>
      <c r="E121" s="23"/>
    </row>
    <row r="122" spans="1:5">
      <c r="A122" s="19"/>
      <c r="B122" s="20"/>
      <c r="C122" s="21"/>
      <c r="D122" s="22"/>
      <c r="E122" s="23"/>
    </row>
    <row r="123" spans="1:5">
      <c r="A123" s="19"/>
      <c r="B123" s="20"/>
      <c r="C123" s="21"/>
      <c r="D123" s="22"/>
      <c r="E123" s="23"/>
    </row>
    <row r="124" spans="1:5">
      <c r="A124" s="19"/>
      <c r="B124" s="20"/>
      <c r="C124" s="21"/>
      <c r="D124" s="22"/>
      <c r="E124" s="23"/>
    </row>
    <row r="125" spans="1:5">
      <c r="A125" s="19"/>
      <c r="B125" s="20"/>
      <c r="C125" s="21"/>
      <c r="D125" s="22"/>
      <c r="E125" s="23"/>
    </row>
    <row r="126" spans="1:5">
      <c r="A126" s="19"/>
      <c r="B126" s="20"/>
      <c r="C126" s="21"/>
      <c r="D126" s="22"/>
      <c r="E126" s="23"/>
    </row>
    <row r="127" spans="1:5">
      <c r="A127" s="19"/>
      <c r="B127" s="20"/>
      <c r="C127" s="21"/>
      <c r="D127" s="22"/>
      <c r="E127" s="23"/>
    </row>
    <row r="128" spans="1:5">
      <c r="A128" s="19"/>
      <c r="B128" s="20"/>
      <c r="C128" s="21"/>
      <c r="D128" s="22"/>
      <c r="E128" s="23"/>
    </row>
    <row r="129" spans="1:5">
      <c r="A129" s="19"/>
      <c r="B129" s="20"/>
      <c r="C129" s="21"/>
      <c r="D129" s="22"/>
      <c r="E129" s="23"/>
    </row>
    <row r="130" spans="1:5">
      <c r="A130" s="19"/>
      <c r="B130" s="20"/>
      <c r="C130" s="21"/>
      <c r="D130" s="22"/>
      <c r="E130" s="23"/>
    </row>
    <row r="131" spans="1:5">
      <c r="A131" s="19"/>
      <c r="B131" s="20"/>
      <c r="C131" s="21"/>
      <c r="D131" s="22"/>
      <c r="E131" s="23"/>
    </row>
    <row r="132" spans="1:5">
      <c r="A132" s="19"/>
      <c r="B132" s="20"/>
      <c r="C132" s="21"/>
      <c r="D132" s="22"/>
      <c r="E132" s="23"/>
    </row>
    <row r="133" spans="1:5">
      <c r="A133" s="19"/>
      <c r="B133" s="20"/>
      <c r="C133" s="21"/>
      <c r="D133" s="22"/>
      <c r="E133" s="23"/>
    </row>
    <row r="134" spans="1:5">
      <c r="A134" s="19"/>
      <c r="B134" s="20"/>
      <c r="C134" s="21"/>
      <c r="D134" s="22"/>
      <c r="E134" s="23"/>
    </row>
    <row r="135" spans="1:5">
      <c r="A135" s="19"/>
      <c r="B135" s="20"/>
      <c r="C135" s="21"/>
      <c r="D135" s="22"/>
      <c r="E135" s="23"/>
    </row>
    <row r="136" spans="1:5">
      <c r="A136" s="19"/>
      <c r="B136" s="20"/>
      <c r="C136" s="21"/>
      <c r="D136" s="22"/>
      <c r="E136" s="23"/>
    </row>
    <row r="137" spans="1:5">
      <c r="A137" s="19"/>
      <c r="B137" s="20"/>
      <c r="C137" s="21"/>
      <c r="D137" s="22"/>
      <c r="E137" s="23"/>
    </row>
    <row r="138" spans="1:5">
      <c r="A138" s="19"/>
      <c r="B138" s="20"/>
      <c r="C138" s="21"/>
      <c r="D138" s="22"/>
      <c r="E138" s="23"/>
    </row>
    <row r="139" spans="1:5">
      <c r="A139" s="19"/>
      <c r="B139" s="20"/>
      <c r="C139" s="21"/>
      <c r="D139" s="22"/>
      <c r="E139" s="23"/>
    </row>
    <row r="140" spans="1:5">
      <c r="A140" s="19"/>
      <c r="B140" s="20"/>
      <c r="C140" s="21"/>
      <c r="D140" s="22"/>
      <c r="E140" s="23"/>
    </row>
    <row r="141" spans="1:5">
      <c r="A141" s="19"/>
      <c r="B141" s="20"/>
      <c r="C141" s="21"/>
      <c r="D141" s="22"/>
      <c r="E141" s="23"/>
    </row>
    <row r="142" spans="1:5">
      <c r="A142" s="19"/>
      <c r="B142" s="20"/>
      <c r="C142" s="21"/>
      <c r="D142" s="22"/>
      <c r="E142" s="23"/>
    </row>
    <row r="143" spans="1:5">
      <c r="A143" s="19"/>
      <c r="B143" s="20"/>
      <c r="C143" s="21"/>
      <c r="D143" s="22"/>
      <c r="E143" s="23"/>
    </row>
    <row r="144" spans="1:5">
      <c r="A144" s="19"/>
      <c r="B144" s="20"/>
      <c r="C144" s="21"/>
      <c r="D144" s="22"/>
      <c r="E144" s="23"/>
    </row>
    <row r="145" spans="1:5">
      <c r="A145" s="19"/>
      <c r="B145" s="20"/>
      <c r="C145" s="21"/>
      <c r="D145" s="22"/>
      <c r="E145" s="23"/>
    </row>
    <row r="146" spans="1:5">
      <c r="A146" s="19"/>
      <c r="B146" s="20"/>
      <c r="C146" s="21"/>
      <c r="D146" s="22"/>
      <c r="E146" s="23"/>
    </row>
    <row r="147" spans="1:5">
      <c r="A147" s="19"/>
      <c r="B147" s="20"/>
      <c r="C147" s="21"/>
      <c r="D147" s="22"/>
      <c r="E147" s="23"/>
    </row>
    <row r="148" spans="1:5">
      <c r="A148" s="19"/>
      <c r="B148" s="20"/>
      <c r="C148" s="21"/>
      <c r="D148" s="22"/>
      <c r="E148" s="23"/>
    </row>
    <row r="149" spans="1:5">
      <c r="A149" s="19"/>
      <c r="B149" s="20"/>
      <c r="C149" s="21"/>
      <c r="D149" s="22"/>
      <c r="E149" s="23"/>
    </row>
    <row r="150" spans="1:5">
      <c r="A150" s="19"/>
      <c r="B150" s="20"/>
      <c r="C150" s="21"/>
      <c r="D150" s="22"/>
      <c r="E150" s="23"/>
    </row>
    <row r="151" spans="1:5">
      <c r="A151" s="19"/>
      <c r="B151" s="20"/>
      <c r="C151" s="21"/>
      <c r="D151" s="22"/>
      <c r="E151" s="23"/>
    </row>
    <row r="152" spans="1:5">
      <c r="A152" s="19"/>
      <c r="B152" s="20"/>
      <c r="C152" s="21"/>
      <c r="D152" s="22"/>
      <c r="E152" s="23"/>
    </row>
    <row r="153" spans="1:5">
      <c r="A153" s="19"/>
      <c r="B153" s="20"/>
      <c r="C153" s="21"/>
      <c r="D153" s="22"/>
      <c r="E153" s="23"/>
    </row>
    <row r="154" spans="1:5">
      <c r="A154" s="19"/>
      <c r="B154" s="20"/>
      <c r="C154" s="21"/>
      <c r="D154" s="22"/>
      <c r="E154" s="23"/>
    </row>
    <row r="155" spans="1:5">
      <c r="A155" s="19"/>
      <c r="B155" s="20"/>
      <c r="C155" s="21"/>
      <c r="D155" s="22"/>
      <c r="E155" s="23"/>
    </row>
    <row r="156" spans="1:5">
      <c r="A156" s="19"/>
      <c r="B156" s="20"/>
      <c r="C156" s="21"/>
      <c r="D156" s="22"/>
      <c r="E156" s="23"/>
    </row>
    <row r="157" spans="1:5">
      <c r="A157" s="19"/>
      <c r="B157" s="20"/>
      <c r="C157" s="21"/>
      <c r="D157" s="22"/>
      <c r="E157" s="23"/>
    </row>
    <row r="158" spans="1:5">
      <c r="A158" s="19"/>
      <c r="B158" s="20"/>
      <c r="C158" s="21"/>
      <c r="D158" s="22"/>
      <c r="E158" s="23"/>
    </row>
    <row r="159" spans="1:5">
      <c r="A159" s="19"/>
      <c r="B159" s="20"/>
      <c r="C159" s="21"/>
      <c r="D159" s="22"/>
      <c r="E159" s="23"/>
    </row>
    <row r="160" spans="1:5">
      <c r="A160" s="19"/>
      <c r="B160" s="20"/>
      <c r="C160" s="21"/>
      <c r="D160" s="22"/>
      <c r="E160" s="23"/>
    </row>
    <row r="161" spans="1:5">
      <c r="A161" s="19"/>
      <c r="B161" s="20"/>
      <c r="C161" s="21"/>
      <c r="D161" s="22"/>
      <c r="E161" s="23"/>
    </row>
    <row r="162" spans="1:5">
      <c r="A162" s="19"/>
      <c r="B162" s="20"/>
      <c r="C162" s="21"/>
      <c r="D162" s="22"/>
      <c r="E162" s="23"/>
    </row>
    <row r="163" spans="1:5">
      <c r="A163" s="19"/>
      <c r="B163" s="20"/>
      <c r="C163" s="21"/>
      <c r="D163" s="22"/>
      <c r="E163" s="23"/>
    </row>
    <row r="164" spans="1:5">
      <c r="A164" s="19"/>
      <c r="B164" s="20"/>
      <c r="C164" s="21"/>
      <c r="D164" s="22"/>
      <c r="E164" s="23"/>
    </row>
    <row r="165" spans="1:5">
      <c r="A165" s="19"/>
      <c r="B165" s="20"/>
      <c r="C165" s="21"/>
      <c r="D165" s="22"/>
      <c r="E165" s="23"/>
    </row>
    <row r="166" spans="1:5">
      <c r="A166" s="19"/>
      <c r="B166" s="20"/>
      <c r="C166" s="21"/>
      <c r="D166" s="22"/>
      <c r="E166" s="23"/>
    </row>
    <row r="167" spans="1:5">
      <c r="A167" s="19"/>
      <c r="B167" s="20"/>
      <c r="C167" s="21"/>
      <c r="D167" s="22"/>
      <c r="E167" s="23"/>
    </row>
    <row r="168" spans="1:5">
      <c r="A168" s="19"/>
      <c r="B168" s="20"/>
      <c r="C168" s="21"/>
      <c r="D168" s="22"/>
      <c r="E168" s="23"/>
    </row>
    <row r="169" spans="1:5">
      <c r="A169" s="19"/>
      <c r="B169" s="20"/>
      <c r="C169" s="21"/>
      <c r="D169" s="22"/>
      <c r="E169" s="23"/>
    </row>
    <row r="170" spans="1:5">
      <c r="A170" s="19"/>
      <c r="B170" s="20"/>
      <c r="C170" s="21"/>
      <c r="D170" s="22"/>
      <c r="E170" s="23"/>
    </row>
    <row r="171" spans="1:5">
      <c r="A171" s="19"/>
      <c r="B171" s="20"/>
      <c r="C171" s="21"/>
      <c r="D171" s="22"/>
      <c r="E171" s="23"/>
    </row>
    <row r="172" spans="1:5">
      <c r="A172" s="19"/>
      <c r="B172" s="20"/>
      <c r="C172" s="21"/>
      <c r="D172" s="22"/>
      <c r="E172" s="23"/>
    </row>
    <row r="173" spans="1:5">
      <c r="A173" s="19"/>
      <c r="B173" s="20"/>
      <c r="C173" s="21"/>
      <c r="D173" s="22"/>
      <c r="E173" s="23"/>
    </row>
    <row r="174" spans="1:5">
      <c r="A174" s="19"/>
      <c r="B174" s="20"/>
      <c r="C174" s="21"/>
      <c r="D174" s="22"/>
      <c r="E174" s="23"/>
    </row>
    <row r="175" spans="1:5">
      <c r="A175" s="19"/>
      <c r="B175" s="20"/>
      <c r="C175" s="21"/>
      <c r="D175" s="22"/>
      <c r="E175" s="23"/>
    </row>
    <row r="176" spans="1:5">
      <c r="A176" s="19"/>
      <c r="B176" s="20"/>
      <c r="C176" s="21"/>
      <c r="D176" s="22"/>
      <c r="E176" s="23"/>
    </row>
    <row r="177" spans="1:5">
      <c r="A177" s="19"/>
      <c r="B177" s="20"/>
      <c r="C177" s="21"/>
      <c r="D177" s="22"/>
      <c r="E177" s="23"/>
    </row>
    <row r="178" spans="1:5">
      <c r="A178" s="19"/>
      <c r="B178" s="20"/>
      <c r="C178" s="21"/>
      <c r="D178" s="22"/>
      <c r="E178" s="23"/>
    </row>
    <row r="179" spans="1:5">
      <c r="A179" s="19"/>
      <c r="B179" s="20"/>
      <c r="C179" s="21"/>
      <c r="D179" s="22"/>
      <c r="E179" s="23"/>
    </row>
    <row r="180" spans="1:5">
      <c r="A180" s="19"/>
      <c r="B180" s="20"/>
      <c r="C180" s="21"/>
      <c r="D180" s="22"/>
      <c r="E180" s="23"/>
    </row>
    <row r="181" spans="1:5">
      <c r="A181" s="19"/>
      <c r="B181" s="20"/>
      <c r="C181" s="21"/>
      <c r="D181" s="22"/>
      <c r="E181" s="23"/>
    </row>
    <row r="182" spans="1:5">
      <c r="A182" s="19"/>
      <c r="B182" s="20"/>
      <c r="C182" s="21"/>
      <c r="D182" s="22"/>
      <c r="E182" s="23"/>
    </row>
    <row r="183" spans="1:5">
      <c r="A183" s="19"/>
      <c r="B183" s="20"/>
      <c r="C183" s="21"/>
      <c r="D183" s="22"/>
      <c r="E183" s="23"/>
    </row>
    <row r="184" spans="1:5">
      <c r="A184" s="19"/>
      <c r="B184" s="20"/>
      <c r="C184" s="21"/>
      <c r="D184" s="22"/>
      <c r="E184" s="23"/>
    </row>
    <row r="185" spans="1:5">
      <c r="A185" s="19"/>
      <c r="B185" s="20"/>
      <c r="C185" s="21"/>
      <c r="D185" s="22"/>
      <c r="E185" s="23"/>
    </row>
    <row r="186" spans="1:5">
      <c r="A186" s="19"/>
      <c r="B186" s="20"/>
      <c r="C186" s="21"/>
      <c r="D186" s="22"/>
      <c r="E186" s="23"/>
    </row>
    <row r="187" spans="1:5">
      <c r="A187" s="19"/>
      <c r="B187" s="20"/>
      <c r="C187" s="21"/>
      <c r="D187" s="22"/>
      <c r="E187" s="23"/>
    </row>
    <row r="188" spans="1:5">
      <c r="A188" s="19"/>
      <c r="B188" s="20"/>
      <c r="C188" s="21"/>
      <c r="D188" s="22"/>
      <c r="E188" s="23"/>
    </row>
    <row r="189" spans="1:5">
      <c r="A189" s="19"/>
      <c r="B189" s="20"/>
      <c r="C189" s="21"/>
      <c r="D189" s="22"/>
      <c r="E189" s="23"/>
    </row>
    <row r="190" spans="1:5">
      <c r="A190" s="19"/>
      <c r="B190" s="20"/>
      <c r="C190" s="21"/>
      <c r="D190" s="22"/>
      <c r="E190" s="23"/>
    </row>
    <row r="191" spans="1:5">
      <c r="A191" s="19"/>
      <c r="B191" s="20"/>
      <c r="C191" s="21"/>
      <c r="D191" s="22"/>
      <c r="E191" s="23"/>
    </row>
    <row r="192" spans="1:5">
      <c r="A192" s="19"/>
      <c r="B192" s="20"/>
      <c r="C192" s="21"/>
      <c r="D192" s="22"/>
      <c r="E192" s="23"/>
    </row>
    <row r="193" spans="1:5">
      <c r="A193" s="19"/>
      <c r="B193" s="20"/>
      <c r="C193" s="21"/>
      <c r="D193" s="22"/>
      <c r="E193" s="23"/>
    </row>
    <row r="194" spans="1:5">
      <c r="A194" s="19"/>
      <c r="B194" s="20"/>
      <c r="C194" s="21"/>
      <c r="D194" s="22"/>
      <c r="E194" s="23"/>
    </row>
    <row r="195" spans="1:5">
      <c r="A195" s="19"/>
      <c r="B195" s="20"/>
      <c r="C195" s="21"/>
      <c r="D195" s="22"/>
      <c r="E195" s="23"/>
    </row>
    <row r="196" spans="1:5">
      <c r="A196" s="19"/>
      <c r="B196" s="20"/>
      <c r="C196" s="21"/>
      <c r="D196" s="22"/>
      <c r="E196" s="23"/>
    </row>
    <row r="197" spans="1:5">
      <c r="A197" s="19"/>
      <c r="B197" s="20"/>
      <c r="C197" s="21"/>
      <c r="D197" s="22"/>
      <c r="E197" s="23"/>
    </row>
    <row r="198" spans="1:5">
      <c r="A198" s="19"/>
      <c r="B198" s="20"/>
      <c r="C198" s="21"/>
      <c r="D198" s="22"/>
      <c r="E198" s="23"/>
    </row>
    <row r="199" spans="1:5">
      <c r="A199" s="19"/>
      <c r="B199" s="20"/>
      <c r="C199" s="21"/>
      <c r="D199" s="22"/>
      <c r="E199" s="23"/>
    </row>
    <row r="200" spans="1:5">
      <c r="A200" s="19"/>
      <c r="B200" s="20"/>
      <c r="C200" s="21"/>
      <c r="D200" s="22"/>
      <c r="E200" s="23"/>
    </row>
    <row r="201" spans="1:5">
      <c r="A201" s="19"/>
      <c r="B201" s="20"/>
      <c r="C201" s="21"/>
      <c r="D201" s="22"/>
      <c r="E201" s="23"/>
    </row>
    <row r="202" spans="1:5">
      <c r="A202" s="19"/>
      <c r="B202" s="20"/>
      <c r="C202" s="21"/>
      <c r="D202" s="22"/>
      <c r="E202" s="23"/>
    </row>
    <row r="203" spans="1:5">
      <c r="A203" s="19"/>
      <c r="B203" s="20"/>
      <c r="C203" s="21"/>
      <c r="D203" s="22"/>
      <c r="E203" s="23"/>
    </row>
    <row r="204" spans="1:5">
      <c r="A204" s="19"/>
      <c r="B204" s="20"/>
      <c r="C204" s="21"/>
      <c r="D204" s="22"/>
      <c r="E204" s="23"/>
    </row>
    <row r="205" spans="1:5">
      <c r="A205" s="19"/>
      <c r="B205" s="20"/>
      <c r="C205" s="21"/>
      <c r="D205" s="22"/>
      <c r="E205" s="23"/>
    </row>
    <row r="206" spans="1:5">
      <c r="A206" s="19"/>
      <c r="B206" s="20"/>
      <c r="C206" s="21"/>
      <c r="D206" s="22"/>
      <c r="E206" s="23"/>
    </row>
    <row r="207" spans="1:5">
      <c r="A207" s="19"/>
      <c r="B207" s="20"/>
      <c r="C207" s="21"/>
      <c r="D207" s="22"/>
      <c r="E207" s="23"/>
    </row>
    <row r="208" spans="1:5">
      <c r="A208" s="19"/>
      <c r="B208" s="20"/>
      <c r="C208" s="21"/>
      <c r="D208" s="22"/>
      <c r="E208" s="23"/>
    </row>
    <row r="209" spans="1:5">
      <c r="A209" s="19"/>
      <c r="B209" s="20"/>
      <c r="C209" s="21"/>
      <c r="D209" s="22"/>
      <c r="E209" s="23"/>
    </row>
    <row r="210" spans="1:5">
      <c r="A210" s="19"/>
      <c r="B210" s="20"/>
      <c r="C210" s="21"/>
      <c r="D210" s="22"/>
      <c r="E210" s="23"/>
    </row>
    <row r="211" spans="1:5">
      <c r="A211" s="19"/>
      <c r="B211" s="20"/>
      <c r="C211" s="21"/>
      <c r="D211" s="22"/>
      <c r="E211" s="23"/>
    </row>
    <row r="212" spans="1:5">
      <c r="A212" s="19"/>
      <c r="B212" s="20"/>
      <c r="C212" s="21"/>
      <c r="D212" s="22"/>
      <c r="E212" s="23"/>
    </row>
    <row r="213" spans="1:5">
      <c r="A213" s="19"/>
      <c r="B213" s="20"/>
      <c r="C213" s="21"/>
      <c r="D213" s="22"/>
      <c r="E213" s="23"/>
    </row>
    <row r="214" spans="1:5">
      <c r="A214" s="19"/>
      <c r="B214" s="20"/>
      <c r="C214" s="21"/>
      <c r="D214" s="22"/>
      <c r="E214" s="23"/>
    </row>
    <row r="215" spans="1:5">
      <c r="A215" s="19"/>
      <c r="B215" s="20"/>
      <c r="C215" s="21"/>
      <c r="D215" s="22"/>
      <c r="E215" s="23"/>
    </row>
    <row r="216" spans="1:5">
      <c r="A216" s="19"/>
      <c r="B216" s="20"/>
      <c r="C216" s="21"/>
      <c r="D216" s="22"/>
      <c r="E216" s="23"/>
    </row>
    <row r="217" spans="1:5">
      <c r="A217" s="19"/>
      <c r="B217" s="20"/>
      <c r="C217" s="21"/>
      <c r="D217" s="22"/>
      <c r="E217" s="23"/>
    </row>
    <row r="218" spans="1:5">
      <c r="A218" s="19"/>
      <c r="B218" s="20"/>
      <c r="C218" s="21"/>
      <c r="D218" s="22"/>
      <c r="E218" s="23"/>
    </row>
    <row r="219" spans="1:5">
      <c r="A219" s="19"/>
      <c r="B219" s="20"/>
      <c r="C219" s="21"/>
      <c r="D219" s="22"/>
      <c r="E219" s="23"/>
    </row>
    <row r="220" spans="1:5">
      <c r="A220" s="19"/>
      <c r="B220" s="20"/>
      <c r="C220" s="21"/>
      <c r="D220" s="22"/>
      <c r="E220" s="23"/>
    </row>
    <row r="221" spans="1:5">
      <c r="A221" s="19"/>
      <c r="B221" s="20"/>
      <c r="C221" s="21"/>
      <c r="D221" s="22"/>
      <c r="E221" s="23"/>
    </row>
    <row r="222" spans="1:5">
      <c r="A222" s="19"/>
      <c r="B222" s="20"/>
      <c r="C222" s="21"/>
      <c r="D222" s="22"/>
      <c r="E222" s="23"/>
    </row>
    <row r="223" spans="1:5">
      <c r="A223" s="19"/>
      <c r="B223" s="20"/>
      <c r="C223" s="21"/>
      <c r="D223" s="22"/>
      <c r="E223" s="23"/>
    </row>
    <row r="224" spans="1:5">
      <c r="A224" s="19"/>
      <c r="B224" s="20"/>
      <c r="C224" s="21"/>
      <c r="D224" s="22"/>
      <c r="E224" s="23"/>
    </row>
    <row r="225" spans="1:5">
      <c r="A225" s="19"/>
      <c r="B225" s="20"/>
      <c r="C225" s="21"/>
      <c r="D225" s="22"/>
      <c r="E225" s="23"/>
    </row>
    <row r="226" spans="1:5">
      <c r="A226" s="19"/>
      <c r="B226" s="20"/>
      <c r="C226" s="21"/>
      <c r="D226" s="22"/>
      <c r="E226" s="23"/>
    </row>
    <row r="227" spans="1:5">
      <c r="A227" s="19"/>
      <c r="B227" s="20"/>
      <c r="C227" s="21"/>
      <c r="D227" s="22"/>
      <c r="E227" s="23"/>
    </row>
    <row r="228" spans="1:5">
      <c r="A228" s="19"/>
      <c r="B228" s="20"/>
      <c r="C228" s="21"/>
      <c r="D228" s="22"/>
      <c r="E228" s="23"/>
    </row>
    <row r="229" spans="1:5">
      <c r="A229" s="19"/>
      <c r="B229" s="20"/>
      <c r="C229" s="21"/>
      <c r="D229" s="22"/>
      <c r="E229" s="23"/>
    </row>
    <row r="230" spans="1:5">
      <c r="A230" s="19"/>
      <c r="B230" s="20"/>
      <c r="C230" s="21"/>
      <c r="D230" s="22"/>
      <c r="E230" s="23"/>
    </row>
    <row r="231" spans="1:5">
      <c r="A231" s="19"/>
      <c r="B231" s="20"/>
      <c r="C231" s="21"/>
      <c r="D231" s="22"/>
      <c r="E231" s="23"/>
    </row>
    <row r="232" spans="1:5">
      <c r="A232" s="19"/>
      <c r="B232" s="20"/>
      <c r="C232" s="21"/>
      <c r="D232" s="22"/>
      <c r="E232" s="23"/>
    </row>
    <row r="233" spans="1:5">
      <c r="A233" s="19"/>
      <c r="B233" s="20"/>
      <c r="C233" s="21"/>
      <c r="D233" s="22"/>
      <c r="E233" s="23"/>
    </row>
    <row r="234" spans="1:5">
      <c r="A234" s="19"/>
      <c r="B234" s="20"/>
      <c r="C234" s="21"/>
      <c r="D234" s="22"/>
      <c r="E234" s="23"/>
    </row>
    <row r="235" spans="1:5">
      <c r="A235" s="19"/>
      <c r="B235" s="20"/>
      <c r="C235" s="21"/>
      <c r="D235" s="22"/>
      <c r="E235" s="23"/>
    </row>
    <row r="236" spans="1:5">
      <c r="A236" s="19"/>
      <c r="B236" s="20"/>
      <c r="C236" s="21"/>
      <c r="D236" s="22"/>
      <c r="E236" s="23"/>
    </row>
    <row r="237" spans="1:5">
      <c r="A237" s="19"/>
      <c r="B237" s="20"/>
      <c r="C237" s="21"/>
      <c r="D237" s="22"/>
      <c r="E237" s="23"/>
    </row>
    <row r="238" spans="1:5">
      <c r="A238" s="19"/>
      <c r="B238" s="20"/>
      <c r="C238" s="21"/>
      <c r="D238" s="22"/>
      <c r="E238" s="23"/>
    </row>
    <row r="239" spans="1:5">
      <c r="A239" s="19"/>
      <c r="B239" s="20"/>
      <c r="C239" s="21"/>
      <c r="D239" s="22"/>
      <c r="E239" s="23"/>
    </row>
    <row r="240" spans="1:5">
      <c r="A240" s="19"/>
      <c r="B240" s="20"/>
      <c r="C240" s="21"/>
      <c r="D240" s="22"/>
      <c r="E240" s="23"/>
    </row>
    <row r="241" spans="1:5">
      <c r="A241" s="19"/>
      <c r="B241" s="20"/>
      <c r="C241" s="21"/>
      <c r="D241" s="22"/>
      <c r="E241" s="23"/>
    </row>
    <row r="242" spans="1:5">
      <c r="A242" s="19"/>
      <c r="B242" s="20"/>
      <c r="C242" s="21"/>
      <c r="D242" s="22"/>
      <c r="E242" s="23"/>
    </row>
    <row r="243" spans="1:5">
      <c r="A243" s="19"/>
      <c r="B243" s="20"/>
      <c r="C243" s="21"/>
      <c r="D243" s="22"/>
      <c r="E243" s="23"/>
    </row>
    <row r="244" spans="1:5">
      <c r="A244" s="19"/>
      <c r="B244" s="20"/>
      <c r="C244" s="21"/>
      <c r="D244" s="22"/>
      <c r="E244" s="23"/>
    </row>
    <row r="245" spans="1:5">
      <c r="A245" s="19"/>
      <c r="B245" s="20"/>
      <c r="C245" s="21"/>
      <c r="D245" s="22"/>
      <c r="E245" s="23"/>
    </row>
    <row r="246" spans="1:5">
      <c r="A246" s="19"/>
      <c r="B246" s="20"/>
      <c r="C246" s="21"/>
      <c r="D246" s="22"/>
      <c r="E246" s="23"/>
    </row>
    <row r="247" spans="1:5">
      <c r="A247" s="19"/>
      <c r="B247" s="20"/>
      <c r="C247" s="21"/>
      <c r="D247" s="22"/>
      <c r="E247" s="23"/>
    </row>
    <row r="248" spans="1:5">
      <c r="A248" s="19"/>
      <c r="B248" s="20"/>
      <c r="C248" s="21"/>
      <c r="D248" s="22"/>
      <c r="E248" s="23"/>
    </row>
    <row r="249" spans="1:5">
      <c r="A249" s="19"/>
      <c r="B249" s="20"/>
      <c r="C249" s="21"/>
      <c r="D249" s="22"/>
      <c r="E249" s="23"/>
    </row>
    <row r="250" spans="1:5">
      <c r="A250" s="19"/>
      <c r="B250" s="20"/>
      <c r="C250" s="21"/>
      <c r="D250" s="22"/>
      <c r="E250" s="23"/>
    </row>
    <row r="251" spans="1:5">
      <c r="A251" s="19"/>
      <c r="B251" s="20"/>
      <c r="C251" s="21"/>
      <c r="D251" s="22"/>
      <c r="E251" s="23"/>
    </row>
    <row r="252" spans="1:5">
      <c r="A252" s="19"/>
      <c r="B252" s="20"/>
      <c r="C252" s="21"/>
      <c r="D252" s="22"/>
      <c r="E252" s="23"/>
    </row>
    <row r="253" spans="1:5">
      <c r="A253" s="19"/>
      <c r="B253" s="20"/>
      <c r="C253" s="21"/>
      <c r="D253" s="22"/>
      <c r="E253" s="23"/>
    </row>
    <row r="254" spans="1:5">
      <c r="A254" s="19"/>
      <c r="B254" s="20"/>
      <c r="C254" s="21"/>
      <c r="D254" s="22"/>
      <c r="E254" s="23"/>
    </row>
    <row r="255" spans="1:5">
      <c r="A255" s="19"/>
      <c r="B255" s="20"/>
      <c r="C255" s="21"/>
      <c r="D255" s="22"/>
      <c r="E255" s="23"/>
    </row>
    <row r="256" spans="1:5">
      <c r="A256" s="19"/>
      <c r="B256" s="20"/>
      <c r="C256" s="21"/>
      <c r="D256" s="22"/>
      <c r="E256" s="23"/>
    </row>
    <row r="257" spans="1:5">
      <c r="A257" s="19"/>
      <c r="B257" s="20"/>
      <c r="C257" s="21"/>
      <c r="D257" s="22"/>
      <c r="E257" s="23"/>
    </row>
    <row r="258" spans="1:5">
      <c r="A258" s="19"/>
      <c r="B258" s="20"/>
      <c r="C258" s="21"/>
      <c r="D258" s="22"/>
      <c r="E258" s="23"/>
    </row>
    <row r="259" spans="1:5">
      <c r="A259" s="19"/>
      <c r="B259" s="20"/>
      <c r="C259" s="21"/>
      <c r="D259" s="22"/>
      <c r="E259" s="23"/>
    </row>
    <row r="260" spans="1:5">
      <c r="A260" s="19"/>
      <c r="B260" s="20"/>
      <c r="C260" s="21"/>
      <c r="D260" s="22"/>
      <c r="E260" s="23"/>
    </row>
    <row r="261" spans="1:5">
      <c r="A261" s="19"/>
      <c r="B261" s="20"/>
      <c r="C261" s="21"/>
      <c r="D261" s="22"/>
      <c r="E261" s="23"/>
    </row>
    <row r="262" spans="1:5">
      <c r="A262" s="19"/>
      <c r="B262" s="20"/>
      <c r="C262" s="21"/>
      <c r="D262" s="22"/>
      <c r="E262" s="23"/>
    </row>
    <row r="263" spans="1:5">
      <c r="A263" s="19"/>
      <c r="B263" s="20"/>
      <c r="C263" s="21"/>
      <c r="D263" s="22"/>
      <c r="E263" s="23"/>
    </row>
    <row r="264" spans="1:5">
      <c r="A264" s="19"/>
      <c r="B264" s="20"/>
      <c r="C264" s="21"/>
      <c r="D264" s="22"/>
      <c r="E264" s="23"/>
    </row>
    <row r="265" spans="1:5">
      <c r="A265" s="19"/>
      <c r="B265" s="20"/>
      <c r="C265" s="21"/>
      <c r="D265" s="22"/>
      <c r="E265" s="23"/>
    </row>
    <row r="266" spans="1:5">
      <c r="A266" s="19"/>
      <c r="B266" s="20"/>
      <c r="C266" s="21"/>
      <c r="D266" s="22"/>
      <c r="E266" s="23"/>
    </row>
    <row r="267" spans="1:5">
      <c r="A267" s="19"/>
      <c r="B267" s="20"/>
      <c r="C267" s="21"/>
      <c r="D267" s="22"/>
      <c r="E267" s="23"/>
    </row>
    <row r="268" spans="1:5">
      <c r="A268" s="19"/>
      <c r="B268" s="20"/>
      <c r="C268" s="21"/>
      <c r="D268" s="22"/>
      <c r="E268" s="23"/>
    </row>
    <row r="269" spans="1:5">
      <c r="A269" s="19"/>
      <c r="B269" s="20"/>
      <c r="C269" s="21"/>
      <c r="D269" s="22"/>
      <c r="E269" s="23"/>
    </row>
    <row r="270" spans="1:5">
      <c r="A270" s="19"/>
      <c r="B270" s="20"/>
      <c r="C270" s="21"/>
      <c r="D270" s="22"/>
      <c r="E270" s="23"/>
    </row>
    <row r="271" spans="1:5">
      <c r="A271" s="19"/>
      <c r="B271" s="20"/>
      <c r="C271" s="21"/>
      <c r="D271" s="22"/>
      <c r="E271" s="23"/>
    </row>
    <row r="272" spans="1:5">
      <c r="A272" s="19"/>
      <c r="B272" s="20"/>
      <c r="C272" s="21"/>
      <c r="D272" s="22"/>
      <c r="E272" s="23"/>
    </row>
    <row r="273" spans="1:5">
      <c r="A273" s="19"/>
      <c r="B273" s="20"/>
      <c r="C273" s="21"/>
      <c r="D273" s="22"/>
      <c r="E273" s="23"/>
    </row>
    <row r="274" spans="1:5">
      <c r="A274" s="19"/>
      <c r="B274" s="20"/>
      <c r="C274" s="21"/>
      <c r="D274" s="22"/>
      <c r="E274" s="23"/>
    </row>
    <row r="275" spans="1:5">
      <c r="A275" s="19"/>
      <c r="B275" s="20"/>
      <c r="C275" s="21"/>
      <c r="D275" s="22"/>
      <c r="E275" s="23"/>
    </row>
    <row r="276" spans="1:5">
      <c r="A276" s="19"/>
      <c r="B276" s="20"/>
      <c r="C276" s="21"/>
      <c r="D276" s="22"/>
      <c r="E276" s="23"/>
    </row>
    <row r="277" spans="1:5">
      <c r="A277" s="19"/>
      <c r="B277" s="20"/>
      <c r="C277" s="21"/>
      <c r="D277" s="22"/>
      <c r="E277" s="23"/>
    </row>
    <row r="278" spans="1:5">
      <c r="A278" s="19"/>
      <c r="B278" s="20"/>
      <c r="C278" s="21"/>
      <c r="D278" s="22"/>
      <c r="E278" s="23"/>
    </row>
    <row r="279" spans="1:5">
      <c r="A279" s="19"/>
      <c r="B279" s="20"/>
      <c r="C279" s="21"/>
      <c r="D279" s="22"/>
      <c r="E279" s="23"/>
    </row>
    <row r="280" spans="1:5">
      <c r="A280" s="19"/>
      <c r="B280" s="20"/>
      <c r="C280" s="21"/>
      <c r="D280" s="22"/>
      <c r="E280" s="23"/>
    </row>
    <row r="281" spans="1:5">
      <c r="A281" s="19"/>
      <c r="B281" s="20"/>
      <c r="C281" s="21"/>
      <c r="D281" s="22"/>
      <c r="E281" s="23"/>
    </row>
    <row r="282" spans="1:5">
      <c r="A282" s="19"/>
      <c r="B282" s="20"/>
      <c r="C282" s="21"/>
      <c r="D282" s="22"/>
      <c r="E282" s="23"/>
    </row>
    <row r="283" spans="1:5">
      <c r="A283" s="19"/>
      <c r="B283" s="20"/>
      <c r="C283" s="21"/>
      <c r="D283" s="22"/>
      <c r="E283" s="23"/>
    </row>
    <row r="284" spans="1:5">
      <c r="A284" s="19"/>
      <c r="B284" s="20"/>
      <c r="C284" s="21"/>
      <c r="D284" s="22"/>
      <c r="E284" s="23"/>
    </row>
    <row r="285" spans="1:5">
      <c r="A285" s="19"/>
      <c r="B285" s="20"/>
      <c r="C285" s="21"/>
      <c r="D285" s="22"/>
      <c r="E285" s="23"/>
    </row>
    <row r="286" spans="1:5">
      <c r="A286" s="19"/>
      <c r="B286" s="20"/>
      <c r="C286" s="21"/>
      <c r="D286" s="22"/>
      <c r="E286" s="23"/>
    </row>
    <row r="287" spans="1:5">
      <c r="A287" s="19"/>
      <c r="B287" s="20"/>
      <c r="C287" s="21"/>
      <c r="D287" s="22"/>
      <c r="E287" s="23"/>
    </row>
    <row r="288" spans="1:5">
      <c r="A288" s="19"/>
      <c r="B288" s="20"/>
      <c r="C288" s="21"/>
      <c r="D288" s="22"/>
      <c r="E288" s="23"/>
    </row>
    <row r="289" spans="1:5">
      <c r="A289" s="19"/>
      <c r="B289" s="20"/>
      <c r="C289" s="21"/>
      <c r="D289" s="22"/>
      <c r="E289" s="23"/>
    </row>
    <row r="290" spans="1:5">
      <c r="A290" s="19"/>
      <c r="B290" s="20"/>
      <c r="C290" s="21"/>
      <c r="D290" s="22"/>
      <c r="E290" s="23"/>
    </row>
    <row r="291" spans="1:5">
      <c r="A291" s="19"/>
      <c r="B291" s="20"/>
      <c r="C291" s="21"/>
      <c r="D291" s="22"/>
      <c r="E291" s="23"/>
    </row>
    <row r="292" spans="1:5">
      <c r="A292" s="19"/>
      <c r="B292" s="20"/>
      <c r="C292" s="21"/>
      <c r="D292" s="22"/>
      <c r="E292" s="23"/>
    </row>
    <row r="293" spans="1:5">
      <c r="A293" s="19"/>
      <c r="B293" s="20"/>
      <c r="C293" s="21"/>
      <c r="D293" s="22"/>
      <c r="E293" s="23"/>
    </row>
    <row r="294" spans="1:5">
      <c r="A294" s="19"/>
      <c r="B294" s="20"/>
      <c r="C294" s="21"/>
      <c r="D294" s="22"/>
      <c r="E294" s="23"/>
    </row>
    <row r="295" spans="1:5">
      <c r="A295" s="19"/>
      <c r="B295" s="20"/>
      <c r="C295" s="21"/>
      <c r="D295" s="22"/>
      <c r="E295" s="23"/>
    </row>
    <row r="296" spans="1:5">
      <c r="A296" s="19"/>
      <c r="B296" s="20"/>
      <c r="C296" s="21"/>
      <c r="D296" s="22"/>
      <c r="E296" s="23"/>
    </row>
    <row r="297" spans="1:5">
      <c r="A297" s="19"/>
      <c r="B297" s="20"/>
      <c r="C297" s="21"/>
      <c r="D297" s="22"/>
      <c r="E297" s="23"/>
    </row>
    <row r="298" spans="1:5">
      <c r="A298" s="19"/>
      <c r="B298" s="20"/>
      <c r="C298" s="21"/>
      <c r="D298" s="22"/>
      <c r="E298" s="23"/>
    </row>
    <row r="299" spans="1:5">
      <c r="A299" s="19"/>
      <c r="B299" s="20"/>
      <c r="C299" s="21"/>
      <c r="D299" s="22"/>
      <c r="E299" s="23"/>
    </row>
    <row r="300" spans="1:5">
      <c r="A300" s="19"/>
      <c r="B300" s="20"/>
      <c r="C300" s="21"/>
      <c r="D300" s="22"/>
      <c r="E300" s="23"/>
    </row>
    <row r="301" spans="1:5">
      <c r="A301" s="19"/>
      <c r="B301" s="20"/>
      <c r="C301" s="21"/>
      <c r="D301" s="22"/>
      <c r="E301" s="23"/>
    </row>
    <row r="302" spans="1:5">
      <c r="A302" s="19"/>
      <c r="B302" s="20"/>
      <c r="C302" s="21"/>
      <c r="D302" s="22"/>
      <c r="E302" s="23"/>
    </row>
    <row r="303" spans="1:5">
      <c r="A303" s="19"/>
      <c r="B303" s="20"/>
      <c r="C303" s="21"/>
      <c r="D303" s="22"/>
      <c r="E303" s="23"/>
    </row>
    <row r="304" spans="1:5">
      <c r="A304" s="19"/>
      <c r="B304" s="20"/>
      <c r="C304" s="21"/>
      <c r="D304" s="22"/>
      <c r="E304" s="23"/>
    </row>
    <row r="305" spans="1:5">
      <c r="A305" s="19"/>
      <c r="B305" s="20"/>
      <c r="C305" s="21"/>
      <c r="D305" s="22"/>
      <c r="E305" s="23"/>
    </row>
    <row r="306" spans="1:5">
      <c r="A306" s="19"/>
      <c r="B306" s="20"/>
      <c r="C306" s="21"/>
      <c r="D306" s="22"/>
      <c r="E306" s="23"/>
    </row>
    <row r="307" spans="1:5">
      <c r="A307" s="19"/>
      <c r="B307" s="20"/>
      <c r="C307" s="21"/>
      <c r="D307" s="22"/>
      <c r="E307" s="23"/>
    </row>
    <row r="308" spans="1:5">
      <c r="A308" s="19"/>
      <c r="B308" s="20"/>
      <c r="C308" s="21"/>
      <c r="D308" s="22"/>
      <c r="E308" s="23"/>
    </row>
    <row r="309" spans="1:5">
      <c r="A309" s="19"/>
      <c r="B309" s="20"/>
      <c r="C309" s="21"/>
      <c r="D309" s="22"/>
      <c r="E309" s="23"/>
    </row>
    <row r="310" spans="1:5">
      <c r="A310" s="19"/>
      <c r="B310" s="20"/>
      <c r="C310" s="21"/>
      <c r="D310" s="22"/>
      <c r="E310" s="23"/>
    </row>
    <row r="311" spans="1:5">
      <c r="A311" s="19"/>
      <c r="B311" s="20"/>
      <c r="C311" s="21"/>
      <c r="D311" s="22"/>
      <c r="E311" s="23"/>
    </row>
    <row r="312" spans="1:5">
      <c r="A312" s="19"/>
      <c r="B312" s="20"/>
      <c r="C312" s="21"/>
      <c r="D312" s="22"/>
      <c r="E312" s="23"/>
    </row>
    <row r="313" spans="1:5">
      <c r="A313" s="19"/>
      <c r="B313" s="20"/>
      <c r="C313" s="21"/>
      <c r="D313" s="22"/>
      <c r="E313" s="23"/>
    </row>
    <row r="314" spans="1:5">
      <c r="A314" s="19"/>
      <c r="B314" s="20"/>
      <c r="C314" s="21"/>
      <c r="D314" s="22"/>
      <c r="E314" s="23"/>
    </row>
    <row r="315" spans="1:5">
      <c r="A315" s="19"/>
      <c r="B315" s="20"/>
      <c r="C315" s="21"/>
      <c r="D315" s="22"/>
      <c r="E315" s="23"/>
    </row>
    <row r="316" spans="1:5">
      <c r="A316" s="19"/>
      <c r="B316" s="20"/>
      <c r="C316" s="21"/>
      <c r="D316" s="22"/>
      <c r="E316" s="23"/>
    </row>
    <row r="317" spans="1:5">
      <c r="A317" s="19"/>
      <c r="B317" s="20"/>
      <c r="C317" s="21"/>
      <c r="D317" s="22"/>
      <c r="E317" s="23"/>
    </row>
    <row r="318" spans="1:5">
      <c r="A318" s="19"/>
      <c r="B318" s="20"/>
      <c r="C318" s="21"/>
      <c r="D318" s="22"/>
      <c r="E318" s="23"/>
    </row>
    <row r="319" spans="1:5">
      <c r="A319" s="19"/>
      <c r="B319" s="20"/>
      <c r="C319" s="21"/>
      <c r="D319" s="22"/>
      <c r="E319" s="23"/>
    </row>
    <row r="320" spans="1:5">
      <c r="A320" s="19"/>
      <c r="B320" s="20"/>
      <c r="C320" s="21"/>
      <c r="D320" s="22"/>
      <c r="E320" s="23"/>
    </row>
    <row r="321" spans="1:5">
      <c r="A321" s="19"/>
      <c r="B321" s="20"/>
      <c r="C321" s="21"/>
      <c r="D321" s="22"/>
      <c r="E321" s="23"/>
    </row>
    <row r="322" spans="1:5">
      <c r="A322" s="19"/>
      <c r="B322" s="20"/>
      <c r="C322" s="21"/>
      <c r="D322" s="22"/>
      <c r="E322" s="23"/>
    </row>
    <row r="323" spans="1:5">
      <c r="A323" s="19"/>
      <c r="B323" s="20"/>
      <c r="C323" s="21"/>
      <c r="D323" s="22"/>
      <c r="E323" s="23"/>
    </row>
    <row r="324" spans="1:5">
      <c r="A324" s="19"/>
      <c r="B324" s="20"/>
      <c r="C324" s="21"/>
      <c r="D324" s="22"/>
      <c r="E324" s="23"/>
    </row>
    <row r="325" spans="1:5">
      <c r="A325" s="19"/>
      <c r="B325" s="20"/>
      <c r="C325" s="21"/>
      <c r="D325" s="22"/>
      <c r="E325" s="23"/>
    </row>
    <row r="326" spans="1:5">
      <c r="A326" s="19"/>
      <c r="B326" s="20"/>
      <c r="C326" s="21"/>
      <c r="D326" s="22"/>
      <c r="E326" s="23"/>
    </row>
    <row r="327" spans="1:5">
      <c r="A327" s="19"/>
      <c r="B327" s="20"/>
      <c r="C327" s="21"/>
      <c r="D327" s="22"/>
      <c r="E327" s="23"/>
    </row>
    <row r="328" spans="1:5">
      <c r="A328" s="19"/>
      <c r="B328" s="20"/>
      <c r="C328" s="21"/>
      <c r="D328" s="22"/>
      <c r="E328" s="23"/>
    </row>
    <row r="329" spans="1:5">
      <c r="A329" s="19"/>
      <c r="B329" s="20"/>
      <c r="C329" s="21"/>
      <c r="D329" s="22"/>
      <c r="E329" s="23"/>
    </row>
    <row r="330" spans="1:5">
      <c r="A330" s="19"/>
      <c r="B330" s="20"/>
      <c r="C330" s="21"/>
      <c r="D330" s="22"/>
      <c r="E330" s="23"/>
    </row>
    <row r="331" spans="1:5">
      <c r="A331" s="19"/>
      <c r="B331" s="20"/>
      <c r="C331" s="21"/>
      <c r="D331" s="22"/>
      <c r="E331" s="23"/>
    </row>
    <row r="332" spans="1:5">
      <c r="A332" s="19"/>
      <c r="B332" s="20"/>
      <c r="C332" s="21"/>
      <c r="D332" s="22"/>
      <c r="E332" s="23"/>
    </row>
    <row r="333" spans="1:5">
      <c r="A333" s="19"/>
      <c r="B333" s="20"/>
      <c r="C333" s="21"/>
      <c r="D333" s="22"/>
      <c r="E333" s="23"/>
    </row>
    <row r="334" spans="1:5">
      <c r="A334" s="19"/>
      <c r="B334" s="20"/>
      <c r="C334" s="21"/>
      <c r="D334" s="22"/>
      <c r="E334" s="23"/>
    </row>
    <row r="335" spans="1:5">
      <c r="A335" s="19"/>
      <c r="B335" s="20"/>
      <c r="C335" s="21"/>
      <c r="D335" s="22"/>
      <c r="E335" s="23"/>
    </row>
    <row r="336" spans="1:5">
      <c r="A336" s="19"/>
      <c r="B336" s="20"/>
      <c r="C336" s="21"/>
      <c r="D336" s="22"/>
      <c r="E336" s="23"/>
    </row>
    <row r="337" spans="1:5">
      <c r="A337" s="19"/>
      <c r="B337" s="20"/>
      <c r="C337" s="21"/>
      <c r="D337" s="22"/>
      <c r="E337" s="23"/>
    </row>
    <row r="338" spans="1:5">
      <c r="A338" s="19"/>
      <c r="B338" s="20"/>
      <c r="C338" s="21"/>
      <c r="D338" s="22"/>
      <c r="E338" s="23"/>
    </row>
    <row r="339" spans="1:5">
      <c r="A339" s="19"/>
      <c r="B339" s="20"/>
      <c r="C339" s="21"/>
      <c r="D339" s="22"/>
      <c r="E339" s="23"/>
    </row>
    <row r="340" spans="1:5">
      <c r="A340" s="19"/>
      <c r="B340" s="20"/>
      <c r="C340" s="21"/>
      <c r="D340" s="22"/>
      <c r="E340" s="23"/>
    </row>
    <row r="341" spans="1:5">
      <c r="A341" s="19"/>
      <c r="B341" s="20"/>
      <c r="C341" s="21"/>
      <c r="D341" s="22"/>
      <c r="E341" s="23"/>
    </row>
    <row r="342" spans="1:5">
      <c r="A342" s="19"/>
      <c r="B342" s="20"/>
      <c r="C342" s="21"/>
      <c r="D342" s="22"/>
      <c r="E342" s="23"/>
    </row>
    <row r="343" spans="1:5">
      <c r="A343" s="19"/>
      <c r="B343" s="20"/>
      <c r="C343" s="21"/>
      <c r="D343" s="22"/>
      <c r="E343" s="23"/>
    </row>
    <row r="344" spans="1:5">
      <c r="A344" s="19"/>
      <c r="B344" s="20"/>
      <c r="C344" s="21"/>
      <c r="D344" s="22"/>
      <c r="E344" s="23"/>
    </row>
    <row r="345" spans="1:5">
      <c r="A345" s="19"/>
      <c r="B345" s="20"/>
      <c r="C345" s="21"/>
      <c r="D345" s="22"/>
      <c r="E345" s="23"/>
    </row>
    <row r="346" spans="1:5">
      <c r="A346" s="19"/>
      <c r="B346" s="20"/>
      <c r="C346" s="21"/>
      <c r="D346" s="22"/>
      <c r="E346" s="23"/>
    </row>
    <row r="347" spans="1:5">
      <c r="A347" s="19"/>
      <c r="B347" s="20"/>
      <c r="C347" s="21"/>
      <c r="D347" s="22"/>
      <c r="E347" s="23"/>
    </row>
    <row r="348" spans="1:5">
      <c r="A348" s="19"/>
      <c r="B348" s="20"/>
      <c r="C348" s="21"/>
      <c r="D348" s="22"/>
      <c r="E348" s="23"/>
    </row>
    <row r="349" spans="1:5">
      <c r="A349" s="19"/>
      <c r="B349" s="20"/>
      <c r="C349" s="21"/>
      <c r="D349" s="22"/>
      <c r="E349" s="23"/>
    </row>
    <row r="350" spans="1:5">
      <c r="A350" s="19"/>
      <c r="B350" s="20"/>
      <c r="C350" s="21"/>
      <c r="D350" s="22"/>
      <c r="E350" s="23"/>
    </row>
  </sheetData>
  <sortState ref="A2:E54">
    <sortCondition descending="1" ref="C2:C54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Q708"/>
  <sheetViews>
    <sheetView topLeftCell="A2" workbookViewId="0">
      <selection activeCell="A2" sqref="A2"/>
    </sheetView>
  </sheetViews>
  <sheetFormatPr defaultRowHeight="15"/>
  <cols>
    <col min="1" max="1" width="13.85546875" style="13" bestFit="1" customWidth="1"/>
    <col min="2" max="2" width="8.28515625" style="13" bestFit="1" customWidth="1"/>
    <col min="3" max="3" width="11.28515625" style="13" bestFit="1" customWidth="1"/>
    <col min="4" max="4" width="21.42578125" style="13" bestFit="1" customWidth="1"/>
    <col min="5" max="5" width="12.5703125" style="13" bestFit="1" customWidth="1"/>
    <col min="6" max="6" width="12" bestFit="1" customWidth="1"/>
    <col min="7" max="7" width="7" bestFit="1" customWidth="1"/>
    <col min="8" max="8" width="6.28515625" bestFit="1" customWidth="1"/>
    <col min="9" max="9" width="10.28515625" bestFit="1" customWidth="1"/>
    <col min="10" max="10" width="5.85546875" bestFit="1" customWidth="1"/>
    <col min="11" max="11" width="10" bestFit="1" customWidth="1"/>
    <col min="12" max="12" width="14.5703125" bestFit="1" customWidth="1"/>
    <col min="13" max="13" width="12.7109375" bestFit="1" customWidth="1"/>
    <col min="14" max="14" width="4.42578125" bestFit="1" customWidth="1"/>
    <col min="15" max="15" width="6.5703125" bestFit="1" customWidth="1"/>
    <col min="16" max="16" width="15.7109375" bestFit="1" customWidth="1"/>
    <col min="17" max="17" width="14.5703125" bestFit="1" customWidth="1"/>
  </cols>
  <sheetData>
    <row r="1" spans="1:17">
      <c r="A1" s="41" t="s">
        <v>143</v>
      </c>
      <c r="B1" s="41" t="s">
        <v>144</v>
      </c>
      <c r="C1" s="41" t="s">
        <v>145</v>
      </c>
      <c r="D1" s="41" t="s">
        <v>146</v>
      </c>
      <c r="E1" s="41" t="s">
        <v>147</v>
      </c>
      <c r="F1" s="41" t="s">
        <v>148</v>
      </c>
      <c r="G1" s="41" t="s">
        <v>149</v>
      </c>
      <c r="H1" s="41" t="s">
        <v>150</v>
      </c>
      <c r="I1" s="41" t="s">
        <v>151</v>
      </c>
      <c r="J1" s="41" t="s">
        <v>152</v>
      </c>
      <c r="K1" s="41" t="s">
        <v>153</v>
      </c>
      <c r="L1" s="41" t="s">
        <v>154</v>
      </c>
      <c r="M1" s="41" t="s">
        <v>155</v>
      </c>
      <c r="N1" s="41" t="s">
        <v>156</v>
      </c>
      <c r="O1" s="41" t="s">
        <v>157</v>
      </c>
      <c r="P1" s="41" t="s">
        <v>158</v>
      </c>
      <c r="Q1" s="41" t="s">
        <v>159</v>
      </c>
    </row>
    <row r="2" spans="1:17">
      <c r="A2" s="47" t="s">
        <v>531</v>
      </c>
      <c r="B2" s="47" t="s">
        <v>2</v>
      </c>
      <c r="C2" s="47" t="s">
        <v>532</v>
      </c>
      <c r="D2" s="47" t="s">
        <v>533</v>
      </c>
      <c r="E2" s="47" t="s">
        <v>534</v>
      </c>
      <c r="F2" s="47">
        <v>25.399999618530199</v>
      </c>
      <c r="G2" s="47">
        <v>2</v>
      </c>
      <c r="H2" s="47">
        <v>8700</v>
      </c>
      <c r="I2" s="47" t="s">
        <v>450</v>
      </c>
      <c r="J2" s="47" t="s">
        <v>451</v>
      </c>
      <c r="K2" s="47" t="s">
        <v>5</v>
      </c>
      <c r="L2" s="47"/>
      <c r="M2" s="47"/>
      <c r="N2" s="47">
        <v>1</v>
      </c>
      <c r="O2" s="47"/>
      <c r="P2" s="47">
        <v>25.399999618530199</v>
      </c>
      <c r="Q2" s="47" t="s">
        <v>276</v>
      </c>
    </row>
    <row r="3" spans="1:17">
      <c r="A3" s="47" t="s">
        <v>535</v>
      </c>
      <c r="B3" s="47" t="s">
        <v>2</v>
      </c>
      <c r="C3" s="47" t="s">
        <v>308</v>
      </c>
      <c r="D3" s="47" t="s">
        <v>19</v>
      </c>
      <c r="E3" s="47" t="s">
        <v>309</v>
      </c>
      <c r="F3" s="47">
        <v>13.899999618530201</v>
      </c>
      <c r="G3" s="47">
        <v>2</v>
      </c>
      <c r="H3" s="47">
        <v>8500</v>
      </c>
      <c r="I3" s="47" t="s">
        <v>441</v>
      </c>
      <c r="J3" s="47" t="s">
        <v>10</v>
      </c>
      <c r="K3" s="47" t="s">
        <v>442</v>
      </c>
      <c r="L3" s="47"/>
      <c r="M3" s="47"/>
      <c r="N3" s="47">
        <v>1</v>
      </c>
      <c r="O3" s="47"/>
      <c r="P3" s="47">
        <v>13.899999618530201</v>
      </c>
      <c r="Q3" s="47" t="s">
        <v>276</v>
      </c>
    </row>
    <row r="4" spans="1:17">
      <c r="A4" s="47" t="s">
        <v>536</v>
      </c>
      <c r="B4" s="47" t="s">
        <v>2</v>
      </c>
      <c r="C4" s="47" t="s">
        <v>296</v>
      </c>
      <c r="D4" s="47" t="s">
        <v>4</v>
      </c>
      <c r="E4" s="47" t="s">
        <v>297</v>
      </c>
      <c r="F4" s="47">
        <v>32.75</v>
      </c>
      <c r="G4" s="47">
        <v>2</v>
      </c>
      <c r="H4" s="47">
        <v>8400</v>
      </c>
      <c r="I4" s="47" t="s">
        <v>450</v>
      </c>
      <c r="J4" s="47" t="s">
        <v>5</v>
      </c>
      <c r="K4" s="47" t="s">
        <v>451</v>
      </c>
      <c r="L4" s="47"/>
      <c r="M4" s="47"/>
      <c r="N4" s="47">
        <v>1</v>
      </c>
      <c r="O4" s="47"/>
      <c r="P4" s="47">
        <v>32.75</v>
      </c>
      <c r="Q4" s="47" t="s">
        <v>276</v>
      </c>
    </row>
    <row r="5" spans="1:17">
      <c r="A5" s="47" t="s">
        <v>537</v>
      </c>
      <c r="B5" s="47" t="s">
        <v>2</v>
      </c>
      <c r="C5" s="47" t="s">
        <v>538</v>
      </c>
      <c r="D5" s="47" t="s">
        <v>539</v>
      </c>
      <c r="E5" s="47" t="s">
        <v>540</v>
      </c>
      <c r="F5" s="47">
        <v>22.299999237060501</v>
      </c>
      <c r="G5" s="47">
        <v>2</v>
      </c>
      <c r="H5" s="47">
        <v>8300</v>
      </c>
      <c r="I5" s="47" t="s">
        <v>447</v>
      </c>
      <c r="J5" s="47" t="s">
        <v>448</v>
      </c>
      <c r="K5" s="47" t="s">
        <v>17</v>
      </c>
      <c r="L5" s="47"/>
      <c r="M5" s="47"/>
      <c r="N5" s="47">
        <v>1</v>
      </c>
      <c r="O5" s="47"/>
      <c r="P5" s="47">
        <v>22.299999237060501</v>
      </c>
      <c r="Q5" s="47" t="s">
        <v>276</v>
      </c>
    </row>
    <row r="6" spans="1:17">
      <c r="A6" s="47" t="s">
        <v>541</v>
      </c>
      <c r="B6" s="47" t="s">
        <v>2</v>
      </c>
      <c r="C6" s="47" t="s">
        <v>298</v>
      </c>
      <c r="D6" s="47" t="s">
        <v>63</v>
      </c>
      <c r="E6" s="47" t="s">
        <v>267</v>
      </c>
      <c r="F6" s="47">
        <v>14.149999618530201</v>
      </c>
      <c r="G6" s="47">
        <v>2</v>
      </c>
      <c r="H6" s="47">
        <v>8000</v>
      </c>
      <c r="I6" s="47" t="s">
        <v>470</v>
      </c>
      <c r="J6" s="47" t="s">
        <v>12</v>
      </c>
      <c r="K6" s="47" t="s">
        <v>39</v>
      </c>
      <c r="L6" s="47"/>
      <c r="M6" s="47"/>
      <c r="N6" s="47">
        <v>1</v>
      </c>
      <c r="O6" s="47"/>
      <c r="P6" s="47">
        <v>14.149999618530201</v>
      </c>
      <c r="Q6" s="47" t="s">
        <v>276</v>
      </c>
    </row>
    <row r="7" spans="1:17">
      <c r="A7" s="47" t="s">
        <v>542</v>
      </c>
      <c r="B7" s="47" t="s">
        <v>2</v>
      </c>
      <c r="C7" s="47" t="s">
        <v>285</v>
      </c>
      <c r="D7" s="47" t="s">
        <v>13</v>
      </c>
      <c r="E7" s="47" t="s">
        <v>286</v>
      </c>
      <c r="F7" s="47">
        <v>14.75</v>
      </c>
      <c r="G7" s="47">
        <v>2</v>
      </c>
      <c r="H7" s="47">
        <v>7900</v>
      </c>
      <c r="I7" s="47" t="s">
        <v>478</v>
      </c>
      <c r="J7" s="47" t="s">
        <v>14</v>
      </c>
      <c r="K7" s="47" t="s">
        <v>6</v>
      </c>
      <c r="L7" s="47"/>
      <c r="M7" s="47"/>
      <c r="N7" s="47">
        <v>1</v>
      </c>
      <c r="O7" s="47"/>
      <c r="P7" s="47">
        <v>14.75</v>
      </c>
      <c r="Q7" s="47" t="s">
        <v>276</v>
      </c>
    </row>
    <row r="8" spans="1:17">
      <c r="A8" s="47" t="s">
        <v>543</v>
      </c>
      <c r="B8" s="47" t="s">
        <v>2</v>
      </c>
      <c r="C8" s="47" t="s">
        <v>544</v>
      </c>
      <c r="D8" s="47" t="s">
        <v>545</v>
      </c>
      <c r="E8" s="47" t="s">
        <v>405</v>
      </c>
      <c r="F8" s="47">
        <v>13.3500003814697</v>
      </c>
      <c r="G8" s="47">
        <v>2</v>
      </c>
      <c r="H8" s="47">
        <v>7800</v>
      </c>
      <c r="I8" s="47" t="s">
        <v>459</v>
      </c>
      <c r="J8" s="47" t="s">
        <v>460</v>
      </c>
      <c r="K8" s="47" t="s">
        <v>94</v>
      </c>
      <c r="L8" s="47"/>
      <c r="M8" s="47"/>
      <c r="N8" s="47">
        <v>1</v>
      </c>
      <c r="O8" s="47"/>
      <c r="P8" s="47">
        <v>13.3500003814697</v>
      </c>
      <c r="Q8" s="47" t="s">
        <v>276</v>
      </c>
    </row>
    <row r="9" spans="1:17">
      <c r="A9" s="47" t="s">
        <v>546</v>
      </c>
      <c r="B9" s="47" t="s">
        <v>2</v>
      </c>
      <c r="C9" s="47" t="s">
        <v>277</v>
      </c>
      <c r="D9" s="47" t="s">
        <v>109</v>
      </c>
      <c r="E9" s="47" t="s">
        <v>278</v>
      </c>
      <c r="F9" s="47">
        <v>22.75</v>
      </c>
      <c r="G9" s="47">
        <v>2</v>
      </c>
      <c r="H9" s="47">
        <v>7700</v>
      </c>
      <c r="I9" s="47" t="s">
        <v>436</v>
      </c>
      <c r="J9" s="47" t="s">
        <v>3</v>
      </c>
      <c r="K9" s="47" t="s">
        <v>41</v>
      </c>
      <c r="L9" s="47"/>
      <c r="M9" s="47"/>
      <c r="N9" s="47">
        <v>1</v>
      </c>
      <c r="O9" s="47"/>
      <c r="P9" s="47">
        <v>22.75</v>
      </c>
      <c r="Q9" s="47" t="s">
        <v>276</v>
      </c>
    </row>
    <row r="10" spans="1:17">
      <c r="A10" s="47" t="s">
        <v>547</v>
      </c>
      <c r="B10" s="47" t="s">
        <v>2</v>
      </c>
      <c r="C10" s="47" t="s">
        <v>292</v>
      </c>
      <c r="D10" s="47" t="s">
        <v>51</v>
      </c>
      <c r="E10" s="47" t="s">
        <v>256</v>
      </c>
      <c r="F10" s="47">
        <v>13.050000190734799</v>
      </c>
      <c r="G10" s="47">
        <v>2</v>
      </c>
      <c r="H10" s="47">
        <v>7500</v>
      </c>
      <c r="I10" s="47" t="s">
        <v>447</v>
      </c>
      <c r="J10" s="47" t="s">
        <v>17</v>
      </c>
      <c r="K10" s="47" t="s">
        <v>448</v>
      </c>
      <c r="L10" s="47"/>
      <c r="M10" s="47"/>
      <c r="N10" s="47">
        <v>1</v>
      </c>
      <c r="O10" s="47"/>
      <c r="P10" s="47">
        <v>13.050000190734799</v>
      </c>
      <c r="Q10" s="47" t="s">
        <v>276</v>
      </c>
    </row>
    <row r="11" spans="1:17">
      <c r="A11" s="47" t="s">
        <v>548</v>
      </c>
      <c r="B11" s="47" t="s">
        <v>2</v>
      </c>
      <c r="C11" s="47" t="s">
        <v>293</v>
      </c>
      <c r="D11" s="47" t="s">
        <v>114</v>
      </c>
      <c r="E11" s="47" t="s">
        <v>300</v>
      </c>
      <c r="F11" s="47">
        <v>19.850000381469702</v>
      </c>
      <c r="G11" s="47">
        <v>2</v>
      </c>
      <c r="H11" s="47">
        <v>7400</v>
      </c>
      <c r="I11" s="47" t="s">
        <v>478</v>
      </c>
      <c r="J11" s="47" t="s">
        <v>6</v>
      </c>
      <c r="K11" s="47" t="s">
        <v>14</v>
      </c>
      <c r="L11" s="47"/>
      <c r="M11" s="47"/>
      <c r="N11" s="47">
        <v>1</v>
      </c>
      <c r="O11" s="47"/>
      <c r="P11" s="47">
        <v>19.850000381469702</v>
      </c>
      <c r="Q11" s="47" t="s">
        <v>276</v>
      </c>
    </row>
    <row r="12" spans="1:17">
      <c r="A12" s="47" t="s">
        <v>549</v>
      </c>
      <c r="B12" s="47" t="s">
        <v>2</v>
      </c>
      <c r="C12" s="47" t="s">
        <v>235</v>
      </c>
      <c r="D12" s="47" t="s">
        <v>550</v>
      </c>
      <c r="E12" s="47" t="s">
        <v>551</v>
      </c>
      <c r="F12" s="47">
        <v>13.75</v>
      </c>
      <c r="G12" s="47">
        <v>2</v>
      </c>
      <c r="H12" s="47">
        <v>7300</v>
      </c>
      <c r="I12" s="47" t="s">
        <v>465</v>
      </c>
      <c r="J12" s="47" t="s">
        <v>466</v>
      </c>
      <c r="K12" s="47" t="s">
        <v>98</v>
      </c>
      <c r="L12" s="47"/>
      <c r="M12" s="47"/>
      <c r="N12" s="47">
        <v>1</v>
      </c>
      <c r="O12" s="47"/>
      <c r="P12" s="47">
        <v>13.75</v>
      </c>
      <c r="Q12" s="47" t="s">
        <v>276</v>
      </c>
    </row>
    <row r="13" spans="1:17">
      <c r="A13" s="47" t="s">
        <v>552</v>
      </c>
      <c r="B13" s="47" t="s">
        <v>2</v>
      </c>
      <c r="C13" s="47" t="s">
        <v>553</v>
      </c>
      <c r="D13" s="47" t="s">
        <v>554</v>
      </c>
      <c r="E13" s="47" t="s">
        <v>555</v>
      </c>
      <c r="F13" s="47">
        <v>23.5</v>
      </c>
      <c r="G13" s="47">
        <v>2</v>
      </c>
      <c r="H13" s="47">
        <v>7200</v>
      </c>
      <c r="I13" s="47" t="s">
        <v>432</v>
      </c>
      <c r="J13" s="47" t="s">
        <v>96</v>
      </c>
      <c r="K13" s="47" t="s">
        <v>95</v>
      </c>
      <c r="L13" s="47"/>
      <c r="M13" s="47"/>
      <c r="N13" s="47">
        <v>1</v>
      </c>
      <c r="O13" s="47"/>
      <c r="P13" s="47">
        <v>23.5</v>
      </c>
      <c r="Q13" s="47" t="s">
        <v>276</v>
      </c>
    </row>
    <row r="14" spans="1:17">
      <c r="A14" s="47" t="s">
        <v>556</v>
      </c>
      <c r="B14" s="47" t="s">
        <v>2</v>
      </c>
      <c r="C14" s="47" t="s">
        <v>279</v>
      </c>
      <c r="D14" s="47" t="s">
        <v>18</v>
      </c>
      <c r="E14" s="47" t="s">
        <v>280</v>
      </c>
      <c r="F14" s="47">
        <v>15.399999618530201</v>
      </c>
      <c r="G14" s="47">
        <v>2</v>
      </c>
      <c r="H14" s="47">
        <v>7100</v>
      </c>
      <c r="I14" s="47" t="s">
        <v>478</v>
      </c>
      <c r="J14" s="47" t="s">
        <v>14</v>
      </c>
      <c r="K14" s="47" t="s">
        <v>6</v>
      </c>
      <c r="L14" s="47"/>
      <c r="M14" s="47"/>
      <c r="N14" s="47">
        <v>1</v>
      </c>
      <c r="O14" s="47"/>
      <c r="P14" s="47">
        <v>15.399999618530201</v>
      </c>
      <c r="Q14" s="47" t="s">
        <v>276</v>
      </c>
    </row>
    <row r="15" spans="1:17">
      <c r="A15" s="47" t="s">
        <v>557</v>
      </c>
      <c r="B15" s="47" t="s">
        <v>2</v>
      </c>
      <c r="C15" s="47" t="s">
        <v>289</v>
      </c>
      <c r="D15" s="47" t="s">
        <v>65</v>
      </c>
      <c r="E15" s="47" t="s">
        <v>272</v>
      </c>
      <c r="F15" s="47">
        <v>8.1999998092651296</v>
      </c>
      <c r="G15" s="47">
        <v>2</v>
      </c>
      <c r="H15" s="47">
        <v>7000</v>
      </c>
      <c r="I15" s="47" t="s">
        <v>434</v>
      </c>
      <c r="J15" s="47" t="s">
        <v>40</v>
      </c>
      <c r="K15" s="47" t="s">
        <v>99</v>
      </c>
      <c r="L15" s="47"/>
      <c r="M15" s="47"/>
      <c r="N15" s="47">
        <v>1</v>
      </c>
      <c r="O15" s="47"/>
      <c r="P15" s="47">
        <v>8.1999998092651296</v>
      </c>
      <c r="Q15" s="47" t="s">
        <v>276</v>
      </c>
    </row>
    <row r="16" spans="1:17">
      <c r="A16" s="47" t="s">
        <v>558</v>
      </c>
      <c r="B16" s="47" t="s">
        <v>2</v>
      </c>
      <c r="C16" s="47" t="s">
        <v>294</v>
      </c>
      <c r="D16" s="47" t="s">
        <v>112</v>
      </c>
      <c r="E16" s="47" t="s">
        <v>295</v>
      </c>
      <c r="F16" s="47">
        <v>14.800000190734799</v>
      </c>
      <c r="G16" s="47">
        <v>2</v>
      </c>
      <c r="H16" s="47">
        <v>6800</v>
      </c>
      <c r="I16" s="47" t="s">
        <v>465</v>
      </c>
      <c r="J16" s="47" t="s">
        <v>98</v>
      </c>
      <c r="K16" s="47" t="s">
        <v>466</v>
      </c>
      <c r="L16" s="47"/>
      <c r="M16" s="47"/>
      <c r="N16" s="47">
        <v>1</v>
      </c>
      <c r="O16" s="47"/>
      <c r="P16" s="47">
        <v>14.800000190734799</v>
      </c>
      <c r="Q16" s="47" t="s">
        <v>276</v>
      </c>
    </row>
    <row r="17" spans="1:17">
      <c r="A17" s="47" t="s">
        <v>559</v>
      </c>
      <c r="B17" s="47" t="s">
        <v>2</v>
      </c>
      <c r="C17" s="47" t="s">
        <v>265</v>
      </c>
      <c r="D17" s="47" t="s">
        <v>560</v>
      </c>
      <c r="E17" s="47" t="s">
        <v>561</v>
      </c>
      <c r="F17" s="47">
        <v>13.25</v>
      </c>
      <c r="G17" s="47">
        <v>2</v>
      </c>
      <c r="H17" s="47">
        <v>6700</v>
      </c>
      <c r="I17" s="47" t="s">
        <v>436</v>
      </c>
      <c r="J17" s="47" t="s">
        <v>41</v>
      </c>
      <c r="K17" s="47" t="s">
        <v>3</v>
      </c>
      <c r="L17" s="47"/>
      <c r="M17" s="47"/>
      <c r="N17" s="47">
        <v>1</v>
      </c>
      <c r="O17" s="47"/>
      <c r="P17" s="47">
        <v>13.25</v>
      </c>
      <c r="Q17" s="47" t="s">
        <v>276</v>
      </c>
    </row>
    <row r="18" spans="1:17">
      <c r="A18" s="47" t="s">
        <v>562</v>
      </c>
      <c r="B18" s="47" t="s">
        <v>2</v>
      </c>
      <c r="C18" s="47" t="s">
        <v>304</v>
      </c>
      <c r="D18" s="47" t="s">
        <v>110</v>
      </c>
      <c r="E18" s="47" t="s">
        <v>240</v>
      </c>
      <c r="F18" s="47">
        <v>12.6000003814697</v>
      </c>
      <c r="G18" s="47">
        <v>2</v>
      </c>
      <c r="H18" s="47">
        <v>6600</v>
      </c>
      <c r="I18" s="47" t="s">
        <v>453</v>
      </c>
      <c r="J18" s="47" t="s">
        <v>11</v>
      </c>
      <c r="K18" s="47" t="s">
        <v>9</v>
      </c>
      <c r="L18" s="47"/>
      <c r="M18" s="47"/>
      <c r="N18" s="47">
        <v>1</v>
      </c>
      <c r="O18" s="47"/>
      <c r="P18" s="47">
        <v>12.6000003814697</v>
      </c>
      <c r="Q18" s="47" t="s">
        <v>276</v>
      </c>
    </row>
    <row r="19" spans="1:17">
      <c r="A19" s="47" t="s">
        <v>563</v>
      </c>
      <c r="B19" s="47" t="s">
        <v>2</v>
      </c>
      <c r="C19" s="47" t="s">
        <v>283</v>
      </c>
      <c r="D19" s="47" t="s">
        <v>64</v>
      </c>
      <c r="E19" s="47" t="s">
        <v>284</v>
      </c>
      <c r="F19" s="47">
        <v>11.399999618530201</v>
      </c>
      <c r="G19" s="47">
        <v>2</v>
      </c>
      <c r="H19" s="47">
        <v>6500</v>
      </c>
      <c r="I19" s="47" t="s">
        <v>430</v>
      </c>
      <c r="J19" s="47" t="s">
        <v>43</v>
      </c>
      <c r="K19" s="47" t="s">
        <v>97</v>
      </c>
      <c r="L19" s="47"/>
      <c r="M19" s="47"/>
      <c r="N19" s="47">
        <v>1</v>
      </c>
      <c r="O19" s="47"/>
      <c r="P19" s="47">
        <v>11.399999618530201</v>
      </c>
      <c r="Q19" s="47" t="s">
        <v>276</v>
      </c>
    </row>
    <row r="20" spans="1:17">
      <c r="A20" s="47" t="s">
        <v>564</v>
      </c>
      <c r="B20" s="47" t="s">
        <v>2</v>
      </c>
      <c r="C20" s="47" t="s">
        <v>302</v>
      </c>
      <c r="D20" s="47" t="s">
        <v>111</v>
      </c>
      <c r="E20" s="47" t="s">
        <v>303</v>
      </c>
      <c r="F20" s="47">
        <v>8.1499996185302699</v>
      </c>
      <c r="G20" s="47">
        <v>2</v>
      </c>
      <c r="H20" s="47">
        <v>6400</v>
      </c>
      <c r="I20" s="47" t="s">
        <v>432</v>
      </c>
      <c r="J20" s="47" t="s">
        <v>95</v>
      </c>
      <c r="K20" s="47" t="s">
        <v>96</v>
      </c>
      <c r="L20" s="47"/>
      <c r="M20" s="47"/>
      <c r="N20" s="47">
        <v>1</v>
      </c>
      <c r="O20" s="47"/>
      <c r="P20" s="47">
        <v>8.1499996185302699</v>
      </c>
      <c r="Q20" s="47" t="s">
        <v>276</v>
      </c>
    </row>
    <row r="21" spans="1:17">
      <c r="A21" s="47" t="s">
        <v>565</v>
      </c>
      <c r="B21" s="47" t="s">
        <v>2</v>
      </c>
      <c r="C21" s="47" t="s">
        <v>290</v>
      </c>
      <c r="D21" s="47" t="s">
        <v>20</v>
      </c>
      <c r="E21" s="47" t="s">
        <v>291</v>
      </c>
      <c r="F21" s="47">
        <v>5.5999999046325604</v>
      </c>
      <c r="G21" s="47">
        <v>2</v>
      </c>
      <c r="H21" s="47">
        <v>6300</v>
      </c>
      <c r="I21" s="47" t="s">
        <v>470</v>
      </c>
      <c r="J21" s="47" t="s">
        <v>39</v>
      </c>
      <c r="K21" s="47" t="s">
        <v>12</v>
      </c>
      <c r="L21" s="47"/>
      <c r="M21" s="47"/>
      <c r="N21" s="47">
        <v>1</v>
      </c>
      <c r="O21" s="47"/>
      <c r="P21" s="47">
        <v>5.5999999046325604</v>
      </c>
      <c r="Q21" s="47" t="s">
        <v>276</v>
      </c>
    </row>
    <row r="22" spans="1:17">
      <c r="A22" s="47" t="s">
        <v>566</v>
      </c>
      <c r="B22" s="47" t="s">
        <v>2</v>
      </c>
      <c r="C22" s="47" t="s">
        <v>306</v>
      </c>
      <c r="D22" s="47" t="s">
        <v>66</v>
      </c>
      <c r="E22" s="47" t="s">
        <v>272</v>
      </c>
      <c r="F22" s="47">
        <v>4.4499998092651296</v>
      </c>
      <c r="G22" s="47">
        <v>2</v>
      </c>
      <c r="H22" s="47">
        <v>6000</v>
      </c>
      <c r="I22" s="47" t="s">
        <v>428</v>
      </c>
      <c r="J22" s="47" t="s">
        <v>47</v>
      </c>
      <c r="K22" s="47" t="s">
        <v>15</v>
      </c>
      <c r="L22" s="47"/>
      <c r="M22" s="47"/>
      <c r="N22" s="47">
        <v>1</v>
      </c>
      <c r="O22" s="47"/>
      <c r="P22" s="47">
        <v>4.4499998092651296</v>
      </c>
      <c r="Q22" s="47" t="s">
        <v>276</v>
      </c>
    </row>
    <row r="23" spans="1:17">
      <c r="A23" s="47" t="s">
        <v>567</v>
      </c>
      <c r="B23" s="47" t="s">
        <v>2</v>
      </c>
      <c r="C23" s="47" t="s">
        <v>287</v>
      </c>
      <c r="D23" s="47" t="s">
        <v>68</v>
      </c>
      <c r="E23" s="47" t="s">
        <v>288</v>
      </c>
      <c r="F23" s="47">
        <v>10.6000003814697</v>
      </c>
      <c r="G23" s="47">
        <v>2</v>
      </c>
      <c r="H23" s="47">
        <v>6000</v>
      </c>
      <c r="I23" s="47" t="s">
        <v>430</v>
      </c>
      <c r="J23" s="47" t="s">
        <v>97</v>
      </c>
      <c r="K23" s="47" t="s">
        <v>43</v>
      </c>
      <c r="L23" s="47"/>
      <c r="M23" s="47"/>
      <c r="N23" s="47">
        <v>1</v>
      </c>
      <c r="O23" s="47"/>
      <c r="P23" s="47">
        <v>10.6000003814697</v>
      </c>
      <c r="Q23" s="47" t="s">
        <v>276</v>
      </c>
    </row>
    <row r="24" spans="1:17">
      <c r="A24" s="47" t="s">
        <v>568</v>
      </c>
      <c r="B24" s="47" t="s">
        <v>2</v>
      </c>
      <c r="C24" s="47" t="s">
        <v>301</v>
      </c>
      <c r="D24" s="47" t="s">
        <v>113</v>
      </c>
      <c r="E24" s="47" t="s">
        <v>256</v>
      </c>
      <c r="F24" s="47">
        <v>5.9000000953674299</v>
      </c>
      <c r="G24" s="47">
        <v>2</v>
      </c>
      <c r="H24" s="47">
        <v>5900</v>
      </c>
      <c r="I24" s="47" t="s">
        <v>434</v>
      </c>
      <c r="J24" s="47" t="s">
        <v>99</v>
      </c>
      <c r="K24" s="47" t="s">
        <v>40</v>
      </c>
      <c r="L24" s="47"/>
      <c r="M24" s="47"/>
      <c r="N24" s="47">
        <v>1</v>
      </c>
      <c r="O24" s="47"/>
      <c r="P24" s="47">
        <v>5.9000000953674299</v>
      </c>
      <c r="Q24" s="47" t="s">
        <v>276</v>
      </c>
    </row>
    <row r="25" spans="1:17">
      <c r="A25" s="47" t="s">
        <v>569</v>
      </c>
      <c r="B25" s="47" t="s">
        <v>2</v>
      </c>
      <c r="C25" s="47" t="s">
        <v>281</v>
      </c>
      <c r="D25" s="47" t="s">
        <v>67</v>
      </c>
      <c r="E25" s="47" t="s">
        <v>282</v>
      </c>
      <c r="F25" s="47">
        <v>5.5</v>
      </c>
      <c r="G25" s="47">
        <v>2</v>
      </c>
      <c r="H25" s="47">
        <v>5800</v>
      </c>
      <c r="I25" s="47" t="s">
        <v>428</v>
      </c>
      <c r="J25" s="47" t="s">
        <v>15</v>
      </c>
      <c r="K25" s="47" t="s">
        <v>47</v>
      </c>
      <c r="L25" s="47"/>
      <c r="M25" s="47"/>
      <c r="N25" s="47">
        <v>1</v>
      </c>
      <c r="O25" s="47"/>
      <c r="P25" s="47">
        <v>5.5</v>
      </c>
      <c r="Q25" s="47" t="s">
        <v>276</v>
      </c>
    </row>
    <row r="26" spans="1:17">
      <c r="A26" s="47" t="s">
        <v>570</v>
      </c>
      <c r="B26" s="47" t="s">
        <v>2</v>
      </c>
      <c r="C26" s="47" t="s">
        <v>571</v>
      </c>
      <c r="D26" s="47" t="s">
        <v>572</v>
      </c>
      <c r="E26" s="47" t="s">
        <v>573</v>
      </c>
      <c r="F26" s="47">
        <v>0.34999999403953502</v>
      </c>
      <c r="G26" s="47">
        <v>2</v>
      </c>
      <c r="H26" s="47">
        <v>5200</v>
      </c>
      <c r="I26" s="47" t="s">
        <v>441</v>
      </c>
      <c r="J26" s="47" t="s">
        <v>442</v>
      </c>
      <c r="K26" s="47" t="s">
        <v>10</v>
      </c>
      <c r="L26" s="47"/>
      <c r="M26" s="47"/>
      <c r="N26" s="47">
        <v>1</v>
      </c>
      <c r="O26" s="47"/>
      <c r="P26" s="47">
        <v>0.34999999403953502</v>
      </c>
      <c r="Q26" s="47" t="s">
        <v>276</v>
      </c>
    </row>
    <row r="27" spans="1:17">
      <c r="A27" s="47" t="s">
        <v>574</v>
      </c>
      <c r="B27" s="47" t="s">
        <v>2</v>
      </c>
      <c r="C27" s="47" t="s">
        <v>575</v>
      </c>
      <c r="D27" s="47" t="s">
        <v>576</v>
      </c>
      <c r="E27" s="47" t="s">
        <v>577</v>
      </c>
      <c r="F27" s="47">
        <v>2.0499999523162802</v>
      </c>
      <c r="G27" s="47">
        <v>2</v>
      </c>
      <c r="H27" s="47">
        <v>4500</v>
      </c>
      <c r="I27" s="47" t="s">
        <v>453</v>
      </c>
      <c r="J27" s="47" t="s">
        <v>9</v>
      </c>
      <c r="K27" s="47" t="s">
        <v>11</v>
      </c>
      <c r="L27" s="47"/>
      <c r="M27" s="47"/>
      <c r="N27" s="47">
        <v>1</v>
      </c>
      <c r="O27" s="47"/>
      <c r="P27" s="47">
        <v>2.0499999523162802</v>
      </c>
      <c r="Q27" s="47" t="s">
        <v>276</v>
      </c>
    </row>
    <row r="28" spans="1:17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</row>
    <row r="29" spans="1:17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</row>
    <row r="30" spans="1:17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</row>
    <row r="31" spans="1:17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</row>
    <row r="32" spans="1:17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</row>
    <row r="33" spans="1:17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</row>
    <row r="34" spans="1:17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</row>
    <row r="35" spans="1:17">
      <c r="A35" s="41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</row>
    <row r="36" spans="1:17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</row>
    <row r="37" spans="1:17">
      <c r="A37" s="41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</row>
    <row r="38" spans="1:17">
      <c r="A38" s="41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</row>
    <row r="39" spans="1:17">
      <c r="A39" s="41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</row>
    <row r="40" spans="1:17">
      <c r="A40" s="41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</row>
    <row r="41" spans="1:17">
      <c r="A41" s="41"/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</row>
    <row r="42" spans="1:17">
      <c r="A42" s="41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</row>
    <row r="43" spans="1:17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</row>
    <row r="44" spans="1:17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</row>
    <row r="45" spans="1:17">
      <c r="A45" s="41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</row>
    <row r="46" spans="1:17">
      <c r="A46" s="41"/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</row>
    <row r="47" spans="1:17">
      <c r="A47" s="41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</row>
    <row r="48" spans="1:17">
      <c r="A48" s="41"/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</row>
    <row r="49" spans="1:17">
      <c r="A49" s="41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</row>
    <row r="50" spans="1:17">
      <c r="A50" s="41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</row>
    <row r="51" spans="1:17">
      <c r="A51" s="41"/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</row>
    <row r="52" spans="1:17">
      <c r="A52" s="41"/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</row>
    <row r="53" spans="1:17">
      <c r="A53" s="41"/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</row>
    <row r="54" spans="1:17">
      <c r="A54" s="41"/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</row>
    <row r="55" spans="1:17">
      <c r="A55" s="41"/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</row>
    <row r="56" spans="1:17">
      <c r="A56" s="41"/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</row>
    <row r="57" spans="1:17">
      <c r="A57" s="41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</row>
    <row r="58" spans="1:17">
      <c r="A58" s="41"/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</row>
    <row r="59" spans="1:17">
      <c r="A59" s="41"/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</row>
    <row r="60" spans="1:17">
      <c r="A60" s="41"/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</row>
    <row r="61" spans="1:17">
      <c r="A61" s="41"/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</row>
    <row r="62" spans="1:17">
      <c r="A62" s="41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</row>
    <row r="63" spans="1:17">
      <c r="A63" s="41"/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</row>
    <row r="64" spans="1:17">
      <c r="A64" s="41"/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</row>
    <row r="65" spans="1:17">
      <c r="A65" s="41"/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</row>
    <row r="66" spans="1:17">
      <c r="A66" s="41"/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</row>
    <row r="67" spans="1:17">
      <c r="A67" s="41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</row>
    <row r="68" spans="1:17">
      <c r="A68" s="41"/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</row>
    <row r="69" spans="1:17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</row>
    <row r="70" spans="1:17">
      <c r="A70" s="41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</row>
    <row r="71" spans="1:17">
      <c r="A71" s="41"/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</row>
    <row r="72" spans="1:17">
      <c r="A72" s="41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</row>
    <row r="73" spans="1:17">
      <c r="A73" s="41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</row>
    <row r="74" spans="1:17">
      <c r="A74" s="41"/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</row>
    <row r="75" spans="1:17">
      <c r="A75" s="41"/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</row>
    <row r="76" spans="1:17">
      <c r="A76" s="41"/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</row>
    <row r="77" spans="1:17">
      <c r="A77" s="41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</row>
    <row r="78" spans="1:17">
      <c r="A78" s="41"/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</row>
    <row r="79" spans="1:17">
      <c r="A79" s="41"/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</row>
    <row r="80" spans="1:17">
      <c r="A80" s="41"/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</row>
    <row r="81" spans="1:17">
      <c r="A81" s="41"/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</row>
    <row r="82" spans="1:17">
      <c r="A82" s="41"/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</row>
    <row r="83" spans="1:17">
      <c r="A83" s="41"/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</row>
    <row r="84" spans="1:17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</row>
    <row r="85" spans="1:17">
      <c r="A85" s="41"/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</row>
    <row r="86" spans="1:17">
      <c r="A86" s="41"/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</row>
    <row r="87" spans="1:17">
      <c r="A87" s="41"/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</row>
    <row r="88" spans="1:17">
      <c r="A88" s="41"/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</row>
    <row r="89" spans="1:17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</row>
    <row r="90" spans="1:17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</row>
    <row r="91" spans="1:17">
      <c r="A91" s="41"/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</row>
    <row r="92" spans="1:17">
      <c r="A92" s="41"/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</row>
    <row r="93" spans="1:17">
      <c r="A93" s="41"/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</row>
    <row r="94" spans="1:17">
      <c r="A94" s="41"/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</row>
    <row r="95" spans="1:17">
      <c r="A95" s="41"/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</row>
    <row r="96" spans="1:17">
      <c r="A96" s="41"/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</row>
    <row r="97" spans="1:17">
      <c r="A97" s="41"/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</row>
    <row r="98" spans="1:17">
      <c r="A98" s="41"/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</row>
    <row r="99" spans="1:17">
      <c r="A99" s="41"/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</row>
    <row r="100" spans="1:17">
      <c r="A100" s="41"/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</row>
    <row r="101" spans="1:17">
      <c r="A101" s="41"/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</row>
    <row r="102" spans="1:17">
      <c r="A102" s="41"/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</row>
    <row r="103" spans="1:17">
      <c r="A103" s="41"/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</row>
    <row r="104" spans="1:17">
      <c r="A104" s="41"/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</row>
    <row r="105" spans="1:17">
      <c r="A105" s="41"/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</row>
    <row r="106" spans="1:17">
      <c r="A106" s="41"/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</row>
    <row r="107" spans="1:17">
      <c r="A107" s="41"/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</row>
    <row r="108" spans="1:17">
      <c r="A108" s="41"/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</row>
    <row r="109" spans="1:17">
      <c r="A109" s="41"/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</row>
    <row r="110" spans="1:17">
      <c r="A110" s="41"/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</row>
    <row r="111" spans="1:17">
      <c r="A111" s="41"/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</row>
    <row r="112" spans="1:17">
      <c r="A112" s="41"/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</row>
    <row r="113" spans="1:17">
      <c r="A113" s="41"/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</row>
    <row r="114" spans="1:17">
      <c r="A114" s="41"/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</row>
    <row r="115" spans="1:17">
      <c r="A115" s="41"/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</row>
    <row r="116" spans="1:17">
      <c r="A116" s="41"/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</row>
    <row r="117" spans="1:17">
      <c r="A117" s="41"/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</row>
    <row r="118" spans="1:17">
      <c r="A118" s="41"/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</row>
    <row r="119" spans="1:17">
      <c r="A119" s="41"/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</row>
    <row r="120" spans="1:17">
      <c r="A120" s="41"/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</row>
    <row r="121" spans="1:17">
      <c r="A121" s="41"/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</row>
    <row r="122" spans="1:17">
      <c r="A122" s="41"/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</row>
    <row r="123" spans="1:17">
      <c r="A123" s="41"/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</row>
    <row r="124" spans="1:17">
      <c r="A124" s="41"/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</row>
    <row r="125" spans="1:17">
      <c r="A125" s="41"/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</row>
    <row r="126" spans="1:17">
      <c r="A126" s="41"/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</row>
    <row r="127" spans="1:17">
      <c r="A127" s="41"/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</row>
    <row r="128" spans="1:17">
      <c r="A128" s="41"/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</row>
    <row r="129" spans="1:17">
      <c r="A129" s="41"/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</row>
    <row r="130" spans="1:17">
      <c r="A130" s="41"/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</row>
    <row r="131" spans="1:17">
      <c r="A131" s="41"/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</row>
    <row r="132" spans="1:17">
      <c r="A132" s="41"/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</row>
    <row r="133" spans="1:17">
      <c r="A133" s="29"/>
      <c r="B133" s="30"/>
      <c r="C133" s="31"/>
      <c r="D133" s="32"/>
      <c r="E133" s="33"/>
    </row>
    <row r="134" spans="1:17">
      <c r="A134" s="29"/>
      <c r="B134" s="30"/>
      <c r="C134" s="31"/>
      <c r="D134" s="32"/>
      <c r="E134" s="33"/>
    </row>
    <row r="135" spans="1:17">
      <c r="A135" s="29"/>
      <c r="B135" s="30"/>
      <c r="C135" s="31"/>
      <c r="D135" s="32"/>
      <c r="E135" s="33"/>
    </row>
    <row r="136" spans="1:17">
      <c r="A136" s="29"/>
      <c r="B136" s="30"/>
      <c r="C136" s="31"/>
      <c r="D136" s="32"/>
      <c r="E136" s="33"/>
    </row>
    <row r="137" spans="1:17">
      <c r="A137" s="29"/>
      <c r="B137" s="30"/>
      <c r="C137" s="31"/>
      <c r="D137" s="32"/>
      <c r="E137" s="33"/>
    </row>
    <row r="138" spans="1:17">
      <c r="A138" s="29"/>
      <c r="B138" s="30"/>
      <c r="C138" s="31"/>
      <c r="D138" s="32"/>
      <c r="E138" s="33"/>
    </row>
    <row r="139" spans="1:17">
      <c r="A139" s="29"/>
      <c r="B139" s="30"/>
      <c r="C139" s="31"/>
      <c r="D139" s="32"/>
      <c r="E139" s="33"/>
    </row>
    <row r="140" spans="1:17">
      <c r="A140" s="29"/>
      <c r="B140" s="30"/>
      <c r="C140" s="31"/>
      <c r="D140" s="32"/>
      <c r="E140" s="33"/>
    </row>
    <row r="141" spans="1:17">
      <c r="A141" s="29"/>
      <c r="B141" s="30"/>
      <c r="C141" s="31"/>
      <c r="D141" s="32"/>
      <c r="E141" s="33"/>
    </row>
    <row r="142" spans="1:17">
      <c r="A142" s="29"/>
      <c r="B142" s="30"/>
      <c r="C142" s="31"/>
      <c r="D142" s="32"/>
      <c r="E142" s="33"/>
    </row>
    <row r="143" spans="1:17">
      <c r="A143" s="29"/>
      <c r="B143" s="30"/>
      <c r="C143" s="31"/>
      <c r="D143" s="32"/>
      <c r="E143" s="33"/>
    </row>
    <row r="144" spans="1:17">
      <c r="A144" s="29"/>
      <c r="B144" s="30"/>
      <c r="C144" s="31"/>
      <c r="D144" s="32"/>
      <c r="E144" s="33"/>
    </row>
    <row r="145" spans="1:5">
      <c r="A145" s="29"/>
      <c r="B145" s="30"/>
      <c r="C145" s="31"/>
      <c r="D145" s="32"/>
      <c r="E145" s="33"/>
    </row>
    <row r="146" spans="1:5">
      <c r="A146" s="29"/>
      <c r="B146" s="30"/>
      <c r="C146" s="31"/>
      <c r="D146" s="32"/>
      <c r="E146" s="33"/>
    </row>
    <row r="147" spans="1:5">
      <c r="A147" s="29"/>
      <c r="B147" s="30"/>
      <c r="C147" s="31"/>
      <c r="D147" s="32"/>
      <c r="E147" s="33"/>
    </row>
    <row r="148" spans="1:5">
      <c r="A148" s="29"/>
      <c r="B148" s="30"/>
      <c r="C148" s="31"/>
      <c r="D148" s="32"/>
      <c r="E148" s="33"/>
    </row>
    <row r="149" spans="1:5">
      <c r="A149" s="29"/>
      <c r="B149" s="30"/>
      <c r="C149" s="31"/>
      <c r="D149" s="32"/>
      <c r="E149" s="33"/>
    </row>
    <row r="150" spans="1:5">
      <c r="A150" s="29"/>
      <c r="B150" s="30"/>
      <c r="C150" s="31"/>
      <c r="D150" s="32"/>
      <c r="E150" s="33"/>
    </row>
    <row r="151" spans="1:5">
      <c r="A151" s="29"/>
      <c r="B151" s="30"/>
      <c r="C151" s="31"/>
      <c r="D151" s="32"/>
      <c r="E151" s="33"/>
    </row>
    <row r="152" spans="1:5">
      <c r="A152" s="29"/>
      <c r="B152" s="30"/>
      <c r="C152" s="31"/>
      <c r="D152" s="32"/>
      <c r="E152" s="33"/>
    </row>
    <row r="153" spans="1:5">
      <c r="A153" s="29"/>
      <c r="B153" s="30"/>
      <c r="C153" s="31"/>
      <c r="D153" s="32"/>
      <c r="E153" s="33"/>
    </row>
    <row r="154" spans="1:5">
      <c r="A154" s="29"/>
      <c r="B154" s="30"/>
      <c r="C154" s="31"/>
      <c r="D154" s="32"/>
      <c r="E154" s="33"/>
    </row>
    <row r="155" spans="1:5">
      <c r="A155" s="29"/>
      <c r="B155" s="30"/>
      <c r="C155" s="31"/>
      <c r="D155" s="32"/>
      <c r="E155" s="33"/>
    </row>
    <row r="156" spans="1:5">
      <c r="A156" s="29"/>
      <c r="B156" s="30"/>
      <c r="C156" s="31"/>
      <c r="D156" s="32"/>
      <c r="E156" s="33"/>
    </row>
    <row r="157" spans="1:5">
      <c r="A157" s="29"/>
      <c r="B157" s="30"/>
      <c r="C157" s="31"/>
      <c r="D157" s="32"/>
      <c r="E157" s="33"/>
    </row>
    <row r="158" spans="1:5">
      <c r="A158" s="29"/>
      <c r="B158" s="30"/>
      <c r="C158" s="31"/>
      <c r="D158" s="32"/>
      <c r="E158" s="33"/>
    </row>
    <row r="159" spans="1:5">
      <c r="A159" s="29"/>
      <c r="B159" s="30"/>
      <c r="C159" s="31"/>
      <c r="D159" s="32"/>
      <c r="E159" s="33"/>
    </row>
    <row r="160" spans="1:5">
      <c r="A160" s="29"/>
      <c r="B160" s="30"/>
      <c r="C160" s="31"/>
      <c r="D160" s="32"/>
      <c r="E160" s="33"/>
    </row>
    <row r="161" spans="1:5">
      <c r="A161" s="29"/>
      <c r="B161" s="30"/>
      <c r="C161" s="31"/>
      <c r="D161" s="32"/>
      <c r="E161" s="33"/>
    </row>
    <row r="162" spans="1:5">
      <c r="A162" s="29"/>
      <c r="B162" s="30"/>
      <c r="C162" s="31"/>
      <c r="D162" s="32"/>
      <c r="E162" s="33"/>
    </row>
    <row r="163" spans="1:5">
      <c r="A163" s="29"/>
      <c r="B163" s="30"/>
      <c r="C163" s="31"/>
      <c r="D163" s="32"/>
      <c r="E163" s="33"/>
    </row>
    <row r="164" spans="1:5">
      <c r="A164" s="29"/>
      <c r="B164" s="30"/>
      <c r="C164" s="31"/>
      <c r="D164" s="32"/>
      <c r="E164" s="33"/>
    </row>
    <row r="165" spans="1:5">
      <c r="A165" s="29"/>
      <c r="B165" s="30"/>
      <c r="C165" s="31"/>
      <c r="D165" s="32"/>
      <c r="E165" s="33"/>
    </row>
    <row r="166" spans="1:5">
      <c r="A166" s="29"/>
      <c r="B166" s="30"/>
      <c r="C166" s="31"/>
      <c r="D166" s="32"/>
      <c r="E166" s="33"/>
    </row>
    <row r="167" spans="1:5">
      <c r="A167" s="29"/>
      <c r="B167" s="30"/>
      <c r="C167" s="31"/>
      <c r="D167" s="32"/>
      <c r="E167" s="33"/>
    </row>
    <row r="168" spans="1:5">
      <c r="A168" s="29"/>
      <c r="B168" s="30"/>
      <c r="C168" s="31"/>
      <c r="D168" s="32"/>
      <c r="E168" s="33"/>
    </row>
    <row r="169" spans="1:5">
      <c r="A169" s="29"/>
      <c r="B169" s="30"/>
      <c r="C169" s="31"/>
      <c r="D169" s="32"/>
      <c r="E169" s="33"/>
    </row>
    <row r="170" spans="1:5">
      <c r="A170" s="29"/>
      <c r="B170" s="30"/>
      <c r="C170" s="31"/>
      <c r="D170" s="32"/>
      <c r="E170" s="33"/>
    </row>
    <row r="171" spans="1:5">
      <c r="A171" s="29"/>
      <c r="B171" s="30"/>
      <c r="C171" s="31"/>
      <c r="D171" s="32"/>
      <c r="E171" s="33"/>
    </row>
    <row r="172" spans="1:5">
      <c r="A172" s="29"/>
      <c r="B172" s="30"/>
      <c r="C172" s="31"/>
      <c r="D172" s="32"/>
      <c r="E172" s="33"/>
    </row>
    <row r="173" spans="1:5">
      <c r="A173" s="29"/>
      <c r="B173" s="30"/>
      <c r="C173" s="31"/>
      <c r="D173" s="32"/>
      <c r="E173" s="33"/>
    </row>
    <row r="174" spans="1:5">
      <c r="A174" s="29"/>
      <c r="B174" s="30"/>
      <c r="C174" s="31"/>
      <c r="D174" s="32"/>
      <c r="E174" s="33"/>
    </row>
    <row r="175" spans="1:5">
      <c r="A175" s="29"/>
      <c r="B175" s="30"/>
      <c r="C175" s="31"/>
      <c r="D175" s="32"/>
      <c r="E175" s="33"/>
    </row>
    <row r="176" spans="1:5">
      <c r="A176" s="29"/>
      <c r="B176" s="30"/>
      <c r="C176" s="31"/>
      <c r="D176" s="32"/>
      <c r="E176" s="33"/>
    </row>
    <row r="177" spans="1:5">
      <c r="A177" s="29"/>
      <c r="B177" s="30"/>
      <c r="C177" s="31"/>
      <c r="D177" s="32"/>
      <c r="E177" s="33"/>
    </row>
    <row r="178" spans="1:5">
      <c r="A178" s="29"/>
      <c r="B178" s="30"/>
      <c r="C178" s="31"/>
      <c r="D178" s="32"/>
      <c r="E178" s="33"/>
    </row>
    <row r="179" spans="1:5">
      <c r="A179" s="29"/>
      <c r="B179" s="30"/>
      <c r="C179" s="31"/>
      <c r="D179" s="32"/>
      <c r="E179" s="33"/>
    </row>
    <row r="180" spans="1:5">
      <c r="A180" s="29"/>
      <c r="B180" s="30"/>
      <c r="C180" s="31"/>
      <c r="D180" s="32"/>
      <c r="E180" s="33"/>
    </row>
    <row r="181" spans="1:5">
      <c r="A181" s="29"/>
      <c r="B181" s="30"/>
      <c r="C181" s="31"/>
      <c r="D181" s="32"/>
      <c r="E181" s="33"/>
    </row>
    <row r="182" spans="1:5">
      <c r="A182" s="29"/>
      <c r="B182" s="30"/>
      <c r="C182" s="31"/>
      <c r="D182" s="32"/>
      <c r="E182" s="33"/>
    </row>
    <row r="183" spans="1:5">
      <c r="A183" s="29"/>
      <c r="B183" s="30"/>
      <c r="C183" s="31"/>
      <c r="D183" s="32"/>
      <c r="E183" s="33"/>
    </row>
    <row r="184" spans="1:5">
      <c r="A184" s="29"/>
      <c r="B184" s="30"/>
      <c r="C184" s="31"/>
      <c r="D184" s="32"/>
      <c r="E184" s="33"/>
    </row>
    <row r="185" spans="1:5">
      <c r="A185" s="29"/>
      <c r="B185" s="30"/>
      <c r="C185" s="31"/>
      <c r="D185" s="32"/>
      <c r="E185" s="33"/>
    </row>
    <row r="186" spans="1:5">
      <c r="A186" s="29"/>
      <c r="B186" s="30"/>
      <c r="C186" s="31"/>
      <c r="D186" s="32"/>
      <c r="E186" s="33"/>
    </row>
    <row r="187" spans="1:5">
      <c r="A187" s="29"/>
      <c r="B187" s="30"/>
      <c r="C187" s="31"/>
      <c r="D187" s="32"/>
      <c r="E187" s="33"/>
    </row>
    <row r="188" spans="1:5">
      <c r="A188" s="29"/>
      <c r="B188" s="30"/>
      <c r="C188" s="31"/>
      <c r="D188" s="32"/>
      <c r="E188" s="33"/>
    </row>
    <row r="189" spans="1:5">
      <c r="A189" s="29"/>
      <c r="B189" s="30"/>
      <c r="C189" s="31"/>
      <c r="D189" s="32"/>
      <c r="E189" s="33"/>
    </row>
    <row r="190" spans="1:5">
      <c r="A190" s="29"/>
      <c r="B190" s="30"/>
      <c r="C190" s="31"/>
      <c r="D190" s="32"/>
      <c r="E190" s="33"/>
    </row>
    <row r="191" spans="1:5">
      <c r="A191" s="29"/>
      <c r="B191" s="30"/>
      <c r="C191" s="31"/>
      <c r="D191" s="32"/>
      <c r="E191" s="33"/>
    </row>
    <row r="192" spans="1:5">
      <c r="A192" s="29"/>
      <c r="B192" s="30"/>
      <c r="C192" s="31"/>
      <c r="D192" s="32"/>
      <c r="E192" s="33"/>
    </row>
    <row r="193" spans="1:5">
      <c r="A193" s="29"/>
      <c r="B193" s="30"/>
      <c r="C193" s="31"/>
      <c r="D193" s="32"/>
      <c r="E193" s="33"/>
    </row>
    <row r="194" spans="1:5">
      <c r="A194" s="29"/>
      <c r="B194" s="30"/>
      <c r="C194" s="31"/>
      <c r="D194" s="32"/>
      <c r="E194" s="33"/>
    </row>
    <row r="195" spans="1:5">
      <c r="A195" s="29"/>
      <c r="B195" s="30"/>
      <c r="C195" s="31"/>
      <c r="D195" s="32"/>
      <c r="E195" s="33"/>
    </row>
    <row r="196" spans="1:5">
      <c r="A196" s="29"/>
      <c r="B196" s="30"/>
      <c r="C196" s="31"/>
      <c r="D196" s="32"/>
      <c r="E196" s="33"/>
    </row>
    <row r="197" spans="1:5">
      <c r="A197" s="29"/>
      <c r="B197" s="30"/>
      <c r="C197" s="31"/>
      <c r="D197" s="32"/>
      <c r="E197" s="33"/>
    </row>
    <row r="198" spans="1:5">
      <c r="A198" s="29"/>
      <c r="B198" s="30"/>
      <c r="C198" s="31"/>
      <c r="D198" s="32"/>
      <c r="E198" s="33"/>
    </row>
    <row r="199" spans="1:5">
      <c r="A199" s="29"/>
      <c r="B199" s="30"/>
      <c r="C199" s="31"/>
      <c r="D199" s="32"/>
      <c r="E199" s="33"/>
    </row>
    <row r="200" spans="1:5">
      <c r="A200" s="29"/>
      <c r="B200" s="30"/>
      <c r="C200" s="31"/>
      <c r="D200" s="32"/>
      <c r="E200" s="33"/>
    </row>
    <row r="201" spans="1:5">
      <c r="A201" s="29"/>
      <c r="B201" s="30"/>
      <c r="C201" s="31"/>
      <c r="D201" s="32"/>
      <c r="E201" s="33"/>
    </row>
    <row r="202" spans="1:5">
      <c r="A202" s="29"/>
      <c r="B202" s="30"/>
      <c r="C202" s="31"/>
      <c r="D202" s="32"/>
      <c r="E202" s="33"/>
    </row>
    <row r="203" spans="1:5">
      <c r="A203" s="29"/>
      <c r="B203" s="30"/>
      <c r="C203" s="31"/>
      <c r="D203" s="32"/>
      <c r="E203" s="33"/>
    </row>
    <row r="204" spans="1:5">
      <c r="A204" s="29"/>
      <c r="B204" s="30"/>
      <c r="C204" s="31"/>
      <c r="D204" s="32"/>
      <c r="E204" s="33"/>
    </row>
    <row r="205" spans="1:5">
      <c r="A205" s="29"/>
      <c r="B205" s="30"/>
      <c r="C205" s="31"/>
      <c r="D205" s="32"/>
      <c r="E205" s="33"/>
    </row>
    <row r="206" spans="1:5">
      <c r="A206" s="29"/>
      <c r="B206" s="30"/>
      <c r="C206" s="31"/>
      <c r="D206" s="32"/>
      <c r="E206" s="33"/>
    </row>
    <row r="207" spans="1:5">
      <c r="A207" s="29"/>
      <c r="B207" s="30"/>
      <c r="C207" s="31"/>
      <c r="D207" s="32"/>
      <c r="E207" s="33"/>
    </row>
    <row r="208" spans="1:5">
      <c r="A208" s="29"/>
      <c r="B208" s="30"/>
      <c r="C208" s="31"/>
      <c r="D208" s="32"/>
      <c r="E208" s="33"/>
    </row>
    <row r="209" spans="1:5">
      <c r="A209" s="29"/>
      <c r="B209" s="30"/>
      <c r="C209" s="31"/>
      <c r="D209" s="32"/>
      <c r="E209" s="33"/>
    </row>
    <row r="210" spans="1:5">
      <c r="A210" s="29"/>
      <c r="B210" s="30"/>
      <c r="C210" s="31"/>
      <c r="D210" s="32"/>
      <c r="E210" s="33"/>
    </row>
    <row r="211" spans="1:5">
      <c r="A211" s="29"/>
      <c r="B211" s="30"/>
      <c r="C211" s="31"/>
      <c r="D211" s="32"/>
      <c r="E211" s="33"/>
    </row>
    <row r="212" spans="1:5">
      <c r="A212" s="29"/>
      <c r="B212" s="30"/>
      <c r="C212" s="31"/>
      <c r="D212" s="32"/>
      <c r="E212" s="33"/>
    </row>
    <row r="213" spans="1:5">
      <c r="A213" s="29"/>
      <c r="B213" s="30"/>
      <c r="C213" s="31"/>
      <c r="D213" s="32"/>
      <c r="E213" s="33"/>
    </row>
    <row r="214" spans="1:5">
      <c r="A214" s="29"/>
      <c r="B214" s="30"/>
      <c r="C214" s="31"/>
      <c r="D214" s="32"/>
      <c r="E214" s="33"/>
    </row>
    <row r="215" spans="1:5">
      <c r="A215" s="29"/>
      <c r="B215" s="30"/>
      <c r="C215" s="31"/>
      <c r="D215" s="32"/>
      <c r="E215" s="33"/>
    </row>
    <row r="216" spans="1:5">
      <c r="A216" s="29"/>
      <c r="B216" s="30"/>
      <c r="C216" s="31"/>
      <c r="D216" s="32"/>
      <c r="E216" s="33"/>
    </row>
    <row r="217" spans="1:5">
      <c r="A217" s="29"/>
      <c r="B217" s="30"/>
      <c r="C217" s="31"/>
      <c r="D217" s="32"/>
      <c r="E217" s="33"/>
    </row>
    <row r="218" spans="1:5">
      <c r="A218" s="29"/>
      <c r="B218" s="30"/>
      <c r="C218" s="31"/>
      <c r="D218" s="32"/>
      <c r="E218" s="33"/>
    </row>
    <row r="219" spans="1:5">
      <c r="A219" s="29"/>
      <c r="B219" s="30"/>
      <c r="C219" s="31"/>
      <c r="D219" s="32"/>
      <c r="E219" s="33"/>
    </row>
    <row r="220" spans="1:5">
      <c r="A220" s="29"/>
      <c r="B220" s="30"/>
      <c r="C220" s="31"/>
      <c r="D220" s="32"/>
      <c r="E220" s="33"/>
    </row>
    <row r="221" spans="1:5">
      <c r="A221" s="29"/>
      <c r="B221" s="30"/>
      <c r="C221" s="31"/>
      <c r="D221" s="32"/>
      <c r="E221" s="33"/>
    </row>
    <row r="222" spans="1:5">
      <c r="A222" s="29"/>
      <c r="B222" s="30"/>
      <c r="C222" s="31"/>
      <c r="D222" s="32"/>
      <c r="E222" s="33"/>
    </row>
    <row r="223" spans="1:5">
      <c r="A223" s="29"/>
      <c r="B223" s="30"/>
      <c r="C223" s="31"/>
      <c r="D223" s="32"/>
      <c r="E223" s="33"/>
    </row>
    <row r="224" spans="1:5">
      <c r="A224" s="29"/>
      <c r="B224" s="30"/>
      <c r="C224" s="31"/>
      <c r="D224" s="32"/>
      <c r="E224" s="33"/>
    </row>
    <row r="225" spans="1:5">
      <c r="A225" s="29"/>
      <c r="B225" s="30"/>
      <c r="C225" s="31"/>
      <c r="D225" s="32"/>
      <c r="E225" s="33"/>
    </row>
    <row r="226" spans="1:5">
      <c r="A226" s="29"/>
      <c r="B226" s="30"/>
      <c r="C226" s="31"/>
      <c r="D226" s="32"/>
      <c r="E226" s="33"/>
    </row>
    <row r="227" spans="1:5">
      <c r="A227" s="29"/>
      <c r="B227" s="30"/>
      <c r="C227" s="31"/>
      <c r="D227" s="32"/>
      <c r="E227" s="33"/>
    </row>
    <row r="228" spans="1:5">
      <c r="A228" s="29"/>
      <c r="B228" s="30"/>
      <c r="C228" s="31"/>
      <c r="D228" s="32"/>
      <c r="E228" s="33"/>
    </row>
    <row r="229" spans="1:5">
      <c r="A229" s="29"/>
      <c r="B229" s="30"/>
      <c r="C229" s="31"/>
      <c r="D229" s="32"/>
      <c r="E229" s="33"/>
    </row>
    <row r="230" spans="1:5">
      <c r="A230" s="29"/>
      <c r="B230" s="30"/>
      <c r="C230" s="31"/>
      <c r="D230" s="32"/>
      <c r="E230" s="33"/>
    </row>
    <row r="231" spans="1:5">
      <c r="A231" s="29"/>
      <c r="B231" s="30"/>
      <c r="C231" s="31"/>
      <c r="D231" s="32"/>
      <c r="E231" s="33"/>
    </row>
    <row r="232" spans="1:5">
      <c r="A232" s="29"/>
      <c r="B232" s="30"/>
      <c r="C232" s="31"/>
      <c r="D232" s="32"/>
      <c r="E232" s="33"/>
    </row>
    <row r="233" spans="1:5">
      <c r="A233" s="29"/>
      <c r="B233" s="30"/>
      <c r="C233" s="31"/>
      <c r="D233" s="32"/>
      <c r="E233" s="33"/>
    </row>
    <row r="234" spans="1:5">
      <c r="A234" s="29"/>
      <c r="B234" s="30"/>
      <c r="C234" s="31"/>
      <c r="D234" s="32"/>
      <c r="E234" s="33"/>
    </row>
    <row r="235" spans="1:5">
      <c r="A235" s="29"/>
      <c r="B235" s="30"/>
      <c r="C235" s="31"/>
      <c r="D235" s="32"/>
      <c r="E235" s="33"/>
    </row>
    <row r="236" spans="1:5">
      <c r="A236" s="29"/>
      <c r="B236" s="30"/>
      <c r="C236" s="31"/>
      <c r="D236" s="32"/>
      <c r="E236" s="33"/>
    </row>
    <row r="237" spans="1:5">
      <c r="A237" s="29"/>
      <c r="B237" s="30"/>
      <c r="C237" s="31"/>
      <c r="D237" s="32"/>
      <c r="E237" s="33"/>
    </row>
    <row r="238" spans="1:5">
      <c r="A238" s="29"/>
      <c r="B238" s="30"/>
      <c r="C238" s="31"/>
      <c r="D238" s="32"/>
      <c r="E238" s="33"/>
    </row>
    <row r="239" spans="1:5">
      <c r="A239" s="29"/>
      <c r="B239" s="30"/>
      <c r="C239" s="31"/>
      <c r="D239" s="32"/>
      <c r="E239" s="33"/>
    </row>
    <row r="240" spans="1:5">
      <c r="A240" s="29"/>
      <c r="B240" s="30"/>
      <c r="C240" s="31"/>
      <c r="D240" s="32"/>
      <c r="E240" s="33"/>
    </row>
    <row r="241" spans="1:5">
      <c r="A241" s="29"/>
      <c r="B241" s="30"/>
      <c r="C241" s="31"/>
      <c r="D241" s="32"/>
      <c r="E241" s="33"/>
    </row>
    <row r="242" spans="1:5">
      <c r="A242" s="29"/>
      <c r="B242" s="30"/>
      <c r="C242" s="31"/>
      <c r="D242" s="32"/>
      <c r="E242" s="33"/>
    </row>
    <row r="243" spans="1:5">
      <c r="A243" s="29"/>
      <c r="B243" s="30"/>
      <c r="C243" s="31"/>
      <c r="D243" s="32"/>
      <c r="E243" s="33"/>
    </row>
    <row r="244" spans="1:5">
      <c r="A244" s="29"/>
      <c r="B244" s="30"/>
      <c r="C244" s="31"/>
      <c r="D244" s="32"/>
      <c r="E244" s="33"/>
    </row>
    <row r="245" spans="1:5">
      <c r="A245" s="29"/>
      <c r="B245" s="30"/>
      <c r="C245" s="31"/>
      <c r="D245" s="32"/>
      <c r="E245" s="33"/>
    </row>
    <row r="246" spans="1:5">
      <c r="A246" s="29"/>
      <c r="B246" s="30"/>
      <c r="C246" s="31"/>
      <c r="D246" s="32"/>
      <c r="E246" s="33"/>
    </row>
    <row r="247" spans="1:5">
      <c r="A247" s="29"/>
      <c r="B247" s="30"/>
      <c r="C247" s="31"/>
      <c r="D247" s="32"/>
      <c r="E247" s="33"/>
    </row>
    <row r="248" spans="1:5">
      <c r="A248" s="29"/>
      <c r="B248" s="30"/>
      <c r="C248" s="31"/>
      <c r="D248" s="32"/>
      <c r="E248" s="33"/>
    </row>
    <row r="249" spans="1:5">
      <c r="A249" s="29"/>
      <c r="B249" s="30"/>
      <c r="C249" s="31"/>
      <c r="D249" s="32"/>
      <c r="E249" s="33"/>
    </row>
    <row r="250" spans="1:5">
      <c r="A250" s="29"/>
      <c r="B250" s="30"/>
      <c r="C250" s="31"/>
      <c r="D250" s="32"/>
      <c r="E250" s="33"/>
    </row>
    <row r="251" spans="1:5">
      <c r="A251" s="29"/>
      <c r="B251" s="30"/>
      <c r="C251" s="31"/>
      <c r="D251" s="32"/>
      <c r="E251" s="33"/>
    </row>
    <row r="252" spans="1:5">
      <c r="A252" s="29"/>
      <c r="B252" s="30"/>
      <c r="C252" s="31"/>
      <c r="D252" s="32"/>
      <c r="E252" s="33"/>
    </row>
    <row r="253" spans="1:5">
      <c r="A253" s="29"/>
      <c r="B253" s="30"/>
      <c r="C253" s="31"/>
      <c r="D253" s="32"/>
      <c r="E253" s="33"/>
    </row>
    <row r="254" spans="1:5">
      <c r="A254" s="29"/>
      <c r="B254" s="30"/>
      <c r="C254" s="31"/>
      <c r="D254" s="32"/>
      <c r="E254" s="33"/>
    </row>
    <row r="255" spans="1:5">
      <c r="A255" s="29"/>
      <c r="B255" s="30"/>
      <c r="C255" s="31"/>
      <c r="D255" s="32"/>
      <c r="E255" s="33"/>
    </row>
    <row r="256" spans="1:5">
      <c r="A256" s="29"/>
      <c r="B256" s="30"/>
      <c r="C256" s="31"/>
      <c r="D256" s="32"/>
      <c r="E256" s="33"/>
    </row>
    <row r="257" spans="1:5">
      <c r="A257" s="29"/>
      <c r="B257" s="30"/>
      <c r="C257" s="31"/>
      <c r="D257" s="32"/>
      <c r="E257" s="33"/>
    </row>
    <row r="258" spans="1:5">
      <c r="A258" s="29"/>
      <c r="B258" s="30"/>
      <c r="C258" s="31"/>
      <c r="D258" s="32"/>
      <c r="E258" s="33"/>
    </row>
    <row r="259" spans="1:5">
      <c r="A259" s="29"/>
      <c r="B259" s="30"/>
      <c r="C259" s="31"/>
      <c r="D259" s="32"/>
      <c r="E259" s="33"/>
    </row>
    <row r="260" spans="1:5">
      <c r="A260" s="29"/>
      <c r="B260" s="30"/>
      <c r="C260" s="31"/>
      <c r="D260" s="32"/>
      <c r="E260" s="33"/>
    </row>
    <row r="261" spans="1:5">
      <c r="A261" s="29"/>
      <c r="B261" s="30"/>
      <c r="C261" s="31"/>
      <c r="D261" s="32"/>
      <c r="E261" s="33"/>
    </row>
    <row r="262" spans="1:5">
      <c r="A262" s="29"/>
      <c r="B262" s="30"/>
      <c r="C262" s="31"/>
      <c r="D262" s="32"/>
      <c r="E262" s="33"/>
    </row>
    <row r="263" spans="1:5">
      <c r="A263" s="29"/>
      <c r="B263" s="30"/>
      <c r="C263" s="31"/>
      <c r="D263" s="32"/>
      <c r="E263" s="33"/>
    </row>
    <row r="264" spans="1:5">
      <c r="A264" s="29"/>
      <c r="B264" s="30"/>
      <c r="C264" s="31"/>
      <c r="D264" s="32"/>
      <c r="E264" s="33"/>
    </row>
    <row r="265" spans="1:5">
      <c r="A265" s="29"/>
      <c r="B265" s="30"/>
      <c r="C265" s="31"/>
      <c r="D265" s="32"/>
      <c r="E265" s="33"/>
    </row>
    <row r="266" spans="1:5">
      <c r="A266" s="29"/>
      <c r="B266" s="30"/>
      <c r="C266" s="31"/>
      <c r="D266" s="32"/>
      <c r="E266" s="33"/>
    </row>
    <row r="267" spans="1:5">
      <c r="A267" s="29"/>
      <c r="B267" s="30"/>
      <c r="C267" s="31"/>
      <c r="D267" s="32"/>
      <c r="E267" s="33"/>
    </row>
    <row r="268" spans="1:5">
      <c r="A268" s="29"/>
      <c r="B268" s="30"/>
      <c r="C268" s="31"/>
      <c r="D268" s="32"/>
      <c r="E268" s="33"/>
    </row>
    <row r="269" spans="1:5">
      <c r="A269" s="29"/>
      <c r="B269" s="30"/>
      <c r="C269" s="31"/>
      <c r="D269" s="32"/>
      <c r="E269" s="33"/>
    </row>
    <row r="270" spans="1:5">
      <c r="A270" s="29"/>
      <c r="B270" s="30"/>
      <c r="C270" s="31"/>
      <c r="D270" s="32"/>
      <c r="E270" s="33"/>
    </row>
    <row r="271" spans="1:5">
      <c r="A271" s="29"/>
      <c r="B271" s="30"/>
      <c r="C271" s="31"/>
      <c r="D271" s="32"/>
      <c r="E271" s="33"/>
    </row>
    <row r="272" spans="1:5">
      <c r="A272" s="29"/>
      <c r="B272" s="30"/>
      <c r="C272" s="31"/>
      <c r="D272" s="32"/>
      <c r="E272" s="33"/>
    </row>
    <row r="273" spans="1:5">
      <c r="A273" s="29"/>
      <c r="B273" s="30"/>
      <c r="C273" s="31"/>
      <c r="D273" s="32"/>
      <c r="E273" s="33"/>
    </row>
    <row r="274" spans="1:5">
      <c r="A274" s="29"/>
      <c r="B274" s="30"/>
      <c r="C274" s="31"/>
      <c r="D274" s="32"/>
      <c r="E274" s="33"/>
    </row>
    <row r="275" spans="1:5">
      <c r="A275" s="29"/>
      <c r="B275" s="30"/>
      <c r="C275" s="31"/>
      <c r="D275" s="32"/>
      <c r="E275" s="33"/>
    </row>
    <row r="276" spans="1:5">
      <c r="A276" s="29"/>
      <c r="B276" s="30"/>
      <c r="C276" s="31"/>
      <c r="D276" s="32"/>
      <c r="E276" s="33"/>
    </row>
    <row r="277" spans="1:5">
      <c r="A277" s="29"/>
      <c r="B277" s="30"/>
      <c r="C277" s="31"/>
      <c r="D277" s="32"/>
      <c r="E277" s="33"/>
    </row>
    <row r="278" spans="1:5">
      <c r="A278" s="29"/>
      <c r="B278" s="30"/>
      <c r="C278" s="31"/>
      <c r="D278" s="32"/>
      <c r="E278" s="33"/>
    </row>
    <row r="279" spans="1:5">
      <c r="A279" s="29"/>
      <c r="B279" s="30"/>
      <c r="C279" s="31"/>
      <c r="D279" s="32"/>
      <c r="E279" s="33"/>
    </row>
    <row r="280" spans="1:5">
      <c r="A280" s="29"/>
      <c r="B280" s="30"/>
      <c r="C280" s="31"/>
      <c r="D280" s="32"/>
      <c r="E280" s="33"/>
    </row>
    <row r="281" spans="1:5">
      <c r="A281" s="29"/>
      <c r="B281" s="30"/>
      <c r="C281" s="31"/>
      <c r="D281" s="32"/>
      <c r="E281" s="33"/>
    </row>
    <row r="282" spans="1:5">
      <c r="A282" s="29"/>
      <c r="B282" s="30"/>
      <c r="C282" s="31"/>
      <c r="D282" s="32"/>
      <c r="E282" s="33"/>
    </row>
    <row r="283" spans="1:5">
      <c r="A283" s="29"/>
      <c r="B283" s="30"/>
      <c r="C283" s="31"/>
      <c r="D283" s="32"/>
      <c r="E283" s="33"/>
    </row>
    <row r="284" spans="1:5">
      <c r="A284" s="29"/>
      <c r="B284" s="30"/>
      <c r="C284" s="31"/>
      <c r="D284" s="32"/>
      <c r="E284" s="33"/>
    </row>
    <row r="285" spans="1:5">
      <c r="A285" s="29"/>
      <c r="B285" s="30"/>
      <c r="C285" s="31"/>
      <c r="D285" s="32"/>
      <c r="E285" s="33"/>
    </row>
    <row r="286" spans="1:5">
      <c r="A286" s="29"/>
      <c r="B286" s="30"/>
      <c r="C286" s="31"/>
      <c r="D286" s="32"/>
      <c r="E286" s="33"/>
    </row>
    <row r="287" spans="1:5">
      <c r="A287" s="29"/>
      <c r="B287" s="30"/>
      <c r="C287" s="31"/>
      <c r="D287" s="32"/>
      <c r="E287" s="33"/>
    </row>
    <row r="288" spans="1:5">
      <c r="A288" s="29"/>
      <c r="B288" s="30"/>
      <c r="C288" s="31"/>
      <c r="D288" s="32"/>
      <c r="E288" s="33"/>
    </row>
    <row r="289" spans="1:5">
      <c r="A289" s="29"/>
      <c r="B289" s="30"/>
      <c r="C289" s="31"/>
      <c r="D289" s="32"/>
      <c r="E289" s="33"/>
    </row>
    <row r="290" spans="1:5">
      <c r="A290" s="29"/>
      <c r="B290" s="30"/>
      <c r="C290" s="31"/>
      <c r="D290" s="32"/>
      <c r="E290" s="33"/>
    </row>
    <row r="291" spans="1:5">
      <c r="A291" s="29"/>
      <c r="B291" s="30"/>
      <c r="C291" s="31"/>
      <c r="D291" s="32"/>
      <c r="E291" s="33"/>
    </row>
    <row r="292" spans="1:5">
      <c r="A292" s="29"/>
      <c r="B292" s="30"/>
      <c r="C292" s="31"/>
      <c r="D292" s="32"/>
      <c r="E292" s="33"/>
    </row>
    <row r="293" spans="1:5">
      <c r="A293" s="29"/>
      <c r="B293" s="30"/>
      <c r="C293" s="31"/>
      <c r="D293" s="32"/>
      <c r="E293" s="33"/>
    </row>
    <row r="294" spans="1:5">
      <c r="A294" s="29"/>
      <c r="B294" s="30"/>
      <c r="C294" s="31"/>
      <c r="D294" s="32"/>
      <c r="E294" s="33"/>
    </row>
    <row r="295" spans="1:5">
      <c r="A295" s="29"/>
      <c r="B295" s="30"/>
      <c r="C295" s="31"/>
      <c r="D295" s="32"/>
      <c r="E295" s="33"/>
    </row>
    <row r="296" spans="1:5">
      <c r="A296" s="29"/>
      <c r="B296" s="30"/>
      <c r="C296" s="31"/>
      <c r="D296" s="32"/>
      <c r="E296" s="33"/>
    </row>
    <row r="297" spans="1:5">
      <c r="A297" s="29"/>
      <c r="B297" s="30"/>
      <c r="C297" s="31"/>
      <c r="D297" s="32"/>
      <c r="E297" s="33"/>
    </row>
    <row r="298" spans="1:5">
      <c r="A298" s="29"/>
      <c r="B298" s="30"/>
      <c r="C298" s="31"/>
      <c r="D298" s="32"/>
      <c r="E298" s="33"/>
    </row>
    <row r="299" spans="1:5">
      <c r="A299" s="29"/>
      <c r="B299" s="30"/>
      <c r="C299" s="31"/>
      <c r="D299" s="32"/>
      <c r="E299" s="33"/>
    </row>
    <row r="300" spans="1:5">
      <c r="A300" s="29"/>
      <c r="B300" s="30"/>
      <c r="C300" s="31"/>
      <c r="D300" s="32"/>
      <c r="E300" s="33"/>
    </row>
    <row r="301" spans="1:5">
      <c r="A301" s="29"/>
      <c r="B301" s="30"/>
      <c r="C301" s="31"/>
      <c r="D301" s="32"/>
      <c r="E301" s="33"/>
    </row>
    <row r="302" spans="1:5">
      <c r="A302" s="29"/>
      <c r="B302" s="30"/>
      <c r="C302" s="31"/>
      <c r="D302" s="32"/>
      <c r="E302" s="33"/>
    </row>
    <row r="303" spans="1:5">
      <c r="A303" s="29"/>
      <c r="B303" s="30"/>
      <c r="C303" s="31"/>
      <c r="D303" s="32"/>
      <c r="E303" s="33"/>
    </row>
    <row r="304" spans="1:5">
      <c r="A304" s="29"/>
      <c r="B304" s="30"/>
      <c r="C304" s="31"/>
      <c r="D304" s="32"/>
      <c r="E304" s="33"/>
    </row>
    <row r="305" spans="1:5">
      <c r="A305" s="29"/>
      <c r="B305" s="30"/>
      <c r="C305" s="31"/>
      <c r="D305" s="32"/>
      <c r="E305" s="33"/>
    </row>
    <row r="306" spans="1:5">
      <c r="A306" s="29"/>
      <c r="B306" s="30"/>
      <c r="C306" s="31"/>
      <c r="D306" s="32"/>
      <c r="E306" s="33"/>
    </row>
    <row r="307" spans="1:5">
      <c r="A307" s="29"/>
      <c r="B307" s="30"/>
      <c r="C307" s="31"/>
      <c r="D307" s="32"/>
      <c r="E307" s="33"/>
    </row>
    <row r="308" spans="1:5">
      <c r="A308" s="29"/>
      <c r="B308" s="30"/>
      <c r="C308" s="31"/>
      <c r="D308" s="32"/>
      <c r="E308" s="33"/>
    </row>
    <row r="309" spans="1:5">
      <c r="A309" s="29"/>
      <c r="B309" s="30"/>
      <c r="C309" s="31"/>
      <c r="D309" s="32"/>
      <c r="E309" s="33"/>
    </row>
    <row r="310" spans="1:5">
      <c r="A310" s="29"/>
      <c r="B310" s="30"/>
      <c r="C310" s="31"/>
      <c r="D310" s="32"/>
      <c r="E310" s="33"/>
    </row>
    <row r="311" spans="1:5">
      <c r="A311" s="29"/>
      <c r="B311" s="30"/>
      <c r="C311" s="31"/>
      <c r="D311" s="32"/>
      <c r="E311" s="33"/>
    </row>
    <row r="312" spans="1:5">
      <c r="A312" s="29"/>
      <c r="B312" s="30"/>
      <c r="C312" s="31"/>
      <c r="D312" s="32"/>
      <c r="E312" s="33"/>
    </row>
    <row r="313" spans="1:5">
      <c r="A313" s="29"/>
      <c r="B313" s="30"/>
      <c r="C313" s="31"/>
      <c r="D313" s="32"/>
      <c r="E313" s="33"/>
    </row>
    <row r="314" spans="1:5">
      <c r="A314" s="29"/>
      <c r="B314" s="30"/>
      <c r="C314" s="31"/>
      <c r="D314" s="32"/>
      <c r="E314" s="33"/>
    </row>
    <row r="315" spans="1:5">
      <c r="A315" s="29"/>
      <c r="B315" s="30"/>
      <c r="C315" s="31"/>
      <c r="D315" s="32"/>
      <c r="E315" s="33"/>
    </row>
    <row r="316" spans="1:5">
      <c r="A316" s="29"/>
      <c r="B316" s="30"/>
      <c r="C316" s="31"/>
      <c r="D316" s="32"/>
      <c r="E316" s="33"/>
    </row>
    <row r="317" spans="1:5">
      <c r="A317" s="29"/>
      <c r="B317" s="30"/>
      <c r="C317" s="31"/>
      <c r="D317" s="32"/>
      <c r="E317" s="33"/>
    </row>
    <row r="318" spans="1:5">
      <c r="A318" s="29"/>
      <c r="B318" s="30"/>
      <c r="C318" s="31"/>
      <c r="D318" s="32"/>
      <c r="E318" s="33"/>
    </row>
    <row r="319" spans="1:5">
      <c r="A319" s="29"/>
      <c r="B319" s="30"/>
      <c r="C319" s="31"/>
      <c r="D319" s="32"/>
      <c r="E319" s="33"/>
    </row>
    <row r="320" spans="1:5">
      <c r="A320" s="29"/>
      <c r="B320" s="30"/>
      <c r="C320" s="31"/>
      <c r="D320" s="32"/>
      <c r="E320" s="33"/>
    </row>
    <row r="321" spans="1:5">
      <c r="A321" s="29"/>
      <c r="B321" s="30"/>
      <c r="C321" s="31"/>
      <c r="D321" s="32"/>
      <c r="E321" s="33"/>
    </row>
    <row r="322" spans="1:5">
      <c r="A322" s="29"/>
      <c r="B322" s="30"/>
      <c r="C322" s="31"/>
      <c r="D322" s="32"/>
      <c r="E322" s="33"/>
    </row>
    <row r="323" spans="1:5">
      <c r="A323" s="29"/>
      <c r="B323" s="30"/>
      <c r="C323" s="31"/>
      <c r="D323" s="32"/>
      <c r="E323" s="33"/>
    </row>
    <row r="324" spans="1:5">
      <c r="A324" s="29"/>
      <c r="B324" s="30"/>
      <c r="C324" s="31"/>
      <c r="D324" s="32"/>
      <c r="E324" s="33"/>
    </row>
    <row r="325" spans="1:5">
      <c r="A325" s="29"/>
      <c r="B325" s="30"/>
      <c r="C325" s="31"/>
      <c r="D325" s="32"/>
      <c r="E325" s="33"/>
    </row>
    <row r="326" spans="1:5">
      <c r="A326" s="29"/>
      <c r="B326" s="30"/>
      <c r="C326" s="31"/>
      <c r="D326" s="32"/>
      <c r="E326" s="33"/>
    </row>
    <row r="327" spans="1:5">
      <c r="A327" s="29"/>
      <c r="B327" s="30"/>
      <c r="C327" s="31"/>
      <c r="D327" s="32"/>
      <c r="E327" s="33"/>
    </row>
    <row r="328" spans="1:5">
      <c r="A328" s="29"/>
      <c r="B328" s="30"/>
      <c r="C328" s="31"/>
      <c r="D328" s="32"/>
      <c r="E328" s="33"/>
    </row>
    <row r="329" spans="1:5">
      <c r="A329" s="29"/>
      <c r="B329" s="30"/>
      <c r="C329" s="31"/>
      <c r="D329" s="32"/>
      <c r="E329" s="33"/>
    </row>
    <row r="330" spans="1:5">
      <c r="A330" s="29"/>
      <c r="B330" s="30"/>
      <c r="C330" s="31"/>
      <c r="D330" s="32"/>
      <c r="E330" s="33"/>
    </row>
    <row r="331" spans="1:5">
      <c r="A331" s="29"/>
      <c r="B331" s="30"/>
      <c r="C331" s="31"/>
      <c r="D331" s="32"/>
      <c r="E331" s="33"/>
    </row>
    <row r="332" spans="1:5">
      <c r="A332" s="29"/>
      <c r="B332" s="30"/>
      <c r="C332" s="31"/>
      <c r="D332" s="32"/>
      <c r="E332" s="33"/>
    </row>
    <row r="333" spans="1:5">
      <c r="A333" s="29"/>
      <c r="B333" s="30"/>
      <c r="C333" s="31"/>
      <c r="D333" s="32"/>
      <c r="E333" s="33"/>
    </row>
    <row r="334" spans="1:5">
      <c r="A334" s="29"/>
      <c r="B334" s="30"/>
      <c r="C334" s="31"/>
      <c r="D334" s="32"/>
      <c r="E334" s="33"/>
    </row>
    <row r="335" spans="1:5">
      <c r="A335" s="29"/>
      <c r="B335" s="30"/>
      <c r="C335" s="31"/>
      <c r="D335" s="32"/>
      <c r="E335" s="33"/>
    </row>
    <row r="336" spans="1:5">
      <c r="A336" s="29"/>
      <c r="B336" s="30"/>
      <c r="C336" s="31"/>
      <c r="D336" s="32"/>
      <c r="E336" s="33"/>
    </row>
    <row r="337" spans="1:5">
      <c r="A337" s="29"/>
      <c r="B337" s="30"/>
      <c r="C337" s="31"/>
      <c r="D337" s="32"/>
      <c r="E337" s="33"/>
    </row>
    <row r="338" spans="1:5">
      <c r="A338" s="29"/>
      <c r="B338" s="30"/>
      <c r="C338" s="31"/>
      <c r="D338" s="32"/>
      <c r="E338" s="33"/>
    </row>
    <row r="339" spans="1:5">
      <c r="A339" s="29"/>
      <c r="B339" s="30"/>
      <c r="C339" s="31"/>
      <c r="D339" s="32"/>
      <c r="E339" s="33"/>
    </row>
    <row r="340" spans="1:5">
      <c r="A340" s="29"/>
      <c r="B340" s="30"/>
      <c r="C340" s="31"/>
      <c r="D340" s="32"/>
      <c r="E340" s="33"/>
    </row>
    <row r="341" spans="1:5">
      <c r="A341" s="29"/>
      <c r="B341" s="30"/>
      <c r="C341" s="31"/>
      <c r="D341" s="32"/>
      <c r="E341" s="33"/>
    </row>
    <row r="342" spans="1:5">
      <c r="A342" s="29"/>
      <c r="B342" s="30"/>
      <c r="C342" s="31"/>
      <c r="D342" s="32"/>
      <c r="E342" s="33"/>
    </row>
    <row r="343" spans="1:5">
      <c r="A343" s="29"/>
      <c r="B343" s="30"/>
      <c r="C343" s="31"/>
      <c r="D343" s="32"/>
      <c r="E343" s="33"/>
    </row>
    <row r="344" spans="1:5">
      <c r="A344" s="29"/>
      <c r="B344" s="30"/>
      <c r="C344" s="31"/>
      <c r="D344" s="32"/>
      <c r="E344" s="33"/>
    </row>
    <row r="345" spans="1:5">
      <c r="A345" s="29"/>
      <c r="B345" s="30"/>
      <c r="C345" s="31"/>
      <c r="D345" s="32"/>
      <c r="E345" s="33"/>
    </row>
    <row r="346" spans="1:5">
      <c r="A346" s="29"/>
      <c r="B346" s="30"/>
      <c r="C346" s="31"/>
      <c r="D346" s="32"/>
      <c r="E346" s="33"/>
    </row>
    <row r="347" spans="1:5">
      <c r="A347" s="29"/>
      <c r="B347" s="30"/>
      <c r="C347" s="31"/>
      <c r="D347" s="32"/>
      <c r="E347" s="33"/>
    </row>
    <row r="348" spans="1:5">
      <c r="A348" s="29"/>
      <c r="B348" s="30"/>
      <c r="C348" s="31"/>
      <c r="D348" s="32"/>
      <c r="E348" s="33"/>
    </row>
    <row r="349" spans="1:5">
      <c r="A349" s="29"/>
      <c r="B349" s="30"/>
      <c r="C349" s="31"/>
      <c r="D349" s="32"/>
      <c r="E349" s="33"/>
    </row>
    <row r="350" spans="1:5">
      <c r="A350" s="29"/>
      <c r="B350" s="30"/>
      <c r="C350" s="31"/>
      <c r="D350" s="32"/>
      <c r="E350" s="33"/>
    </row>
    <row r="351" spans="1:5">
      <c r="A351" s="29"/>
      <c r="B351" s="30"/>
      <c r="C351" s="31"/>
      <c r="D351" s="32"/>
      <c r="E351" s="33"/>
    </row>
    <row r="352" spans="1:5">
      <c r="A352" s="29"/>
      <c r="B352" s="30"/>
      <c r="C352" s="31"/>
      <c r="D352" s="32"/>
      <c r="E352" s="33"/>
    </row>
    <row r="353" spans="1:5">
      <c r="A353" s="29"/>
      <c r="B353" s="30"/>
      <c r="C353" s="31"/>
      <c r="D353" s="32"/>
      <c r="E353" s="33"/>
    </row>
    <row r="354" spans="1:5">
      <c r="A354" s="29"/>
      <c r="B354" s="30"/>
      <c r="C354" s="31"/>
      <c r="D354" s="32"/>
      <c r="E354" s="33"/>
    </row>
    <row r="355" spans="1:5">
      <c r="A355" s="29"/>
      <c r="B355" s="30"/>
      <c r="C355" s="31"/>
      <c r="D355" s="32"/>
      <c r="E355" s="33"/>
    </row>
    <row r="356" spans="1:5">
      <c r="A356" s="29"/>
      <c r="B356" s="30"/>
      <c r="C356" s="31"/>
      <c r="D356" s="32"/>
      <c r="E356" s="33"/>
    </row>
    <row r="357" spans="1:5">
      <c r="A357" s="29"/>
      <c r="B357" s="30"/>
      <c r="C357" s="31"/>
      <c r="D357" s="32"/>
      <c r="E357" s="33"/>
    </row>
    <row r="358" spans="1:5">
      <c r="A358" s="29"/>
      <c r="B358" s="30"/>
      <c r="C358" s="31"/>
      <c r="D358" s="32"/>
      <c r="E358" s="33"/>
    </row>
    <row r="359" spans="1:5">
      <c r="A359" s="29"/>
      <c r="B359" s="30"/>
      <c r="C359" s="31"/>
      <c r="D359" s="32"/>
      <c r="E359" s="33"/>
    </row>
    <row r="360" spans="1:5">
      <c r="A360" s="29"/>
      <c r="B360" s="30"/>
      <c r="C360" s="31"/>
      <c r="D360" s="32"/>
      <c r="E360" s="33"/>
    </row>
    <row r="361" spans="1:5">
      <c r="A361" s="29"/>
      <c r="B361" s="30"/>
      <c r="C361" s="31"/>
      <c r="D361" s="32"/>
      <c r="E361" s="33"/>
    </row>
    <row r="362" spans="1:5">
      <c r="A362" s="29"/>
      <c r="B362" s="30"/>
      <c r="C362" s="31"/>
      <c r="D362" s="32"/>
      <c r="E362" s="33"/>
    </row>
    <row r="363" spans="1:5">
      <c r="A363" s="29"/>
      <c r="B363" s="30"/>
      <c r="C363" s="31"/>
      <c r="D363" s="32"/>
      <c r="E363" s="33"/>
    </row>
    <row r="364" spans="1:5">
      <c r="A364" s="29"/>
      <c r="B364" s="30"/>
      <c r="C364" s="31"/>
      <c r="D364" s="32"/>
      <c r="E364" s="33"/>
    </row>
    <row r="365" spans="1:5">
      <c r="A365" s="29"/>
      <c r="B365" s="30"/>
      <c r="C365" s="31"/>
      <c r="D365" s="32"/>
      <c r="E365" s="33"/>
    </row>
    <row r="366" spans="1:5">
      <c r="A366" s="29"/>
      <c r="B366" s="30"/>
      <c r="C366" s="31"/>
      <c r="D366" s="32"/>
      <c r="E366" s="33"/>
    </row>
    <row r="367" spans="1:5">
      <c r="A367" s="29"/>
      <c r="B367" s="30"/>
      <c r="C367" s="31"/>
      <c r="D367" s="32"/>
      <c r="E367" s="33"/>
    </row>
    <row r="368" spans="1:5">
      <c r="A368" s="29"/>
      <c r="B368" s="30"/>
      <c r="C368" s="31"/>
      <c r="D368" s="32"/>
      <c r="E368" s="33"/>
    </row>
    <row r="369" spans="1:5">
      <c r="A369" s="29"/>
      <c r="B369" s="30"/>
      <c r="C369" s="31"/>
      <c r="D369" s="32"/>
      <c r="E369" s="33"/>
    </row>
    <row r="370" spans="1:5">
      <c r="A370" s="29"/>
      <c r="B370" s="30"/>
      <c r="C370" s="31"/>
      <c r="D370" s="32"/>
      <c r="E370" s="33"/>
    </row>
    <row r="371" spans="1:5">
      <c r="A371" s="29"/>
      <c r="B371" s="30"/>
      <c r="C371" s="31"/>
      <c r="D371" s="32"/>
      <c r="E371" s="33"/>
    </row>
    <row r="372" spans="1:5">
      <c r="A372" s="29"/>
      <c r="B372" s="30"/>
      <c r="C372" s="31"/>
      <c r="D372" s="32"/>
      <c r="E372" s="33"/>
    </row>
    <row r="373" spans="1:5">
      <c r="A373" s="29"/>
      <c r="B373" s="30"/>
      <c r="C373" s="31"/>
      <c r="D373" s="32"/>
      <c r="E373" s="33"/>
    </row>
    <row r="374" spans="1:5">
      <c r="A374" s="29"/>
      <c r="B374" s="30"/>
      <c r="C374" s="31"/>
      <c r="D374" s="32"/>
      <c r="E374" s="33"/>
    </row>
    <row r="375" spans="1:5">
      <c r="A375" s="29"/>
      <c r="B375" s="30"/>
      <c r="C375" s="31"/>
      <c r="D375" s="32"/>
      <c r="E375" s="33"/>
    </row>
    <row r="376" spans="1:5">
      <c r="A376" s="29"/>
      <c r="B376" s="30"/>
      <c r="C376" s="31"/>
      <c r="D376" s="32"/>
      <c r="E376" s="33"/>
    </row>
    <row r="377" spans="1:5">
      <c r="A377" s="29"/>
      <c r="B377" s="30"/>
      <c r="C377" s="31"/>
      <c r="D377" s="32"/>
      <c r="E377" s="33"/>
    </row>
    <row r="378" spans="1:5">
      <c r="A378" s="29"/>
      <c r="B378" s="30"/>
      <c r="C378" s="31"/>
      <c r="D378" s="32"/>
      <c r="E378" s="33"/>
    </row>
    <row r="379" spans="1:5">
      <c r="A379" s="29"/>
      <c r="B379" s="30"/>
      <c r="C379" s="31"/>
      <c r="D379" s="32"/>
      <c r="E379" s="33"/>
    </row>
    <row r="380" spans="1:5">
      <c r="A380" s="29"/>
      <c r="B380" s="30"/>
      <c r="C380" s="31"/>
      <c r="D380" s="32"/>
      <c r="E380" s="33"/>
    </row>
    <row r="381" spans="1:5">
      <c r="A381" s="29"/>
      <c r="B381" s="30"/>
      <c r="C381" s="31"/>
      <c r="D381" s="32"/>
      <c r="E381" s="33"/>
    </row>
    <row r="382" spans="1:5">
      <c r="A382" s="29"/>
      <c r="B382" s="30"/>
      <c r="C382" s="31"/>
      <c r="D382" s="32"/>
      <c r="E382" s="33"/>
    </row>
    <row r="383" spans="1:5">
      <c r="A383" s="29"/>
      <c r="B383" s="30"/>
      <c r="C383" s="31"/>
      <c r="D383" s="32"/>
      <c r="E383" s="33"/>
    </row>
    <row r="384" spans="1:5">
      <c r="A384" s="29"/>
      <c r="B384" s="30"/>
      <c r="C384" s="31"/>
      <c r="D384" s="32"/>
      <c r="E384" s="33"/>
    </row>
    <row r="385" spans="1:5">
      <c r="A385" s="29"/>
      <c r="B385" s="30"/>
      <c r="C385" s="31"/>
      <c r="D385" s="32"/>
      <c r="E385" s="33"/>
    </row>
    <row r="386" spans="1:5">
      <c r="A386" s="29"/>
      <c r="B386" s="30"/>
      <c r="C386" s="31"/>
      <c r="D386" s="32"/>
      <c r="E386" s="33"/>
    </row>
    <row r="387" spans="1:5">
      <c r="A387" s="29"/>
      <c r="B387" s="30"/>
      <c r="C387" s="31"/>
      <c r="D387" s="32"/>
      <c r="E387" s="33"/>
    </row>
    <row r="388" spans="1:5">
      <c r="A388" s="29"/>
      <c r="B388" s="30"/>
      <c r="C388" s="31"/>
      <c r="D388" s="32"/>
      <c r="E388" s="33"/>
    </row>
    <row r="389" spans="1:5">
      <c r="A389" s="29"/>
      <c r="B389" s="30"/>
      <c r="C389" s="31"/>
      <c r="D389" s="32"/>
      <c r="E389" s="33"/>
    </row>
    <row r="390" spans="1:5">
      <c r="A390" s="29"/>
      <c r="B390" s="30"/>
      <c r="C390" s="31"/>
      <c r="D390" s="32"/>
      <c r="E390" s="33"/>
    </row>
    <row r="391" spans="1:5">
      <c r="A391" s="29"/>
      <c r="B391" s="30"/>
      <c r="C391" s="31"/>
      <c r="D391" s="32"/>
      <c r="E391" s="33"/>
    </row>
    <row r="392" spans="1:5">
      <c r="A392" s="29"/>
      <c r="B392" s="30"/>
      <c r="C392" s="31"/>
      <c r="D392" s="32"/>
      <c r="E392" s="33"/>
    </row>
    <row r="393" spans="1:5">
      <c r="A393" s="29"/>
      <c r="B393" s="30"/>
      <c r="C393" s="31"/>
      <c r="D393" s="32"/>
      <c r="E393" s="33"/>
    </row>
    <row r="394" spans="1:5">
      <c r="A394" s="29"/>
      <c r="B394" s="30"/>
      <c r="C394" s="31"/>
      <c r="D394" s="32"/>
      <c r="E394" s="33"/>
    </row>
    <row r="395" spans="1:5">
      <c r="A395" s="29"/>
      <c r="B395" s="30"/>
      <c r="C395" s="31"/>
      <c r="D395" s="32"/>
      <c r="E395" s="33"/>
    </row>
    <row r="396" spans="1:5">
      <c r="A396" s="29"/>
      <c r="B396" s="30"/>
      <c r="C396" s="31"/>
      <c r="D396" s="32"/>
      <c r="E396" s="33"/>
    </row>
    <row r="397" spans="1:5">
      <c r="A397" s="29"/>
      <c r="B397" s="30"/>
      <c r="C397" s="31"/>
      <c r="D397" s="32"/>
      <c r="E397" s="33"/>
    </row>
    <row r="398" spans="1:5">
      <c r="A398" s="29"/>
      <c r="B398" s="30"/>
      <c r="C398" s="31"/>
      <c r="D398" s="32"/>
      <c r="E398" s="33"/>
    </row>
    <row r="399" spans="1:5">
      <c r="A399" s="29"/>
      <c r="B399" s="30"/>
      <c r="C399" s="31"/>
      <c r="D399" s="32"/>
      <c r="E399" s="33"/>
    </row>
    <row r="400" spans="1:5">
      <c r="A400" s="29"/>
      <c r="B400" s="30"/>
      <c r="C400" s="31"/>
      <c r="D400" s="32"/>
      <c r="E400" s="33"/>
    </row>
    <row r="401" spans="1:5">
      <c r="A401" s="29"/>
      <c r="B401" s="30"/>
      <c r="C401" s="31"/>
      <c r="D401" s="32"/>
      <c r="E401" s="33"/>
    </row>
    <row r="402" spans="1:5">
      <c r="A402" s="29"/>
      <c r="B402" s="30"/>
      <c r="C402" s="31"/>
      <c r="D402" s="32"/>
      <c r="E402" s="33"/>
    </row>
    <row r="403" spans="1:5">
      <c r="A403" s="29"/>
      <c r="B403" s="30"/>
      <c r="C403" s="31"/>
      <c r="D403" s="32"/>
      <c r="E403" s="33"/>
    </row>
    <row r="404" spans="1:5">
      <c r="A404" s="29"/>
      <c r="B404" s="30"/>
      <c r="C404" s="31"/>
      <c r="D404" s="32"/>
      <c r="E404" s="33"/>
    </row>
    <row r="405" spans="1:5">
      <c r="A405" s="29"/>
      <c r="B405" s="30"/>
      <c r="C405" s="31"/>
      <c r="D405" s="32"/>
      <c r="E405" s="33"/>
    </row>
    <row r="406" spans="1:5">
      <c r="A406" s="29"/>
      <c r="B406" s="30"/>
      <c r="C406" s="31"/>
      <c r="D406" s="32"/>
      <c r="E406" s="33"/>
    </row>
    <row r="407" spans="1:5">
      <c r="A407" s="29"/>
      <c r="B407" s="30"/>
      <c r="C407" s="31"/>
      <c r="D407" s="32"/>
      <c r="E407" s="33"/>
    </row>
    <row r="408" spans="1:5">
      <c r="A408" s="29"/>
      <c r="B408" s="30"/>
      <c r="C408" s="31"/>
      <c r="D408" s="32"/>
      <c r="E408" s="33"/>
    </row>
    <row r="409" spans="1:5">
      <c r="A409" s="29"/>
      <c r="B409" s="30"/>
      <c r="C409" s="31"/>
      <c r="D409" s="32"/>
      <c r="E409" s="33"/>
    </row>
    <row r="410" spans="1:5">
      <c r="A410" s="29"/>
      <c r="B410" s="30"/>
      <c r="C410" s="31"/>
      <c r="D410" s="32"/>
      <c r="E410" s="33"/>
    </row>
    <row r="411" spans="1:5">
      <c r="A411" s="29"/>
      <c r="B411" s="30"/>
      <c r="C411" s="31"/>
      <c r="D411" s="32"/>
      <c r="E411" s="33"/>
    </row>
    <row r="412" spans="1:5">
      <c r="A412" s="29"/>
      <c r="B412" s="30"/>
      <c r="C412" s="31"/>
      <c r="D412" s="32"/>
      <c r="E412" s="33"/>
    </row>
    <row r="413" spans="1:5">
      <c r="A413" s="29"/>
      <c r="B413" s="30"/>
      <c r="C413" s="31"/>
      <c r="D413" s="32"/>
      <c r="E413" s="33"/>
    </row>
    <row r="414" spans="1:5">
      <c r="A414" s="29"/>
      <c r="B414" s="30"/>
      <c r="C414" s="31"/>
      <c r="D414" s="32"/>
      <c r="E414" s="33"/>
    </row>
    <row r="415" spans="1:5">
      <c r="A415" s="29"/>
      <c r="B415" s="30"/>
      <c r="C415" s="31"/>
      <c r="D415" s="32"/>
      <c r="E415" s="33"/>
    </row>
    <row r="416" spans="1:5">
      <c r="A416" s="29"/>
      <c r="B416" s="30"/>
      <c r="C416" s="31"/>
      <c r="D416" s="32"/>
      <c r="E416" s="33"/>
    </row>
    <row r="417" spans="1:5">
      <c r="A417" s="29"/>
      <c r="B417" s="30"/>
      <c r="C417" s="31"/>
      <c r="D417" s="32"/>
      <c r="E417" s="33"/>
    </row>
    <row r="418" spans="1:5">
      <c r="A418" s="29"/>
      <c r="B418" s="30"/>
      <c r="C418" s="31"/>
      <c r="D418" s="32"/>
      <c r="E418" s="33"/>
    </row>
    <row r="419" spans="1:5">
      <c r="A419" s="29"/>
      <c r="B419" s="30"/>
      <c r="C419" s="31"/>
      <c r="D419" s="32"/>
      <c r="E419" s="33"/>
    </row>
    <row r="420" spans="1:5">
      <c r="A420" s="29"/>
      <c r="B420" s="30"/>
      <c r="C420" s="31"/>
      <c r="D420" s="32"/>
      <c r="E420" s="33"/>
    </row>
    <row r="421" spans="1:5">
      <c r="A421" s="29"/>
      <c r="B421" s="30"/>
      <c r="C421" s="31"/>
      <c r="D421" s="32"/>
      <c r="E421" s="33"/>
    </row>
    <row r="422" spans="1:5">
      <c r="A422" s="29"/>
      <c r="B422" s="30"/>
      <c r="C422" s="31"/>
      <c r="D422" s="32"/>
      <c r="E422" s="33"/>
    </row>
    <row r="423" spans="1:5">
      <c r="A423" s="29"/>
      <c r="B423" s="30"/>
      <c r="C423" s="31"/>
      <c r="D423" s="32"/>
      <c r="E423" s="33"/>
    </row>
    <row r="424" spans="1:5">
      <c r="A424" s="29"/>
      <c r="B424" s="30"/>
      <c r="C424" s="31"/>
      <c r="D424" s="32"/>
      <c r="E424" s="33"/>
    </row>
    <row r="425" spans="1:5">
      <c r="A425" s="29"/>
      <c r="B425" s="30"/>
      <c r="C425" s="31"/>
      <c r="D425" s="32"/>
      <c r="E425" s="33"/>
    </row>
    <row r="426" spans="1:5">
      <c r="A426" s="29"/>
      <c r="B426" s="30"/>
      <c r="C426" s="31"/>
      <c r="D426" s="32"/>
      <c r="E426" s="33"/>
    </row>
    <row r="427" spans="1:5">
      <c r="A427" s="29"/>
      <c r="B427" s="30"/>
      <c r="C427" s="31"/>
      <c r="D427" s="32"/>
      <c r="E427" s="33"/>
    </row>
    <row r="428" spans="1:5">
      <c r="A428" s="29"/>
      <c r="B428" s="30"/>
      <c r="C428" s="31"/>
      <c r="D428" s="32"/>
      <c r="E428" s="33"/>
    </row>
    <row r="429" spans="1:5">
      <c r="A429" s="29"/>
      <c r="B429" s="30"/>
      <c r="C429" s="31"/>
      <c r="D429" s="32"/>
      <c r="E429" s="33"/>
    </row>
    <row r="430" spans="1:5">
      <c r="A430" s="29"/>
      <c r="B430" s="30"/>
      <c r="C430" s="31"/>
      <c r="D430" s="32"/>
      <c r="E430" s="33"/>
    </row>
    <row r="431" spans="1:5">
      <c r="A431" s="29"/>
      <c r="B431" s="30"/>
      <c r="C431" s="31"/>
      <c r="D431" s="32"/>
      <c r="E431" s="33"/>
    </row>
    <row r="432" spans="1:5">
      <c r="A432" s="29"/>
      <c r="B432" s="30"/>
      <c r="C432" s="31"/>
      <c r="D432" s="32"/>
      <c r="E432" s="33"/>
    </row>
    <row r="433" spans="1:5">
      <c r="A433" s="29"/>
      <c r="B433" s="30"/>
      <c r="C433" s="31"/>
      <c r="D433" s="32"/>
      <c r="E433" s="33"/>
    </row>
    <row r="434" spans="1:5">
      <c r="A434" s="29"/>
      <c r="B434" s="30"/>
      <c r="C434" s="31"/>
      <c r="D434" s="32"/>
      <c r="E434" s="33"/>
    </row>
    <row r="435" spans="1:5">
      <c r="A435" s="29"/>
      <c r="B435" s="30"/>
      <c r="C435" s="31"/>
      <c r="D435" s="32"/>
      <c r="E435" s="33"/>
    </row>
    <row r="436" spans="1:5">
      <c r="A436" s="29"/>
      <c r="B436" s="30"/>
      <c r="C436" s="31"/>
      <c r="D436" s="32"/>
      <c r="E436" s="33"/>
    </row>
    <row r="437" spans="1:5">
      <c r="A437" s="29"/>
      <c r="B437" s="30"/>
      <c r="C437" s="31"/>
      <c r="D437" s="32"/>
      <c r="E437" s="33"/>
    </row>
    <row r="438" spans="1:5">
      <c r="A438" s="29"/>
      <c r="B438" s="30"/>
      <c r="C438" s="31"/>
      <c r="D438" s="32"/>
      <c r="E438" s="33"/>
    </row>
    <row r="439" spans="1:5">
      <c r="A439" s="29"/>
      <c r="B439" s="30"/>
      <c r="C439" s="31"/>
      <c r="D439" s="32"/>
      <c r="E439" s="33"/>
    </row>
    <row r="440" spans="1:5">
      <c r="A440" s="29"/>
      <c r="B440" s="30"/>
      <c r="C440" s="31"/>
      <c r="D440" s="32"/>
      <c r="E440" s="33"/>
    </row>
    <row r="441" spans="1:5">
      <c r="A441" s="29"/>
      <c r="B441" s="30"/>
      <c r="C441" s="31"/>
      <c r="D441" s="32"/>
      <c r="E441" s="33"/>
    </row>
    <row r="442" spans="1:5">
      <c r="A442" s="29"/>
      <c r="B442" s="30"/>
      <c r="C442" s="31"/>
      <c r="D442" s="32"/>
      <c r="E442" s="33"/>
    </row>
    <row r="443" spans="1:5">
      <c r="A443" s="29"/>
      <c r="B443" s="30"/>
      <c r="C443" s="31"/>
      <c r="D443" s="32"/>
      <c r="E443" s="33"/>
    </row>
    <row r="444" spans="1:5">
      <c r="A444" s="29"/>
      <c r="B444" s="30"/>
      <c r="C444" s="31"/>
      <c r="D444" s="32"/>
      <c r="E444" s="33"/>
    </row>
    <row r="445" spans="1:5">
      <c r="A445" s="29"/>
      <c r="B445" s="30"/>
      <c r="C445" s="31"/>
      <c r="D445" s="32"/>
      <c r="E445" s="33"/>
    </row>
    <row r="446" spans="1:5">
      <c r="A446" s="29"/>
      <c r="B446" s="30"/>
      <c r="C446" s="31"/>
      <c r="D446" s="32"/>
      <c r="E446" s="33"/>
    </row>
    <row r="447" spans="1:5">
      <c r="A447" s="29"/>
      <c r="B447" s="30"/>
      <c r="C447" s="31"/>
      <c r="D447" s="32"/>
      <c r="E447" s="33"/>
    </row>
    <row r="448" spans="1:5">
      <c r="A448" s="29"/>
      <c r="B448" s="30"/>
      <c r="C448" s="31"/>
      <c r="D448" s="32"/>
      <c r="E448" s="33"/>
    </row>
    <row r="449" spans="1:5">
      <c r="A449" s="29"/>
      <c r="B449" s="30"/>
      <c r="C449" s="31"/>
      <c r="D449" s="32"/>
      <c r="E449" s="33"/>
    </row>
    <row r="450" spans="1:5">
      <c r="A450" s="29"/>
      <c r="B450" s="30"/>
      <c r="C450" s="31"/>
      <c r="D450" s="32"/>
      <c r="E450" s="33"/>
    </row>
    <row r="451" spans="1:5">
      <c r="A451" s="29"/>
      <c r="B451" s="30"/>
      <c r="C451" s="31"/>
      <c r="D451" s="32"/>
      <c r="E451" s="33"/>
    </row>
    <row r="452" spans="1:5">
      <c r="A452" s="29"/>
      <c r="B452" s="30"/>
      <c r="C452" s="31"/>
      <c r="D452" s="32"/>
      <c r="E452" s="33"/>
    </row>
    <row r="453" spans="1:5">
      <c r="A453" s="29"/>
      <c r="B453" s="30"/>
      <c r="C453" s="31"/>
      <c r="D453" s="32"/>
      <c r="E453" s="33"/>
    </row>
    <row r="454" spans="1:5">
      <c r="A454" s="29"/>
      <c r="B454" s="30"/>
      <c r="C454" s="31"/>
      <c r="D454" s="32"/>
      <c r="E454" s="33"/>
    </row>
    <row r="455" spans="1:5">
      <c r="A455" s="29"/>
      <c r="B455" s="30"/>
      <c r="C455" s="31"/>
      <c r="D455" s="32"/>
      <c r="E455" s="33"/>
    </row>
    <row r="456" spans="1:5">
      <c r="A456" s="29"/>
      <c r="B456" s="30"/>
      <c r="C456" s="31"/>
      <c r="D456" s="32"/>
      <c r="E456" s="33"/>
    </row>
    <row r="457" spans="1:5">
      <c r="A457" s="29"/>
      <c r="B457" s="30"/>
      <c r="C457" s="31"/>
      <c r="D457" s="32"/>
      <c r="E457" s="33"/>
    </row>
    <row r="458" spans="1:5">
      <c r="A458" s="29"/>
      <c r="B458" s="30"/>
      <c r="C458" s="31"/>
      <c r="D458" s="32"/>
      <c r="E458" s="33"/>
    </row>
    <row r="459" spans="1:5">
      <c r="A459" s="29"/>
      <c r="B459" s="30"/>
      <c r="C459" s="31"/>
      <c r="D459" s="32"/>
      <c r="E459" s="33"/>
    </row>
    <row r="460" spans="1:5">
      <c r="A460" s="29"/>
      <c r="B460" s="30"/>
      <c r="C460" s="31"/>
      <c r="D460" s="32"/>
      <c r="E460" s="33"/>
    </row>
    <row r="461" spans="1:5">
      <c r="A461" s="29"/>
      <c r="B461" s="30"/>
      <c r="C461" s="31"/>
      <c r="D461" s="32"/>
      <c r="E461" s="33"/>
    </row>
    <row r="462" spans="1:5">
      <c r="A462" s="29"/>
      <c r="B462" s="30"/>
      <c r="C462" s="31"/>
      <c r="D462" s="32"/>
      <c r="E462" s="33"/>
    </row>
    <row r="463" spans="1:5">
      <c r="A463" s="29"/>
      <c r="B463" s="30"/>
      <c r="C463" s="31"/>
      <c r="D463" s="32"/>
      <c r="E463" s="33"/>
    </row>
    <row r="464" spans="1:5">
      <c r="A464" s="29"/>
      <c r="B464" s="30"/>
      <c r="C464" s="31"/>
      <c r="D464" s="32"/>
      <c r="E464" s="33"/>
    </row>
    <row r="465" spans="1:5">
      <c r="A465" s="29"/>
      <c r="B465" s="30"/>
      <c r="C465" s="31"/>
      <c r="D465" s="32"/>
      <c r="E465" s="33"/>
    </row>
    <row r="466" spans="1:5">
      <c r="A466" s="29"/>
      <c r="B466" s="30"/>
      <c r="C466" s="31"/>
      <c r="D466" s="32"/>
      <c r="E466" s="33"/>
    </row>
    <row r="467" spans="1:5">
      <c r="A467" s="29"/>
      <c r="B467" s="30"/>
      <c r="C467" s="31"/>
      <c r="D467" s="32"/>
      <c r="E467" s="33"/>
    </row>
    <row r="468" spans="1:5">
      <c r="A468" s="29"/>
      <c r="B468" s="30"/>
      <c r="C468" s="31"/>
      <c r="D468" s="32"/>
      <c r="E468" s="33"/>
    </row>
    <row r="469" spans="1:5">
      <c r="A469" s="29"/>
      <c r="B469" s="30"/>
      <c r="C469" s="31"/>
      <c r="D469" s="32"/>
      <c r="E469" s="33"/>
    </row>
    <row r="470" spans="1:5">
      <c r="A470" s="29"/>
      <c r="B470" s="30"/>
      <c r="C470" s="31"/>
      <c r="D470" s="32"/>
      <c r="E470" s="33"/>
    </row>
    <row r="471" spans="1:5">
      <c r="A471" s="29"/>
      <c r="B471" s="30"/>
      <c r="C471" s="31"/>
      <c r="D471" s="32"/>
      <c r="E471" s="33"/>
    </row>
    <row r="472" spans="1:5">
      <c r="A472" s="29"/>
      <c r="B472" s="30"/>
      <c r="C472" s="31"/>
      <c r="D472" s="32"/>
      <c r="E472" s="33"/>
    </row>
    <row r="473" spans="1:5">
      <c r="A473" s="29"/>
      <c r="B473" s="30"/>
      <c r="C473" s="31"/>
      <c r="D473" s="32"/>
      <c r="E473" s="33"/>
    </row>
    <row r="474" spans="1:5">
      <c r="A474" s="29"/>
      <c r="B474" s="30"/>
      <c r="C474" s="31"/>
      <c r="D474" s="32"/>
      <c r="E474" s="33"/>
    </row>
    <row r="475" spans="1:5">
      <c r="A475" s="29"/>
      <c r="B475" s="30"/>
      <c r="C475" s="31"/>
      <c r="D475" s="32"/>
      <c r="E475" s="33"/>
    </row>
    <row r="476" spans="1:5">
      <c r="A476" s="29"/>
      <c r="B476" s="30"/>
      <c r="C476" s="31"/>
      <c r="D476" s="32"/>
      <c r="E476" s="33"/>
    </row>
    <row r="477" spans="1:5">
      <c r="A477" s="29"/>
      <c r="B477" s="30"/>
      <c r="C477" s="31"/>
      <c r="D477" s="32"/>
      <c r="E477" s="33"/>
    </row>
    <row r="478" spans="1:5">
      <c r="A478" s="29"/>
      <c r="B478" s="30"/>
      <c r="C478" s="31"/>
      <c r="D478" s="32"/>
      <c r="E478" s="33"/>
    </row>
    <row r="479" spans="1:5">
      <c r="A479" s="29"/>
      <c r="B479" s="30"/>
      <c r="C479" s="31"/>
      <c r="D479" s="32"/>
      <c r="E479" s="33"/>
    </row>
    <row r="480" spans="1:5">
      <c r="A480" s="29"/>
      <c r="B480" s="30"/>
      <c r="C480" s="31"/>
      <c r="D480" s="32"/>
      <c r="E480" s="33"/>
    </row>
    <row r="481" spans="1:5">
      <c r="A481" s="29"/>
      <c r="B481" s="30"/>
      <c r="C481" s="31"/>
      <c r="D481" s="32"/>
      <c r="E481" s="33"/>
    </row>
    <row r="482" spans="1:5">
      <c r="A482" s="29"/>
      <c r="B482" s="30"/>
      <c r="C482" s="31"/>
      <c r="D482" s="32"/>
      <c r="E482" s="33"/>
    </row>
    <row r="483" spans="1:5">
      <c r="A483" s="29"/>
      <c r="B483" s="30"/>
      <c r="C483" s="31"/>
      <c r="D483" s="32"/>
      <c r="E483" s="33"/>
    </row>
    <row r="484" spans="1:5">
      <c r="A484" s="29"/>
      <c r="B484" s="30"/>
      <c r="C484" s="31"/>
      <c r="D484" s="32"/>
      <c r="E484" s="33"/>
    </row>
    <row r="485" spans="1:5">
      <c r="A485" s="29"/>
      <c r="B485" s="30"/>
      <c r="C485" s="31"/>
      <c r="D485" s="32"/>
      <c r="E485" s="33"/>
    </row>
    <row r="486" spans="1:5">
      <c r="A486" s="29"/>
      <c r="B486" s="30"/>
      <c r="C486" s="31"/>
      <c r="D486" s="32"/>
      <c r="E486" s="33"/>
    </row>
    <row r="487" spans="1:5">
      <c r="A487" s="29"/>
      <c r="B487" s="30"/>
      <c r="C487" s="31"/>
      <c r="D487" s="32"/>
      <c r="E487" s="33"/>
    </row>
    <row r="488" spans="1:5">
      <c r="A488" s="29"/>
      <c r="B488" s="30"/>
      <c r="C488" s="31"/>
      <c r="D488" s="32"/>
      <c r="E488" s="33"/>
    </row>
    <row r="489" spans="1:5">
      <c r="A489" s="29"/>
      <c r="B489" s="30"/>
      <c r="C489" s="31"/>
      <c r="D489" s="32"/>
      <c r="E489" s="33"/>
    </row>
    <row r="490" spans="1:5">
      <c r="A490" s="29"/>
      <c r="B490" s="30"/>
      <c r="C490" s="31"/>
      <c r="D490" s="32"/>
      <c r="E490" s="33"/>
    </row>
    <row r="491" spans="1:5">
      <c r="A491" s="29"/>
      <c r="B491" s="30"/>
      <c r="C491" s="31"/>
      <c r="D491" s="32"/>
      <c r="E491" s="33"/>
    </row>
    <row r="492" spans="1:5">
      <c r="A492" s="29"/>
      <c r="B492" s="30"/>
      <c r="C492" s="31"/>
      <c r="D492" s="32"/>
      <c r="E492" s="33"/>
    </row>
    <row r="493" spans="1:5">
      <c r="A493" s="29"/>
      <c r="B493" s="30"/>
      <c r="C493" s="31"/>
      <c r="D493" s="32"/>
      <c r="E493" s="33"/>
    </row>
    <row r="494" spans="1:5">
      <c r="A494" s="29"/>
      <c r="B494" s="30"/>
      <c r="C494" s="31"/>
      <c r="D494" s="32"/>
      <c r="E494" s="33"/>
    </row>
    <row r="495" spans="1:5">
      <c r="A495" s="29"/>
      <c r="B495" s="30"/>
      <c r="C495" s="31"/>
      <c r="D495" s="32"/>
      <c r="E495" s="33"/>
    </row>
    <row r="496" spans="1:5">
      <c r="A496" s="29"/>
      <c r="B496" s="30"/>
      <c r="C496" s="31"/>
      <c r="D496" s="32"/>
      <c r="E496" s="33"/>
    </row>
    <row r="497" spans="1:5">
      <c r="A497" s="29"/>
      <c r="B497" s="30"/>
      <c r="C497" s="31"/>
      <c r="D497" s="32"/>
      <c r="E497" s="33"/>
    </row>
    <row r="498" spans="1:5">
      <c r="A498" s="29"/>
      <c r="B498" s="30"/>
      <c r="C498" s="31"/>
      <c r="D498" s="32"/>
      <c r="E498" s="33"/>
    </row>
    <row r="499" spans="1:5">
      <c r="A499" s="29"/>
      <c r="B499" s="30"/>
      <c r="C499" s="31"/>
      <c r="D499" s="32"/>
      <c r="E499" s="33"/>
    </row>
    <row r="500" spans="1:5">
      <c r="A500" s="29"/>
      <c r="B500" s="30"/>
      <c r="C500" s="31"/>
      <c r="D500" s="32"/>
      <c r="E500" s="33"/>
    </row>
    <row r="501" spans="1:5">
      <c r="A501" s="29"/>
      <c r="B501" s="30"/>
      <c r="C501" s="31"/>
      <c r="D501" s="32"/>
      <c r="E501" s="33"/>
    </row>
    <row r="502" spans="1:5">
      <c r="A502" s="29"/>
      <c r="B502" s="30"/>
      <c r="C502" s="31"/>
      <c r="D502" s="32"/>
      <c r="E502" s="33"/>
    </row>
    <row r="503" spans="1:5">
      <c r="A503" s="29"/>
      <c r="B503" s="30"/>
      <c r="C503" s="31"/>
      <c r="D503" s="32"/>
      <c r="E503" s="33"/>
    </row>
    <row r="504" spans="1:5">
      <c r="A504" s="29"/>
      <c r="B504" s="30"/>
      <c r="C504" s="31"/>
      <c r="D504" s="32"/>
      <c r="E504" s="33"/>
    </row>
    <row r="505" spans="1:5">
      <c r="A505" s="29"/>
      <c r="B505" s="30"/>
      <c r="C505" s="31"/>
      <c r="D505" s="32"/>
      <c r="E505" s="33"/>
    </row>
    <row r="506" spans="1:5">
      <c r="A506" s="29"/>
      <c r="B506" s="30"/>
      <c r="C506" s="31"/>
      <c r="D506" s="32"/>
      <c r="E506" s="33"/>
    </row>
    <row r="507" spans="1:5">
      <c r="A507" s="29"/>
      <c r="B507" s="30"/>
      <c r="C507" s="31"/>
      <c r="D507" s="32"/>
      <c r="E507" s="33"/>
    </row>
    <row r="508" spans="1:5">
      <c r="A508" s="29"/>
      <c r="B508" s="30"/>
      <c r="C508" s="31"/>
      <c r="D508" s="32"/>
      <c r="E508" s="33"/>
    </row>
    <row r="509" spans="1:5">
      <c r="A509" s="29"/>
      <c r="B509" s="30"/>
      <c r="C509" s="31"/>
      <c r="D509" s="32"/>
      <c r="E509" s="33"/>
    </row>
    <row r="510" spans="1:5">
      <c r="A510" s="29"/>
      <c r="B510" s="30"/>
      <c r="C510" s="31"/>
      <c r="D510" s="32"/>
      <c r="E510" s="33"/>
    </row>
    <row r="511" spans="1:5">
      <c r="A511" s="29"/>
      <c r="B511" s="30"/>
      <c r="C511" s="31"/>
      <c r="D511" s="32"/>
      <c r="E511" s="33"/>
    </row>
    <row r="512" spans="1:5">
      <c r="A512" s="29"/>
      <c r="B512" s="30"/>
      <c r="C512" s="31"/>
      <c r="D512" s="32"/>
      <c r="E512" s="33"/>
    </row>
    <row r="513" spans="1:5">
      <c r="A513" s="29"/>
      <c r="B513" s="30"/>
      <c r="C513" s="31"/>
      <c r="D513" s="32"/>
      <c r="E513" s="33"/>
    </row>
    <row r="514" spans="1:5">
      <c r="A514" s="29"/>
      <c r="B514" s="30"/>
      <c r="C514" s="31"/>
      <c r="D514" s="32"/>
      <c r="E514" s="33"/>
    </row>
    <row r="515" spans="1:5">
      <c r="A515" s="29"/>
      <c r="B515" s="30"/>
      <c r="C515" s="31"/>
      <c r="D515" s="32"/>
      <c r="E515" s="33"/>
    </row>
    <row r="516" spans="1:5">
      <c r="A516" s="29"/>
      <c r="B516" s="30"/>
      <c r="C516" s="31"/>
      <c r="D516" s="32"/>
      <c r="E516" s="33"/>
    </row>
    <row r="517" spans="1:5">
      <c r="A517" s="29"/>
      <c r="B517" s="30"/>
      <c r="C517" s="31"/>
      <c r="D517" s="32"/>
      <c r="E517" s="33"/>
    </row>
    <row r="518" spans="1:5">
      <c r="A518" s="29"/>
      <c r="B518" s="30"/>
      <c r="C518" s="31"/>
      <c r="D518" s="32"/>
      <c r="E518" s="33"/>
    </row>
    <row r="519" spans="1:5">
      <c r="A519" s="29"/>
      <c r="B519" s="30"/>
      <c r="C519" s="31"/>
      <c r="D519" s="32"/>
      <c r="E519" s="33"/>
    </row>
    <row r="520" spans="1:5">
      <c r="A520" s="29"/>
      <c r="B520" s="30"/>
      <c r="C520" s="31"/>
      <c r="D520" s="32"/>
      <c r="E520" s="33"/>
    </row>
    <row r="521" spans="1:5">
      <c r="A521" s="29"/>
      <c r="B521" s="30"/>
      <c r="C521" s="31"/>
      <c r="D521" s="32"/>
      <c r="E521" s="33"/>
    </row>
    <row r="522" spans="1:5">
      <c r="A522" s="29"/>
      <c r="B522" s="30"/>
      <c r="C522" s="31"/>
      <c r="D522" s="32"/>
      <c r="E522" s="33"/>
    </row>
    <row r="523" spans="1:5">
      <c r="A523" s="29"/>
      <c r="B523" s="30"/>
      <c r="C523" s="31"/>
      <c r="D523" s="32"/>
      <c r="E523" s="33"/>
    </row>
    <row r="524" spans="1:5">
      <c r="A524" s="29"/>
      <c r="B524" s="30"/>
      <c r="C524" s="31"/>
      <c r="D524" s="32"/>
      <c r="E524" s="33"/>
    </row>
    <row r="525" spans="1:5">
      <c r="A525" s="29"/>
      <c r="B525" s="30"/>
      <c r="C525" s="31"/>
      <c r="D525" s="32"/>
      <c r="E525" s="33"/>
    </row>
    <row r="526" spans="1:5">
      <c r="A526" s="29"/>
      <c r="B526" s="30"/>
      <c r="C526" s="31"/>
      <c r="D526" s="32"/>
      <c r="E526" s="33"/>
    </row>
    <row r="527" spans="1:5">
      <c r="A527" s="29"/>
      <c r="B527" s="30"/>
      <c r="C527" s="31"/>
      <c r="D527" s="32"/>
      <c r="E527" s="33"/>
    </row>
    <row r="528" spans="1:5">
      <c r="A528" s="29"/>
      <c r="B528" s="30"/>
      <c r="C528" s="31"/>
      <c r="D528" s="32"/>
      <c r="E528" s="33"/>
    </row>
    <row r="529" spans="1:5">
      <c r="A529" s="29"/>
      <c r="B529" s="30"/>
      <c r="C529" s="31"/>
      <c r="D529" s="32"/>
      <c r="E529" s="33"/>
    </row>
    <row r="530" spans="1:5">
      <c r="A530" s="29"/>
      <c r="B530" s="30"/>
      <c r="C530" s="31"/>
      <c r="D530" s="32"/>
      <c r="E530" s="33"/>
    </row>
    <row r="531" spans="1:5">
      <c r="A531" s="29"/>
      <c r="B531" s="30"/>
      <c r="C531" s="31"/>
      <c r="D531" s="32"/>
      <c r="E531" s="33"/>
    </row>
    <row r="532" spans="1:5">
      <c r="A532" s="29"/>
      <c r="B532" s="30"/>
      <c r="C532" s="31"/>
      <c r="D532" s="32"/>
      <c r="E532" s="33"/>
    </row>
    <row r="533" spans="1:5">
      <c r="A533" s="29"/>
      <c r="B533" s="30"/>
      <c r="C533" s="31"/>
      <c r="D533" s="32"/>
      <c r="E533" s="33"/>
    </row>
    <row r="534" spans="1:5">
      <c r="A534" s="29"/>
      <c r="B534" s="30"/>
      <c r="C534" s="31"/>
      <c r="D534" s="32"/>
      <c r="E534" s="33"/>
    </row>
    <row r="535" spans="1:5">
      <c r="A535" s="29"/>
      <c r="B535" s="30"/>
      <c r="C535" s="31"/>
      <c r="D535" s="32"/>
      <c r="E535" s="33"/>
    </row>
    <row r="536" spans="1:5">
      <c r="A536" s="29"/>
      <c r="B536" s="30"/>
      <c r="C536" s="31"/>
      <c r="D536" s="32"/>
      <c r="E536" s="33"/>
    </row>
    <row r="537" spans="1:5">
      <c r="A537" s="29"/>
      <c r="B537" s="30"/>
      <c r="C537" s="31"/>
      <c r="D537" s="32"/>
      <c r="E537" s="33"/>
    </row>
    <row r="538" spans="1:5">
      <c r="A538" s="29"/>
      <c r="B538" s="30"/>
      <c r="C538" s="31"/>
      <c r="D538" s="32"/>
      <c r="E538" s="33"/>
    </row>
    <row r="539" spans="1:5">
      <c r="A539" s="29"/>
      <c r="B539" s="30"/>
      <c r="C539" s="31"/>
      <c r="D539" s="32"/>
      <c r="E539" s="33"/>
    </row>
    <row r="540" spans="1:5">
      <c r="A540" s="29"/>
      <c r="B540" s="30"/>
      <c r="C540" s="31"/>
      <c r="D540" s="32"/>
      <c r="E540" s="33"/>
    </row>
    <row r="541" spans="1:5">
      <c r="A541" s="29"/>
      <c r="B541" s="30"/>
      <c r="C541" s="31"/>
      <c r="D541" s="32"/>
      <c r="E541" s="33"/>
    </row>
    <row r="542" spans="1:5">
      <c r="A542" s="29"/>
      <c r="B542" s="30"/>
      <c r="C542" s="31"/>
      <c r="D542" s="32"/>
      <c r="E542" s="33"/>
    </row>
    <row r="543" spans="1:5">
      <c r="A543" s="29"/>
      <c r="B543" s="30"/>
      <c r="C543" s="31"/>
      <c r="D543" s="32"/>
      <c r="E543" s="33"/>
    </row>
    <row r="544" spans="1:5">
      <c r="A544" s="29"/>
      <c r="B544" s="30"/>
      <c r="C544" s="31"/>
      <c r="D544" s="32"/>
      <c r="E544" s="33"/>
    </row>
    <row r="545" spans="1:5">
      <c r="A545" s="29"/>
      <c r="B545" s="30"/>
      <c r="C545" s="31"/>
      <c r="D545" s="32"/>
      <c r="E545" s="33"/>
    </row>
    <row r="546" spans="1:5">
      <c r="A546" s="29"/>
      <c r="B546" s="30"/>
      <c r="C546" s="31"/>
      <c r="D546" s="32"/>
      <c r="E546" s="33"/>
    </row>
    <row r="547" spans="1:5">
      <c r="A547" s="29"/>
      <c r="B547" s="30"/>
      <c r="C547" s="31"/>
      <c r="D547" s="32"/>
      <c r="E547" s="33"/>
    </row>
    <row r="548" spans="1:5">
      <c r="A548" s="29"/>
      <c r="B548" s="30"/>
      <c r="C548" s="31"/>
      <c r="D548" s="32"/>
      <c r="E548" s="33"/>
    </row>
    <row r="549" spans="1:5">
      <c r="A549" s="29"/>
      <c r="B549" s="30"/>
      <c r="C549" s="31"/>
      <c r="D549" s="32"/>
      <c r="E549" s="33"/>
    </row>
    <row r="550" spans="1:5">
      <c r="A550" s="29"/>
      <c r="B550" s="30"/>
      <c r="C550" s="31"/>
      <c r="D550" s="32"/>
      <c r="E550" s="33"/>
    </row>
    <row r="551" spans="1:5">
      <c r="A551" s="29"/>
      <c r="B551" s="30"/>
      <c r="C551" s="31"/>
      <c r="D551" s="32"/>
      <c r="E551" s="33"/>
    </row>
    <row r="552" spans="1:5">
      <c r="A552" s="29"/>
      <c r="B552" s="30"/>
      <c r="C552" s="31"/>
      <c r="D552" s="32"/>
      <c r="E552" s="33"/>
    </row>
    <row r="553" spans="1:5">
      <c r="A553" s="29"/>
      <c r="B553" s="30"/>
      <c r="C553" s="31"/>
      <c r="D553" s="32"/>
      <c r="E553" s="33"/>
    </row>
    <row r="554" spans="1:5">
      <c r="A554" s="29"/>
      <c r="B554" s="30"/>
      <c r="C554" s="31"/>
      <c r="D554" s="32"/>
      <c r="E554" s="33"/>
    </row>
    <row r="555" spans="1:5">
      <c r="A555" s="29"/>
      <c r="B555" s="30"/>
      <c r="C555" s="31"/>
      <c r="D555" s="32"/>
      <c r="E555" s="33"/>
    </row>
    <row r="556" spans="1:5">
      <c r="A556" s="29"/>
      <c r="B556" s="30"/>
      <c r="C556" s="31"/>
      <c r="D556" s="32"/>
      <c r="E556" s="33"/>
    </row>
    <row r="557" spans="1:5">
      <c r="A557" s="29"/>
      <c r="B557" s="30"/>
      <c r="C557" s="31"/>
      <c r="D557" s="32"/>
      <c r="E557" s="33"/>
    </row>
    <row r="558" spans="1:5">
      <c r="A558" s="29"/>
      <c r="B558" s="30"/>
      <c r="C558" s="31"/>
      <c r="D558" s="32"/>
      <c r="E558" s="33"/>
    </row>
    <row r="559" spans="1:5">
      <c r="A559" s="29"/>
      <c r="B559" s="30"/>
      <c r="C559" s="31"/>
      <c r="D559" s="32"/>
      <c r="E559" s="33"/>
    </row>
    <row r="560" spans="1:5">
      <c r="A560" s="29"/>
      <c r="B560" s="30"/>
      <c r="C560" s="31"/>
      <c r="D560" s="32"/>
      <c r="E560" s="33"/>
    </row>
    <row r="561" spans="1:5">
      <c r="A561" s="29"/>
      <c r="B561" s="30"/>
      <c r="C561" s="31"/>
      <c r="D561" s="32"/>
      <c r="E561" s="33"/>
    </row>
    <row r="562" spans="1:5">
      <c r="A562" s="29"/>
      <c r="B562" s="30"/>
      <c r="C562" s="31"/>
      <c r="D562" s="32"/>
      <c r="E562" s="33"/>
    </row>
    <row r="563" spans="1:5">
      <c r="A563" s="29"/>
      <c r="B563" s="30"/>
      <c r="C563" s="31"/>
      <c r="D563" s="32"/>
      <c r="E563" s="33"/>
    </row>
    <row r="564" spans="1:5">
      <c r="A564" s="29"/>
      <c r="B564" s="30"/>
      <c r="C564" s="31"/>
      <c r="D564" s="32"/>
      <c r="E564" s="33"/>
    </row>
    <row r="565" spans="1:5">
      <c r="A565" s="29"/>
      <c r="B565" s="30"/>
      <c r="C565" s="31"/>
      <c r="D565" s="32"/>
      <c r="E565" s="33"/>
    </row>
    <row r="566" spans="1:5">
      <c r="A566" s="29"/>
      <c r="B566" s="30"/>
      <c r="C566" s="31"/>
      <c r="D566" s="32"/>
      <c r="E566" s="33"/>
    </row>
    <row r="567" spans="1:5">
      <c r="A567" s="29"/>
      <c r="B567" s="30"/>
      <c r="C567" s="31"/>
      <c r="D567" s="32"/>
      <c r="E567" s="33"/>
    </row>
    <row r="568" spans="1:5">
      <c r="A568" s="29"/>
      <c r="B568" s="30"/>
      <c r="C568" s="31"/>
      <c r="D568" s="32"/>
      <c r="E568" s="33"/>
    </row>
    <row r="569" spans="1:5">
      <c r="A569" s="29"/>
      <c r="B569" s="30"/>
      <c r="C569" s="31"/>
      <c r="D569" s="32"/>
      <c r="E569" s="33"/>
    </row>
    <row r="570" spans="1:5">
      <c r="A570" s="29"/>
      <c r="B570" s="30"/>
      <c r="C570" s="31"/>
      <c r="D570" s="32"/>
      <c r="E570" s="33"/>
    </row>
    <row r="571" spans="1:5">
      <c r="A571" s="29"/>
      <c r="B571" s="30"/>
      <c r="C571" s="31"/>
      <c r="D571" s="32"/>
      <c r="E571" s="33"/>
    </row>
    <row r="572" spans="1:5">
      <c r="A572" s="29"/>
      <c r="B572" s="30"/>
      <c r="C572" s="31"/>
      <c r="D572" s="32"/>
      <c r="E572" s="33"/>
    </row>
    <row r="573" spans="1:5">
      <c r="A573" s="29"/>
      <c r="B573" s="30"/>
      <c r="C573" s="31"/>
      <c r="D573" s="32"/>
      <c r="E573" s="33"/>
    </row>
    <row r="574" spans="1:5">
      <c r="A574" s="29"/>
      <c r="B574" s="30"/>
      <c r="C574" s="31"/>
      <c r="D574" s="32"/>
      <c r="E574" s="33"/>
    </row>
    <row r="575" spans="1:5">
      <c r="A575" s="29"/>
      <c r="B575" s="30"/>
      <c r="C575" s="31"/>
      <c r="D575" s="32"/>
      <c r="E575" s="33"/>
    </row>
    <row r="576" spans="1:5">
      <c r="A576" s="29"/>
      <c r="B576" s="30"/>
      <c r="C576" s="31"/>
      <c r="D576" s="32"/>
      <c r="E576" s="33"/>
    </row>
    <row r="577" spans="1:5">
      <c r="A577" s="29"/>
      <c r="B577" s="30"/>
      <c r="C577" s="31"/>
      <c r="D577" s="32"/>
      <c r="E577" s="33"/>
    </row>
    <row r="578" spans="1:5">
      <c r="A578" s="29"/>
      <c r="B578" s="30"/>
      <c r="C578" s="31"/>
      <c r="D578" s="32"/>
      <c r="E578" s="33"/>
    </row>
    <row r="579" spans="1:5">
      <c r="A579" s="29"/>
      <c r="B579" s="30"/>
      <c r="C579" s="31"/>
      <c r="D579" s="32"/>
      <c r="E579" s="33"/>
    </row>
    <row r="580" spans="1:5">
      <c r="A580" s="29"/>
      <c r="B580" s="30"/>
      <c r="C580" s="31"/>
      <c r="D580" s="32"/>
      <c r="E580" s="33"/>
    </row>
    <row r="581" spans="1:5">
      <c r="A581" s="29"/>
      <c r="B581" s="30"/>
      <c r="C581" s="31"/>
      <c r="D581" s="32"/>
      <c r="E581" s="33"/>
    </row>
    <row r="582" spans="1:5">
      <c r="A582" s="29"/>
      <c r="B582" s="30"/>
      <c r="C582" s="31"/>
      <c r="D582" s="32"/>
      <c r="E582" s="33"/>
    </row>
    <row r="583" spans="1:5">
      <c r="A583" s="29"/>
      <c r="B583" s="30"/>
      <c r="C583" s="31"/>
      <c r="D583" s="32"/>
      <c r="E583" s="33"/>
    </row>
    <row r="584" spans="1:5">
      <c r="A584" s="29"/>
      <c r="B584" s="30"/>
      <c r="C584" s="31"/>
      <c r="D584" s="32"/>
      <c r="E584" s="33"/>
    </row>
    <row r="585" spans="1:5">
      <c r="A585" s="29"/>
      <c r="B585" s="30"/>
      <c r="C585" s="31"/>
      <c r="D585" s="32"/>
      <c r="E585" s="33"/>
    </row>
    <row r="586" spans="1:5">
      <c r="A586" s="29"/>
      <c r="B586" s="30"/>
      <c r="C586" s="31"/>
      <c r="D586" s="32"/>
      <c r="E586" s="33"/>
    </row>
    <row r="587" spans="1:5">
      <c r="A587" s="29"/>
      <c r="B587" s="30"/>
      <c r="C587" s="31"/>
      <c r="D587" s="32"/>
      <c r="E587" s="33"/>
    </row>
    <row r="588" spans="1:5">
      <c r="A588" s="29"/>
      <c r="B588" s="30"/>
      <c r="C588" s="31"/>
      <c r="D588" s="32"/>
      <c r="E588" s="33"/>
    </row>
    <row r="589" spans="1:5">
      <c r="A589" s="29"/>
      <c r="B589" s="30"/>
      <c r="C589" s="31"/>
      <c r="D589" s="32"/>
      <c r="E589" s="33"/>
    </row>
    <row r="590" spans="1:5">
      <c r="A590" s="29"/>
      <c r="B590" s="30"/>
      <c r="C590" s="31"/>
      <c r="D590" s="32"/>
      <c r="E590" s="33"/>
    </row>
    <row r="591" spans="1:5">
      <c r="A591" s="29"/>
      <c r="B591" s="30"/>
      <c r="C591" s="31"/>
      <c r="D591" s="32"/>
      <c r="E591" s="33"/>
    </row>
    <row r="592" spans="1:5">
      <c r="A592" s="29"/>
      <c r="B592" s="30"/>
      <c r="C592" s="31"/>
      <c r="D592" s="32"/>
      <c r="E592" s="33"/>
    </row>
    <row r="593" spans="1:5">
      <c r="A593" s="29"/>
      <c r="B593" s="30"/>
      <c r="C593" s="31"/>
      <c r="D593" s="32"/>
      <c r="E593" s="33"/>
    </row>
    <row r="594" spans="1:5">
      <c r="A594" s="29"/>
      <c r="B594" s="30"/>
      <c r="C594" s="31"/>
      <c r="D594" s="32"/>
      <c r="E594" s="33"/>
    </row>
    <row r="595" spans="1:5">
      <c r="A595" s="29"/>
      <c r="B595" s="30"/>
      <c r="C595" s="31"/>
      <c r="D595" s="32"/>
      <c r="E595" s="33"/>
    </row>
    <row r="596" spans="1:5">
      <c r="A596" s="29"/>
      <c r="B596" s="30"/>
      <c r="C596" s="31"/>
      <c r="D596" s="32"/>
      <c r="E596" s="33"/>
    </row>
    <row r="597" spans="1:5">
      <c r="A597" s="29"/>
      <c r="B597" s="30"/>
      <c r="C597" s="31"/>
      <c r="D597" s="32"/>
      <c r="E597" s="33"/>
    </row>
    <row r="598" spans="1:5">
      <c r="A598" s="29"/>
      <c r="B598" s="30"/>
      <c r="C598" s="31"/>
      <c r="D598" s="32"/>
      <c r="E598" s="33"/>
    </row>
    <row r="599" spans="1:5">
      <c r="A599" s="29"/>
      <c r="B599" s="30"/>
      <c r="C599" s="31"/>
      <c r="D599" s="32"/>
      <c r="E599" s="33"/>
    </row>
    <row r="600" spans="1:5">
      <c r="A600" s="29"/>
      <c r="B600" s="30"/>
      <c r="C600" s="31"/>
      <c r="D600" s="32"/>
      <c r="E600" s="33"/>
    </row>
    <row r="601" spans="1:5">
      <c r="A601" s="29"/>
      <c r="B601" s="30"/>
      <c r="C601" s="31"/>
      <c r="D601" s="32"/>
      <c r="E601" s="33"/>
    </row>
    <row r="602" spans="1:5">
      <c r="A602" s="29"/>
      <c r="B602" s="30"/>
      <c r="C602" s="31"/>
      <c r="D602" s="32"/>
      <c r="E602" s="33"/>
    </row>
    <row r="603" spans="1:5">
      <c r="A603" s="29"/>
      <c r="B603" s="30"/>
      <c r="C603" s="31"/>
      <c r="D603" s="32"/>
      <c r="E603" s="33"/>
    </row>
    <row r="604" spans="1:5">
      <c r="A604" s="29"/>
      <c r="B604" s="30"/>
      <c r="C604" s="31"/>
      <c r="D604" s="32"/>
      <c r="E604" s="33"/>
    </row>
    <row r="605" spans="1:5">
      <c r="A605" s="29"/>
      <c r="B605" s="30"/>
      <c r="C605" s="31"/>
      <c r="D605" s="32"/>
      <c r="E605" s="33"/>
    </row>
    <row r="606" spans="1:5">
      <c r="A606" s="29"/>
      <c r="B606" s="30"/>
      <c r="C606" s="31"/>
      <c r="D606" s="32"/>
      <c r="E606" s="33"/>
    </row>
    <row r="607" spans="1:5">
      <c r="A607" s="29"/>
      <c r="B607" s="30"/>
      <c r="C607" s="31"/>
      <c r="D607" s="32"/>
      <c r="E607" s="33"/>
    </row>
    <row r="608" spans="1:5">
      <c r="A608" s="29"/>
      <c r="B608" s="30"/>
      <c r="C608" s="31"/>
      <c r="D608" s="32"/>
      <c r="E608" s="33"/>
    </row>
    <row r="609" spans="1:5">
      <c r="A609" s="29"/>
      <c r="B609" s="30"/>
      <c r="C609" s="31"/>
      <c r="D609" s="32"/>
      <c r="E609" s="33"/>
    </row>
    <row r="610" spans="1:5">
      <c r="A610" s="29"/>
      <c r="B610" s="30"/>
      <c r="C610" s="31"/>
      <c r="D610" s="32"/>
      <c r="E610" s="33"/>
    </row>
    <row r="611" spans="1:5">
      <c r="A611" s="29"/>
      <c r="B611" s="30"/>
      <c r="C611" s="31"/>
      <c r="D611" s="32"/>
      <c r="E611" s="33"/>
    </row>
    <row r="612" spans="1:5">
      <c r="A612" s="29"/>
      <c r="B612" s="30"/>
      <c r="C612" s="31"/>
      <c r="D612" s="32"/>
      <c r="E612" s="33"/>
    </row>
    <row r="613" spans="1:5">
      <c r="A613" s="29"/>
      <c r="B613" s="30"/>
      <c r="C613" s="31"/>
      <c r="D613" s="32"/>
      <c r="E613" s="33"/>
    </row>
    <row r="614" spans="1:5">
      <c r="A614" s="29"/>
      <c r="B614" s="30"/>
      <c r="C614" s="31"/>
      <c r="D614" s="32"/>
      <c r="E614" s="33"/>
    </row>
    <row r="615" spans="1:5">
      <c r="A615" s="29"/>
      <c r="B615" s="30"/>
      <c r="C615" s="31"/>
      <c r="D615" s="32"/>
      <c r="E615" s="33"/>
    </row>
    <row r="616" spans="1:5">
      <c r="A616" s="29"/>
      <c r="B616" s="30"/>
      <c r="C616" s="31"/>
      <c r="D616" s="32"/>
      <c r="E616" s="33"/>
    </row>
    <row r="617" spans="1:5">
      <c r="A617" s="29"/>
      <c r="B617" s="30"/>
      <c r="C617" s="31"/>
      <c r="D617" s="32"/>
      <c r="E617" s="33"/>
    </row>
    <row r="618" spans="1:5">
      <c r="A618" s="29"/>
      <c r="B618" s="30"/>
      <c r="C618" s="31"/>
      <c r="D618" s="32"/>
      <c r="E618" s="33"/>
    </row>
    <row r="619" spans="1:5">
      <c r="A619" s="29"/>
      <c r="B619" s="30"/>
      <c r="C619" s="31"/>
      <c r="D619" s="32"/>
      <c r="E619" s="33"/>
    </row>
    <row r="620" spans="1:5">
      <c r="A620" s="29"/>
      <c r="B620" s="30"/>
      <c r="C620" s="31"/>
      <c r="D620" s="32"/>
      <c r="E620" s="33"/>
    </row>
    <row r="621" spans="1:5">
      <c r="A621" s="29"/>
      <c r="B621" s="30"/>
      <c r="C621" s="31"/>
      <c r="D621" s="32"/>
      <c r="E621" s="33"/>
    </row>
    <row r="622" spans="1:5">
      <c r="A622" s="29"/>
      <c r="B622" s="30"/>
      <c r="C622" s="31"/>
      <c r="D622" s="32"/>
      <c r="E622" s="33"/>
    </row>
    <row r="623" spans="1:5">
      <c r="A623" s="29"/>
      <c r="B623" s="30"/>
      <c r="C623" s="31"/>
      <c r="D623" s="32"/>
      <c r="E623" s="33"/>
    </row>
    <row r="624" spans="1:5">
      <c r="A624" s="29"/>
      <c r="B624" s="30"/>
      <c r="C624" s="31"/>
      <c r="D624" s="32"/>
      <c r="E624" s="33"/>
    </row>
    <row r="625" spans="1:5">
      <c r="A625" s="29"/>
      <c r="B625" s="30"/>
      <c r="C625" s="31"/>
      <c r="D625" s="32"/>
      <c r="E625" s="33"/>
    </row>
    <row r="626" spans="1:5">
      <c r="A626" s="29"/>
      <c r="B626" s="30"/>
      <c r="C626" s="31"/>
      <c r="D626" s="32"/>
      <c r="E626" s="33"/>
    </row>
    <row r="627" spans="1:5">
      <c r="A627" s="29"/>
      <c r="B627" s="30"/>
      <c r="C627" s="31"/>
      <c r="D627" s="32"/>
      <c r="E627" s="33"/>
    </row>
    <row r="628" spans="1:5">
      <c r="A628" s="29"/>
      <c r="B628" s="30"/>
      <c r="C628" s="31"/>
      <c r="D628" s="32"/>
      <c r="E628" s="33"/>
    </row>
    <row r="629" spans="1:5">
      <c r="A629" s="29"/>
      <c r="B629" s="30"/>
      <c r="C629" s="31"/>
      <c r="D629" s="32"/>
      <c r="E629" s="33"/>
    </row>
    <row r="630" spans="1:5">
      <c r="A630" s="29"/>
      <c r="B630" s="30"/>
      <c r="C630" s="31"/>
      <c r="D630" s="32"/>
      <c r="E630" s="33"/>
    </row>
    <row r="631" spans="1:5">
      <c r="A631" s="29"/>
      <c r="B631" s="30"/>
      <c r="C631" s="31"/>
      <c r="D631" s="32"/>
      <c r="E631" s="33"/>
    </row>
    <row r="632" spans="1:5">
      <c r="A632" s="29"/>
      <c r="B632" s="30"/>
      <c r="C632" s="31"/>
      <c r="D632" s="32"/>
      <c r="E632" s="33"/>
    </row>
    <row r="633" spans="1:5">
      <c r="A633" s="29"/>
      <c r="B633" s="30"/>
      <c r="C633" s="31"/>
      <c r="D633" s="32"/>
      <c r="E633" s="33"/>
    </row>
    <row r="634" spans="1:5">
      <c r="A634" s="29"/>
      <c r="B634" s="30"/>
      <c r="C634" s="31"/>
      <c r="D634" s="32"/>
      <c r="E634" s="33"/>
    </row>
    <row r="635" spans="1:5">
      <c r="A635" s="29"/>
      <c r="B635" s="30"/>
      <c r="C635" s="31"/>
      <c r="D635" s="32"/>
      <c r="E635" s="33"/>
    </row>
    <row r="636" spans="1:5">
      <c r="A636" s="29"/>
      <c r="B636" s="30"/>
      <c r="C636" s="31"/>
      <c r="D636" s="32"/>
      <c r="E636" s="33"/>
    </row>
    <row r="637" spans="1:5">
      <c r="A637" s="29"/>
      <c r="B637" s="30"/>
      <c r="C637" s="31"/>
      <c r="D637" s="32"/>
      <c r="E637" s="33"/>
    </row>
    <row r="638" spans="1:5">
      <c r="A638" s="29"/>
      <c r="B638" s="30"/>
      <c r="C638" s="31"/>
      <c r="D638" s="32"/>
      <c r="E638" s="33"/>
    </row>
    <row r="639" spans="1:5">
      <c r="A639" s="29"/>
      <c r="B639" s="30"/>
      <c r="C639" s="31"/>
      <c r="D639" s="32"/>
      <c r="E639" s="33"/>
    </row>
    <row r="640" spans="1:5">
      <c r="A640" s="29"/>
      <c r="B640" s="30"/>
      <c r="C640" s="31"/>
      <c r="D640" s="32"/>
      <c r="E640" s="33"/>
    </row>
    <row r="641" spans="1:5">
      <c r="A641" s="29"/>
      <c r="B641" s="30"/>
      <c r="C641" s="31"/>
      <c r="D641" s="32"/>
      <c r="E641" s="33"/>
    </row>
    <row r="642" spans="1:5">
      <c r="A642" s="29"/>
      <c r="B642" s="30"/>
      <c r="C642" s="31"/>
      <c r="D642" s="32"/>
      <c r="E642" s="33"/>
    </row>
    <row r="643" spans="1:5">
      <c r="A643" s="29"/>
      <c r="B643" s="30"/>
      <c r="C643" s="31"/>
      <c r="D643" s="32"/>
      <c r="E643" s="33"/>
    </row>
    <row r="644" spans="1:5">
      <c r="A644" s="29"/>
      <c r="B644" s="30"/>
      <c r="C644" s="31"/>
      <c r="D644" s="32"/>
      <c r="E644" s="33"/>
    </row>
    <row r="645" spans="1:5">
      <c r="A645" s="29"/>
      <c r="B645" s="30"/>
      <c r="C645" s="31"/>
      <c r="D645" s="32"/>
      <c r="E645" s="33"/>
    </row>
    <row r="646" spans="1:5">
      <c r="A646" s="29"/>
      <c r="B646" s="30"/>
      <c r="C646" s="31"/>
      <c r="D646" s="32"/>
      <c r="E646" s="33"/>
    </row>
    <row r="647" spans="1:5">
      <c r="A647" s="29"/>
      <c r="B647" s="30"/>
      <c r="C647" s="31"/>
      <c r="D647" s="32"/>
      <c r="E647" s="33"/>
    </row>
    <row r="648" spans="1:5">
      <c r="A648" s="29"/>
      <c r="B648" s="30"/>
      <c r="C648" s="31"/>
      <c r="D648" s="32"/>
      <c r="E648" s="33"/>
    </row>
    <row r="649" spans="1:5">
      <c r="A649" s="29"/>
      <c r="B649" s="30"/>
      <c r="C649" s="31"/>
      <c r="D649" s="32"/>
      <c r="E649" s="33"/>
    </row>
    <row r="650" spans="1:5">
      <c r="A650" s="29"/>
      <c r="B650" s="30"/>
      <c r="C650" s="31"/>
      <c r="D650" s="32"/>
      <c r="E650" s="33"/>
    </row>
    <row r="651" spans="1:5">
      <c r="A651" s="29"/>
      <c r="B651" s="30"/>
      <c r="C651" s="31"/>
      <c r="D651" s="32"/>
      <c r="E651" s="33"/>
    </row>
    <row r="652" spans="1:5">
      <c r="A652" s="29"/>
      <c r="B652" s="30"/>
      <c r="C652" s="31"/>
      <c r="D652" s="32"/>
      <c r="E652" s="33"/>
    </row>
    <row r="653" spans="1:5">
      <c r="A653" s="29"/>
      <c r="B653" s="30"/>
      <c r="C653" s="31"/>
      <c r="D653" s="32"/>
      <c r="E653" s="33"/>
    </row>
    <row r="654" spans="1:5">
      <c r="A654" s="29"/>
      <c r="B654" s="30"/>
      <c r="C654" s="31"/>
      <c r="D654" s="32"/>
      <c r="E654" s="33"/>
    </row>
    <row r="655" spans="1:5">
      <c r="A655" s="29"/>
      <c r="B655" s="30"/>
      <c r="C655" s="31"/>
      <c r="D655" s="32"/>
      <c r="E655" s="33"/>
    </row>
    <row r="656" spans="1:5">
      <c r="A656" s="29"/>
      <c r="B656" s="30"/>
      <c r="C656" s="31"/>
      <c r="D656" s="32"/>
      <c r="E656" s="33"/>
    </row>
    <row r="657" spans="1:5">
      <c r="A657" s="29"/>
      <c r="B657" s="30"/>
      <c r="C657" s="31"/>
      <c r="D657" s="32"/>
      <c r="E657" s="33"/>
    </row>
    <row r="658" spans="1:5">
      <c r="A658" s="29"/>
      <c r="B658" s="30"/>
      <c r="C658" s="31"/>
      <c r="D658" s="32"/>
      <c r="E658" s="33"/>
    </row>
    <row r="659" spans="1:5">
      <c r="A659" s="29"/>
      <c r="B659" s="30"/>
      <c r="C659" s="31"/>
      <c r="D659" s="32"/>
      <c r="E659" s="33"/>
    </row>
    <row r="660" spans="1:5">
      <c r="A660" s="29"/>
      <c r="B660" s="30"/>
      <c r="C660" s="31"/>
      <c r="D660" s="32"/>
      <c r="E660" s="33"/>
    </row>
    <row r="661" spans="1:5">
      <c r="A661" s="29"/>
      <c r="B661" s="30"/>
      <c r="C661" s="31"/>
      <c r="D661" s="32"/>
      <c r="E661" s="33"/>
    </row>
    <row r="662" spans="1:5">
      <c r="A662" s="29"/>
      <c r="B662" s="30"/>
      <c r="C662" s="31"/>
      <c r="D662" s="32"/>
      <c r="E662" s="33"/>
    </row>
    <row r="663" spans="1:5">
      <c r="A663" s="29"/>
      <c r="B663" s="30"/>
      <c r="C663" s="31"/>
      <c r="D663" s="32"/>
      <c r="E663" s="33"/>
    </row>
    <row r="664" spans="1:5">
      <c r="A664" s="29"/>
      <c r="B664" s="30"/>
      <c r="C664" s="31"/>
      <c r="D664" s="32"/>
      <c r="E664" s="33"/>
    </row>
    <row r="665" spans="1:5">
      <c r="A665" s="29"/>
      <c r="B665" s="30"/>
      <c r="C665" s="31"/>
      <c r="D665" s="32"/>
      <c r="E665" s="33"/>
    </row>
    <row r="666" spans="1:5">
      <c r="A666" s="29"/>
      <c r="B666" s="30"/>
      <c r="C666" s="31"/>
      <c r="D666" s="32"/>
      <c r="E666" s="33"/>
    </row>
    <row r="667" spans="1:5">
      <c r="A667" s="29"/>
      <c r="B667" s="30"/>
      <c r="C667" s="31"/>
      <c r="D667" s="32"/>
      <c r="E667" s="33"/>
    </row>
    <row r="668" spans="1:5">
      <c r="A668" s="29"/>
      <c r="B668" s="30"/>
      <c r="C668" s="31"/>
      <c r="D668" s="32"/>
      <c r="E668" s="33"/>
    </row>
    <row r="669" spans="1:5">
      <c r="A669" s="29"/>
      <c r="B669" s="30"/>
      <c r="C669" s="31"/>
      <c r="D669" s="32"/>
      <c r="E669" s="33"/>
    </row>
    <row r="670" spans="1:5">
      <c r="A670" s="29"/>
      <c r="B670" s="30"/>
      <c r="C670" s="31"/>
      <c r="D670" s="32"/>
      <c r="E670" s="33"/>
    </row>
    <row r="671" spans="1:5">
      <c r="A671" s="29"/>
      <c r="B671" s="30"/>
      <c r="C671" s="31"/>
      <c r="D671" s="32"/>
      <c r="E671" s="33"/>
    </row>
    <row r="672" spans="1:5">
      <c r="A672" s="29"/>
      <c r="B672" s="30"/>
      <c r="C672" s="31"/>
      <c r="D672" s="32"/>
      <c r="E672" s="33"/>
    </row>
    <row r="673" spans="1:5">
      <c r="A673" s="29"/>
      <c r="B673" s="30"/>
      <c r="C673" s="31"/>
      <c r="D673" s="32"/>
      <c r="E673" s="33"/>
    </row>
    <row r="674" spans="1:5">
      <c r="A674" s="29"/>
      <c r="B674" s="30"/>
      <c r="C674" s="31"/>
      <c r="D674" s="32"/>
      <c r="E674" s="33"/>
    </row>
    <row r="675" spans="1:5">
      <c r="A675" s="29"/>
      <c r="B675" s="30"/>
      <c r="C675" s="31"/>
      <c r="D675" s="32"/>
      <c r="E675" s="33"/>
    </row>
    <row r="676" spans="1:5">
      <c r="A676" s="29"/>
      <c r="B676" s="30"/>
      <c r="C676" s="31"/>
      <c r="D676" s="32"/>
      <c r="E676" s="33"/>
    </row>
    <row r="677" spans="1:5">
      <c r="A677" s="29"/>
      <c r="B677" s="30"/>
      <c r="C677" s="31"/>
      <c r="D677" s="32"/>
      <c r="E677" s="33"/>
    </row>
    <row r="678" spans="1:5">
      <c r="A678" s="29"/>
      <c r="B678" s="30"/>
      <c r="C678" s="31"/>
      <c r="D678" s="32"/>
      <c r="E678" s="33"/>
    </row>
    <row r="679" spans="1:5">
      <c r="A679" s="29"/>
      <c r="B679" s="30"/>
      <c r="C679" s="31"/>
      <c r="D679" s="32"/>
      <c r="E679" s="33"/>
    </row>
    <row r="680" spans="1:5">
      <c r="A680" s="29"/>
      <c r="B680" s="30"/>
      <c r="C680" s="31"/>
      <c r="D680" s="32"/>
      <c r="E680" s="33"/>
    </row>
    <row r="681" spans="1:5">
      <c r="A681" s="29"/>
      <c r="B681" s="30"/>
      <c r="C681" s="31"/>
      <c r="D681" s="32"/>
      <c r="E681" s="33"/>
    </row>
    <row r="682" spans="1:5">
      <c r="A682" s="29"/>
      <c r="B682" s="30"/>
      <c r="C682" s="31"/>
      <c r="D682" s="32"/>
      <c r="E682" s="33"/>
    </row>
    <row r="683" spans="1:5">
      <c r="A683" s="29"/>
      <c r="B683" s="30"/>
      <c r="C683" s="31"/>
      <c r="D683" s="32"/>
      <c r="E683" s="33"/>
    </row>
    <row r="684" spans="1:5">
      <c r="A684" s="29"/>
      <c r="B684" s="30"/>
      <c r="C684" s="31"/>
      <c r="D684" s="32"/>
      <c r="E684" s="33"/>
    </row>
    <row r="685" spans="1:5">
      <c r="A685" s="29"/>
      <c r="B685" s="30"/>
      <c r="C685" s="31"/>
      <c r="D685" s="32"/>
      <c r="E685" s="33"/>
    </row>
    <row r="686" spans="1:5">
      <c r="A686" s="29"/>
      <c r="B686" s="30"/>
      <c r="C686" s="31"/>
      <c r="D686" s="32"/>
      <c r="E686" s="33"/>
    </row>
    <row r="687" spans="1:5">
      <c r="A687" s="29"/>
      <c r="B687" s="30"/>
      <c r="C687" s="31"/>
      <c r="D687" s="32"/>
      <c r="E687" s="33"/>
    </row>
    <row r="688" spans="1:5">
      <c r="A688" s="29"/>
      <c r="B688" s="30"/>
      <c r="C688" s="31"/>
      <c r="D688" s="32"/>
      <c r="E688" s="33"/>
    </row>
    <row r="689" spans="1:5">
      <c r="A689" s="29"/>
      <c r="B689" s="30"/>
      <c r="C689" s="31"/>
      <c r="D689" s="32"/>
      <c r="E689" s="33"/>
    </row>
    <row r="690" spans="1:5">
      <c r="A690" s="29"/>
      <c r="B690" s="30"/>
      <c r="C690" s="31"/>
      <c r="D690" s="32"/>
      <c r="E690" s="33"/>
    </row>
    <row r="691" spans="1:5">
      <c r="A691" s="29"/>
      <c r="B691" s="30"/>
      <c r="C691" s="31"/>
      <c r="D691" s="32"/>
      <c r="E691" s="33"/>
    </row>
    <row r="692" spans="1:5">
      <c r="A692" s="29"/>
      <c r="B692" s="30"/>
      <c r="C692" s="31"/>
      <c r="D692" s="32"/>
      <c r="E692" s="33"/>
    </row>
    <row r="693" spans="1:5">
      <c r="A693" s="29"/>
      <c r="B693" s="30"/>
      <c r="C693" s="31"/>
      <c r="D693" s="32"/>
      <c r="E693" s="33"/>
    </row>
    <row r="694" spans="1:5">
      <c r="A694" s="29"/>
      <c r="B694" s="30"/>
      <c r="C694" s="31"/>
      <c r="D694" s="32"/>
      <c r="E694" s="33"/>
    </row>
    <row r="695" spans="1:5">
      <c r="A695" s="29"/>
      <c r="B695" s="30"/>
      <c r="C695" s="31"/>
      <c r="D695" s="32"/>
      <c r="E695" s="33"/>
    </row>
    <row r="696" spans="1:5">
      <c r="A696" s="29"/>
      <c r="B696" s="30"/>
      <c r="C696" s="31"/>
      <c r="D696" s="32"/>
      <c r="E696" s="33"/>
    </row>
    <row r="697" spans="1:5">
      <c r="A697" s="29"/>
      <c r="B697" s="30"/>
      <c r="C697" s="31"/>
      <c r="D697" s="32"/>
      <c r="E697" s="33"/>
    </row>
    <row r="698" spans="1:5">
      <c r="A698" s="29"/>
      <c r="B698" s="30"/>
      <c r="C698" s="31"/>
      <c r="D698" s="32"/>
      <c r="E698" s="33"/>
    </row>
    <row r="699" spans="1:5">
      <c r="A699" s="29"/>
      <c r="B699" s="30"/>
      <c r="C699" s="31"/>
      <c r="D699" s="32"/>
      <c r="E699" s="33"/>
    </row>
    <row r="700" spans="1:5">
      <c r="A700" s="29"/>
      <c r="B700" s="30"/>
      <c r="C700" s="31"/>
      <c r="D700" s="32"/>
      <c r="E700" s="33"/>
    </row>
    <row r="701" spans="1:5">
      <c r="A701" s="29"/>
      <c r="B701" s="30"/>
      <c r="C701" s="31"/>
      <c r="D701" s="32"/>
      <c r="E701" s="33"/>
    </row>
    <row r="702" spans="1:5">
      <c r="A702" s="29"/>
      <c r="B702" s="30"/>
      <c r="C702" s="31"/>
      <c r="D702" s="32"/>
      <c r="E702" s="33"/>
    </row>
    <row r="703" spans="1:5">
      <c r="A703" s="29"/>
      <c r="B703" s="30"/>
      <c r="C703" s="31"/>
      <c r="D703" s="32"/>
      <c r="E703" s="33"/>
    </row>
    <row r="704" spans="1:5">
      <c r="A704" s="29"/>
      <c r="B704" s="30"/>
      <c r="C704" s="31"/>
      <c r="D704" s="32"/>
      <c r="E704" s="33"/>
    </row>
    <row r="705" spans="1:5">
      <c r="A705" s="29"/>
      <c r="B705" s="30"/>
      <c r="C705" s="31"/>
      <c r="D705" s="32"/>
      <c r="E705" s="33"/>
    </row>
    <row r="706" spans="1:5">
      <c r="A706" s="29"/>
      <c r="B706" s="30"/>
      <c r="C706" s="31"/>
      <c r="D706" s="32"/>
      <c r="E706" s="33"/>
    </row>
    <row r="707" spans="1:5">
      <c r="A707" s="29"/>
      <c r="B707" s="30"/>
      <c r="C707" s="31"/>
      <c r="D707" s="32"/>
      <c r="E707" s="33"/>
    </row>
    <row r="708" spans="1:5">
      <c r="A708" s="29"/>
      <c r="B708" s="30"/>
      <c r="C708" s="31"/>
      <c r="E708" s="3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12</vt:i4>
      </vt:variant>
    </vt:vector>
  </HeadingPairs>
  <TitlesOfParts>
    <vt:vector size="19" baseType="lpstr">
      <vt:lpstr>Teams</vt:lpstr>
      <vt:lpstr>DEF</vt:lpstr>
      <vt:lpstr>QB</vt:lpstr>
      <vt:lpstr>RB</vt:lpstr>
      <vt:lpstr>TE</vt:lpstr>
      <vt:lpstr>WR</vt:lpstr>
      <vt:lpstr>FLEX</vt:lpstr>
      <vt:lpstr>def</vt:lpstr>
      <vt:lpstr>deflkp</vt:lpstr>
      <vt:lpstr>flex</vt:lpstr>
      <vt:lpstr>flexlkp</vt:lpstr>
      <vt:lpstr>qb</vt:lpstr>
      <vt:lpstr>qblkp</vt:lpstr>
      <vt:lpstr>rb</vt:lpstr>
      <vt:lpstr>rblkp</vt:lpstr>
      <vt:lpstr>te</vt:lpstr>
      <vt:lpstr>telkp</vt:lpstr>
      <vt:lpstr>wr</vt:lpstr>
      <vt:lpstr>wrlkp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Owner</cp:lastModifiedBy>
  <dcterms:created xsi:type="dcterms:W3CDTF">2023-10-06T15:34:28Z</dcterms:created>
  <dcterms:modified xsi:type="dcterms:W3CDTF">2024-09-22T13:38:57Z</dcterms:modified>
</cp:coreProperties>
</file>