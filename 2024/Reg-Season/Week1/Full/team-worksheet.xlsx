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510" yWindow="810" windowWidth="19575" windowHeight="7080"/>
  </bookViews>
  <sheets>
    <sheet name="Teams" sheetId="3" r:id="rId1"/>
    <sheet name="Players" sheetId="1" r:id="rId2"/>
    <sheet name="Player Lookup" sheetId="4" r:id="rId3"/>
    <sheet name="Sheet1" sheetId="5" r:id="rId4"/>
    <sheet name="DEF" sheetId="6" r:id="rId5"/>
    <sheet name="QB" sheetId="8" r:id="rId6"/>
    <sheet name="RB" sheetId="9" r:id="rId7"/>
    <sheet name="WR" sheetId="10" r:id="rId8"/>
    <sheet name="TE" sheetId="12" r:id="rId9"/>
    <sheet name="FLEX" sheetId="11" r:id="rId10"/>
  </sheets>
  <definedNames>
    <definedName name="_xlnm._FilterDatabase" localSheetId="8" hidden="1">TE!$A$1:$F$179</definedName>
    <definedName name="defense">DEF!$B$2:$B$27</definedName>
    <definedName name="dlkp">'Player Lookup'!$A$2:$D$23</definedName>
    <definedName name="flex">FLEX!$B$2:$B$708</definedName>
    <definedName name="flkp">'Player Lookup'!$A$24:$D$38</definedName>
    <definedName name="nickname">Players!$B$2:$B$834</definedName>
    <definedName name="playerlkp">'Player Lookup'!$A$2:$D$834</definedName>
    <definedName name="Players">Players!$A$2:$E$834</definedName>
    <definedName name="qb">QB!$B$2:$B$101</definedName>
    <definedName name="qblkp">QB!$A$2:$E$101</definedName>
    <definedName name="rb">RB!$B$2:$B$181</definedName>
    <definedName name="rblkp">'Player Lookup'!$A$61:$D$70</definedName>
    <definedName name="te">TE!$B$2:$B$179</definedName>
    <definedName name="telkp">'Player Lookup'!$A$71:$D$80</definedName>
    <definedName name="wr">WR!$B$2:$B$350</definedName>
    <definedName name="wrlkp">'Player Lookup'!$A$81:$D$95</definedName>
  </definedNames>
  <calcPr calcId="145621"/>
</workbook>
</file>

<file path=xl/calcChain.xml><?xml version="1.0" encoding="utf-8"?>
<calcChain xmlns="http://schemas.openxmlformats.org/spreadsheetml/2006/main">
  <c r="C3" i="3" l="1"/>
  <c r="C4" i="3"/>
  <c r="C5" i="3"/>
  <c r="C6" i="3"/>
  <c r="H2" i="3" l="1"/>
  <c r="O22" i="3" l="1"/>
  <c r="N22" i="3"/>
  <c r="M22" i="3"/>
  <c r="O21" i="3"/>
  <c r="N21" i="3"/>
  <c r="M21" i="3"/>
  <c r="O20" i="3"/>
  <c r="N20" i="3"/>
  <c r="M20" i="3"/>
  <c r="O19" i="3"/>
  <c r="N19" i="3"/>
  <c r="M19" i="3"/>
  <c r="O18" i="3"/>
  <c r="N18" i="3"/>
  <c r="M18" i="3"/>
  <c r="O17" i="3"/>
  <c r="N17" i="3"/>
  <c r="M17" i="3"/>
  <c r="O16" i="3"/>
  <c r="N16" i="3"/>
  <c r="M16" i="3"/>
  <c r="O15" i="3"/>
  <c r="N15" i="3"/>
  <c r="M15" i="3"/>
  <c r="O14" i="3"/>
  <c r="N14" i="3"/>
  <c r="M14" i="3"/>
  <c r="J22" i="3"/>
  <c r="I22" i="3"/>
  <c r="H22" i="3"/>
  <c r="J21" i="3"/>
  <c r="I21" i="3"/>
  <c r="H21" i="3"/>
  <c r="J20" i="3"/>
  <c r="I20" i="3"/>
  <c r="H20" i="3"/>
  <c r="J19" i="3"/>
  <c r="I19" i="3"/>
  <c r="H19" i="3"/>
  <c r="J18" i="3"/>
  <c r="I18" i="3"/>
  <c r="H18" i="3"/>
  <c r="J17" i="3"/>
  <c r="I17" i="3"/>
  <c r="H17" i="3"/>
  <c r="J16" i="3"/>
  <c r="I16" i="3"/>
  <c r="H16" i="3"/>
  <c r="J15" i="3"/>
  <c r="I15" i="3"/>
  <c r="H15" i="3"/>
  <c r="J14" i="3"/>
  <c r="I14" i="3"/>
  <c r="H14" i="3"/>
  <c r="E22" i="3"/>
  <c r="D22" i="3"/>
  <c r="C22" i="3"/>
  <c r="E21" i="3"/>
  <c r="D21" i="3"/>
  <c r="C21" i="3"/>
  <c r="E20" i="3"/>
  <c r="D20" i="3"/>
  <c r="C20" i="3"/>
  <c r="E19" i="3"/>
  <c r="D19" i="3"/>
  <c r="C19" i="3"/>
  <c r="E18" i="3"/>
  <c r="D18" i="3"/>
  <c r="C18" i="3"/>
  <c r="E17" i="3"/>
  <c r="D17" i="3"/>
  <c r="C17" i="3"/>
  <c r="E16" i="3"/>
  <c r="D16" i="3"/>
  <c r="C16" i="3"/>
  <c r="E15" i="3"/>
  <c r="D15" i="3"/>
  <c r="C15" i="3"/>
  <c r="E14" i="3"/>
  <c r="D14" i="3"/>
  <c r="C14" i="3"/>
  <c r="O10" i="3"/>
  <c r="N10" i="3"/>
  <c r="M10" i="3"/>
  <c r="O9" i="3"/>
  <c r="N9" i="3"/>
  <c r="M9" i="3"/>
  <c r="O8" i="3"/>
  <c r="N8" i="3"/>
  <c r="M8" i="3"/>
  <c r="O7" i="3"/>
  <c r="N7" i="3"/>
  <c r="M7" i="3"/>
  <c r="O6" i="3"/>
  <c r="N6" i="3"/>
  <c r="M6" i="3"/>
  <c r="O5" i="3"/>
  <c r="N5" i="3"/>
  <c r="M5" i="3"/>
  <c r="O4" i="3"/>
  <c r="N4" i="3"/>
  <c r="M4" i="3"/>
  <c r="O3" i="3"/>
  <c r="N3" i="3"/>
  <c r="M3" i="3"/>
  <c r="O2" i="3"/>
  <c r="N2" i="3"/>
  <c r="M2" i="3"/>
  <c r="J10" i="3"/>
  <c r="I10" i="3"/>
  <c r="H10" i="3"/>
  <c r="J9" i="3"/>
  <c r="I9" i="3"/>
  <c r="H9" i="3"/>
  <c r="J8" i="3"/>
  <c r="I8" i="3"/>
  <c r="H8" i="3"/>
  <c r="J7" i="3"/>
  <c r="I7" i="3"/>
  <c r="H7" i="3"/>
  <c r="J6" i="3"/>
  <c r="I6" i="3"/>
  <c r="H6" i="3"/>
  <c r="J5" i="3"/>
  <c r="I5" i="3"/>
  <c r="H5" i="3"/>
  <c r="J4" i="3"/>
  <c r="I4" i="3"/>
  <c r="H4" i="3"/>
  <c r="J3" i="3"/>
  <c r="I3" i="3"/>
  <c r="H3" i="3"/>
  <c r="J2" i="3"/>
  <c r="I2" i="3"/>
  <c r="E3" i="3"/>
  <c r="E4" i="3"/>
  <c r="E5" i="3"/>
  <c r="E6" i="3"/>
  <c r="E7" i="3"/>
  <c r="E8" i="3"/>
  <c r="E9" i="3"/>
  <c r="E2" i="3"/>
  <c r="D3" i="3"/>
  <c r="D4" i="3"/>
  <c r="D5" i="3"/>
  <c r="D6" i="3"/>
  <c r="D7" i="3"/>
  <c r="D8" i="3"/>
  <c r="D9" i="3"/>
  <c r="D10" i="3"/>
  <c r="D2" i="3"/>
  <c r="C7" i="3"/>
  <c r="C8" i="3"/>
  <c r="C9" i="3"/>
  <c r="C10" i="3"/>
  <c r="C2" i="3"/>
  <c r="E10" i="3"/>
  <c r="H11" i="3" l="1"/>
  <c r="D23" i="3"/>
  <c r="N23" i="3"/>
  <c r="I23" i="3" l="1"/>
  <c r="M23" i="3"/>
  <c r="C23" i="3"/>
  <c r="H23" i="3"/>
  <c r="M11" i="3"/>
  <c r="C11" i="3"/>
  <c r="I11" i="3"/>
  <c r="N11" i="3"/>
  <c r="D11" i="3"/>
</calcChain>
</file>

<file path=xl/sharedStrings.xml><?xml version="1.0" encoding="utf-8"?>
<sst xmlns="http://schemas.openxmlformats.org/spreadsheetml/2006/main" count="3767" uniqueCount="903">
  <si>
    <t>POSITION</t>
  </si>
  <si>
    <t>NICKNAME</t>
  </si>
  <si>
    <t>SALARY</t>
  </si>
  <si>
    <t>RB</t>
  </si>
  <si>
    <t>Raheem Mostert</t>
  </si>
  <si>
    <t>MIA</t>
  </si>
  <si>
    <t>Alvin Kamara</t>
  </si>
  <si>
    <t>NO</t>
  </si>
  <si>
    <t>NE</t>
  </si>
  <si>
    <t>Joe Mixon</t>
  </si>
  <si>
    <t>CIN</t>
  </si>
  <si>
    <t>ARI</t>
  </si>
  <si>
    <t>FLEX</t>
  </si>
  <si>
    <t>Nico Collins</t>
  </si>
  <si>
    <t>HOU</t>
  </si>
  <si>
    <t>ATL</t>
  </si>
  <si>
    <t>MIN</t>
  </si>
  <si>
    <t>Marquise Brown</t>
  </si>
  <si>
    <t>IND</t>
  </si>
  <si>
    <t>Jahmyr Gibbs</t>
  </si>
  <si>
    <t>DET</t>
  </si>
  <si>
    <t>CAR</t>
  </si>
  <si>
    <t>QB</t>
  </si>
  <si>
    <t>NYJ</t>
  </si>
  <si>
    <t>Jalen Hurts</t>
  </si>
  <si>
    <t>PHI</t>
  </si>
  <si>
    <t>LAR</t>
  </si>
  <si>
    <t>Tua Tagovailoa</t>
  </si>
  <si>
    <t>David Montgomery</t>
  </si>
  <si>
    <t>Bijan Robinson</t>
  </si>
  <si>
    <t>D'Andre Swift</t>
  </si>
  <si>
    <t>WR</t>
  </si>
  <si>
    <t>Tyreek Hill</t>
  </si>
  <si>
    <t>Ja'Marr Chase</t>
  </si>
  <si>
    <t>A.J. Brown</t>
  </si>
  <si>
    <t>Puka Nacua</t>
  </si>
  <si>
    <t>TE</t>
  </si>
  <si>
    <t>T.J. Hockenson</t>
  </si>
  <si>
    <t>Sam LaPorta</t>
  </si>
  <si>
    <t>Dallas Goedert</t>
  </si>
  <si>
    <t>DeVonta Smith</t>
  </si>
  <si>
    <t>Garrett Wilson</t>
  </si>
  <si>
    <t>Chris Olave</t>
  </si>
  <si>
    <t>Jaylen Waddle</t>
  </si>
  <si>
    <t>Michael Pittman Jr.</t>
  </si>
  <si>
    <t>D</t>
  </si>
  <si>
    <t>Joe Burrow</t>
  </si>
  <si>
    <t>Breece Hall</t>
  </si>
  <si>
    <t>RB1</t>
  </si>
  <si>
    <t>RB2</t>
  </si>
  <si>
    <t>WR1</t>
  </si>
  <si>
    <t>WR2</t>
  </si>
  <si>
    <t>WR3</t>
  </si>
  <si>
    <t>DEF</t>
  </si>
  <si>
    <t>PLAYER</t>
  </si>
  <si>
    <t>Kirk Cousins</t>
  </si>
  <si>
    <t>Jared Goff</t>
  </si>
  <si>
    <t>C.J. Stroud</t>
  </si>
  <si>
    <t>TOTALS</t>
  </si>
  <si>
    <t>INJURY_IND</t>
  </si>
  <si>
    <t>PROJ_FPTS</t>
  </si>
  <si>
    <t>Justin Fields</t>
  </si>
  <si>
    <t>CHI</t>
  </si>
  <si>
    <t>TB</t>
  </si>
  <si>
    <t>Trevor Lawrence</t>
  </si>
  <si>
    <t>JAC</t>
  </si>
  <si>
    <t>SEA</t>
  </si>
  <si>
    <t>Matthew Stafford</t>
  </si>
  <si>
    <t>Brock Purdy</t>
  </si>
  <si>
    <t>SF</t>
  </si>
  <si>
    <t>CLE</t>
  </si>
  <si>
    <t>Baker Mayfield</t>
  </si>
  <si>
    <t>Sam Howell</t>
  </si>
  <si>
    <t>WAS</t>
  </si>
  <si>
    <t>Deshaun Watson</t>
  </si>
  <si>
    <t>Q</t>
  </si>
  <si>
    <t>Desmond Ridder</t>
  </si>
  <si>
    <t>Geno Smith</t>
  </si>
  <si>
    <t>Jimmy Garoppolo</t>
  </si>
  <si>
    <t>LV</t>
  </si>
  <si>
    <t>Joshua Dobbs</t>
  </si>
  <si>
    <t>Derek Carr</t>
  </si>
  <si>
    <t>Bryce Young</t>
  </si>
  <si>
    <t>Zach Wilson</t>
  </si>
  <si>
    <t>Gardner Minshew II</t>
  </si>
  <si>
    <t>Mac Jones</t>
  </si>
  <si>
    <t>Christian McCaffrey</t>
  </si>
  <si>
    <t>Kenneth Walker III</t>
  </si>
  <si>
    <t>Kyren Williams</t>
  </si>
  <si>
    <t>Josh Jacobs</t>
  </si>
  <si>
    <t>Travis Etienne Jr.</t>
  </si>
  <si>
    <t>Zack Moss</t>
  </si>
  <si>
    <t>Cooper Kupp</t>
  </si>
  <si>
    <t>Davante Adams</t>
  </si>
  <si>
    <t>DJ Moore</t>
  </si>
  <si>
    <t>Amon-Ra St. Brown</t>
  </si>
  <si>
    <t>Brandon Aiyuk</t>
  </si>
  <si>
    <t>Mike Evans</t>
  </si>
  <si>
    <t>DK Metcalf</t>
  </si>
  <si>
    <t>Adam Thielen</t>
  </si>
  <si>
    <t>Deebo Samuel</t>
  </si>
  <si>
    <t>Cole Kmet</t>
  </si>
  <si>
    <t>George Kittle</t>
  </si>
  <si>
    <t>Hunter Henry</t>
  </si>
  <si>
    <t>Evan Engram</t>
  </si>
  <si>
    <t>Logan Thomas</t>
  </si>
  <si>
    <t>Kyle Pitts</t>
  </si>
  <si>
    <t>Zach Ertz</t>
  </si>
  <si>
    <t>Calvin Ridley</t>
  </si>
  <si>
    <t>Tee Higgins</t>
  </si>
  <si>
    <t>Alexander Mattison</t>
  </si>
  <si>
    <t>Terry McLaurin</t>
  </si>
  <si>
    <t>Dalton Schultz</t>
  </si>
  <si>
    <t>Noah Fant</t>
  </si>
  <si>
    <t>Jonnu Smith</t>
  </si>
  <si>
    <t>David Njoku</t>
  </si>
  <si>
    <t>Taysom Hill</t>
  </si>
  <si>
    <t>INJ</t>
  </si>
  <si>
    <t>Bailey Zappe</t>
  </si>
  <si>
    <t>Aidan O'Connell</t>
  </si>
  <si>
    <t>Jameis Winston</t>
  </si>
  <si>
    <t>Andy Dalton</t>
  </si>
  <si>
    <t>Brian Robinson Jr.</t>
  </si>
  <si>
    <t>Jonathan Taylor</t>
  </si>
  <si>
    <t>Jerome Ford</t>
  </si>
  <si>
    <t>Rachaad White</t>
  </si>
  <si>
    <t>Rhamondre Stevenson</t>
  </si>
  <si>
    <t>D'Onta Foreman</t>
  </si>
  <si>
    <t>Dameon Pierce</t>
  </si>
  <si>
    <t>Miles Sanders</t>
  </si>
  <si>
    <t>Emari Demercado</t>
  </si>
  <si>
    <t>Roschon Johnson</t>
  </si>
  <si>
    <t>Cam Akers</t>
  </si>
  <si>
    <t>Tyler Allgeier</t>
  </si>
  <si>
    <t>Keaontay Ingram</t>
  </si>
  <si>
    <t>Zamir White</t>
  </si>
  <si>
    <t>Chuba Hubbard</t>
  </si>
  <si>
    <t>Jordan Mason</t>
  </si>
  <si>
    <t>Kareem Hunt</t>
  </si>
  <si>
    <t>Ezekiel Elliott</t>
  </si>
  <si>
    <t>Dalvin Cook</t>
  </si>
  <si>
    <t>Ameer Abdullah</t>
  </si>
  <si>
    <t>Antonio Gibson</t>
  </si>
  <si>
    <t>Tyrion Davis-Price</t>
  </si>
  <si>
    <t>Kenneth Gainwell</t>
  </si>
  <si>
    <t>Sean Tucker</t>
  </si>
  <si>
    <t>Craig Reynolds</t>
  </si>
  <si>
    <t>Pierre Strong Jr.</t>
  </si>
  <si>
    <t>Corey Clement</t>
  </si>
  <si>
    <t>Zach Charbonnet</t>
  </si>
  <si>
    <t>Michael Carter</t>
  </si>
  <si>
    <t>Kendre Miller</t>
  </si>
  <si>
    <t>Devin Singletary</t>
  </si>
  <si>
    <t>Tank Bigsby</t>
  </si>
  <si>
    <t>Ronnie Rivers</t>
  </si>
  <si>
    <t>Cordarrelle Patterson</t>
  </si>
  <si>
    <t>Trayveon Williams</t>
  </si>
  <si>
    <t>Boston Scott</t>
  </si>
  <si>
    <t>Ke'Shawn Vaughn</t>
  </si>
  <si>
    <t>Khari Blasingame</t>
  </si>
  <si>
    <t>Ty Montgomery II</t>
  </si>
  <si>
    <t>Ty Chandler</t>
  </si>
  <si>
    <t>Chase Brown</t>
  </si>
  <si>
    <t>Salvon Ahmed</t>
  </si>
  <si>
    <t>Alec Ingold</t>
  </si>
  <si>
    <t>Adam Prentice</t>
  </si>
  <si>
    <t>Zonovan Knight</t>
  </si>
  <si>
    <t>D'Ernest Johnson</t>
  </si>
  <si>
    <t>Chris Evans</t>
  </si>
  <si>
    <t>Trey Sermon</t>
  </si>
  <si>
    <t>Mike Boone</t>
  </si>
  <si>
    <t>C.J. Ham</t>
  </si>
  <si>
    <t>JaMycal Hasty</t>
  </si>
  <si>
    <t>Chris Brooks</t>
  </si>
  <si>
    <t>Kyle Juszczyk</t>
  </si>
  <si>
    <t>Jakob Johnson</t>
  </si>
  <si>
    <t>Tyler Higbee</t>
  </si>
  <si>
    <t>Tyler Conklin</t>
  </si>
  <si>
    <t>Hayden Hurst</t>
  </si>
  <si>
    <t>Cade Otton</t>
  </si>
  <si>
    <t>Durham Smythe</t>
  </si>
  <si>
    <t>Austin Hooper</t>
  </si>
  <si>
    <t>Mike Gesicki</t>
  </si>
  <si>
    <t>Foster Moreau</t>
  </si>
  <si>
    <t>Kylen Granson</t>
  </si>
  <si>
    <t>Colby Parkinson</t>
  </si>
  <si>
    <t>Mo Alie-Cox</t>
  </si>
  <si>
    <t>Irv Smith Jr.</t>
  </si>
  <si>
    <t>Josh Oliver</t>
  </si>
  <si>
    <t>Michael Mayer</t>
  </si>
  <si>
    <t>Brock Wright</t>
  </si>
  <si>
    <t>Tommy Tremble</t>
  </si>
  <si>
    <t>John Bates</t>
  </si>
  <si>
    <t>Will Dissly</t>
  </si>
  <si>
    <t>Robert Tonyan</t>
  </si>
  <si>
    <t>C.J. Uzomah</t>
  </si>
  <si>
    <t>Trey McBride</t>
  </si>
  <si>
    <t>Harrison Bryant</t>
  </si>
  <si>
    <t>Cole Turner</t>
  </si>
  <si>
    <t>Jimmy Graham</t>
  </si>
  <si>
    <t>Jordan Akins</t>
  </si>
  <si>
    <t>Jakobi Meyers</t>
  </si>
  <si>
    <t>Jordan Addison</t>
  </si>
  <si>
    <t>Josh Reynolds</t>
  </si>
  <si>
    <t>Amari Cooper</t>
  </si>
  <si>
    <t>Tyler Lockett</t>
  </si>
  <si>
    <t>Christian Kirk</t>
  </si>
  <si>
    <t>Drake London</t>
  </si>
  <si>
    <t>Chris Godwin</t>
  </si>
  <si>
    <t>K.J. Osborn</t>
  </si>
  <si>
    <t>Curtis Samuel</t>
  </si>
  <si>
    <t>Tyler Boyd</t>
  </si>
  <si>
    <t>Tank Dell</t>
  </si>
  <si>
    <t>DJ Chark Jr.</t>
  </si>
  <si>
    <t>Michael Thomas</t>
  </si>
  <si>
    <t>Zay Jones</t>
  </si>
  <si>
    <t>Darnell Mooney</t>
  </si>
  <si>
    <t>Jahan Dotson</t>
  </si>
  <si>
    <t>Kendrick Bourne</t>
  </si>
  <si>
    <t>Josh Downs</t>
  </si>
  <si>
    <t>Elijah Moore</t>
  </si>
  <si>
    <t>Jameson Williams</t>
  </si>
  <si>
    <t>Trenton Irwin</t>
  </si>
  <si>
    <t>Allen Lazard</t>
  </si>
  <si>
    <t>Tutu Atwell</t>
  </si>
  <si>
    <t>Robert Woods</t>
  </si>
  <si>
    <t>Rashid Shaheed</t>
  </si>
  <si>
    <t>JuJu Smith-Schuster</t>
  </si>
  <si>
    <t>Michael Wilson</t>
  </si>
  <si>
    <t>Hunter Renfrow</t>
  </si>
  <si>
    <t>Donovan Peoples-Jones</t>
  </si>
  <si>
    <t>DeVante Parker</t>
  </si>
  <si>
    <t>Terrace Marshall Jr.</t>
  </si>
  <si>
    <t>Brandon Powell</t>
  </si>
  <si>
    <t>Jauan Jennings</t>
  </si>
  <si>
    <t>Alec Pierce</t>
  </si>
  <si>
    <t>Trey Palmer</t>
  </si>
  <si>
    <t>Kalif Raymond</t>
  </si>
  <si>
    <t>Mack Hollins</t>
  </si>
  <si>
    <t>Braxton Berrios</t>
  </si>
  <si>
    <t>Jonathan Mingo</t>
  </si>
  <si>
    <t>Rondale Moore</t>
  </si>
  <si>
    <t>John Metchie III</t>
  </si>
  <si>
    <t>Jaxon Smith-Njigba</t>
  </si>
  <si>
    <t>Quez Watkins</t>
  </si>
  <si>
    <t>Demario Douglas</t>
  </si>
  <si>
    <t>Ronnie Bell</t>
  </si>
  <si>
    <t>Deven Thompkins</t>
  </si>
  <si>
    <t>KhaDarel Hodge</t>
  </si>
  <si>
    <t>Marvin Jones Jr.</t>
  </si>
  <si>
    <t>Laviska Shenault Jr.</t>
  </si>
  <si>
    <t>Randall Cobb</t>
  </si>
  <si>
    <t>Equanimeous St. Brown</t>
  </si>
  <si>
    <t>Van Jefferson</t>
  </si>
  <si>
    <t>Cedrick Wilson Jr.</t>
  </si>
  <si>
    <t>Jamal Agnew</t>
  </si>
  <si>
    <t>Tyler Scott</t>
  </si>
  <si>
    <t>Dyami Brown</t>
  </si>
  <si>
    <t>N'Keal Harry</t>
  </si>
  <si>
    <t>Ray-Ray McCloud III</t>
  </si>
  <si>
    <t>Olamide Zaccheaus</t>
  </si>
  <si>
    <t>Tim Jones</t>
  </si>
  <si>
    <t>Jake Bobo</t>
  </si>
  <si>
    <t>Andrei Iosivas</t>
  </si>
  <si>
    <t>Isaiah McKenzie</t>
  </si>
  <si>
    <t>AVG</t>
  </si>
  <si>
    <t>BUF</t>
  </si>
  <si>
    <t>DAL</t>
  </si>
  <si>
    <t>PIT</t>
  </si>
  <si>
    <t>LAC</t>
  </si>
  <si>
    <t>NYG</t>
  </si>
  <si>
    <t>TEN</t>
  </si>
  <si>
    <t>DEN</t>
  </si>
  <si>
    <t>Josh Allen</t>
  </si>
  <si>
    <t>Anthony Richardson</t>
  </si>
  <si>
    <t>Kyler Murray</t>
  </si>
  <si>
    <t>Dak Prescott</t>
  </si>
  <si>
    <t>Justin Herbert</t>
  </si>
  <si>
    <t>Caleb Williams</t>
  </si>
  <si>
    <t>Jayden Daniels</t>
  </si>
  <si>
    <t>Will Levis</t>
  </si>
  <si>
    <t>Russell Wilson</t>
  </si>
  <si>
    <t>Daniel Jones</t>
  </si>
  <si>
    <t>Sam Darnold</t>
  </si>
  <si>
    <t>J.J. McCarthy</t>
  </si>
  <si>
    <t>Bo Nix</t>
  </si>
  <si>
    <t>Jarrett Stidham</t>
  </si>
  <si>
    <t>Drake Maye</t>
  </si>
  <si>
    <t>Jacoby Brissett</t>
  </si>
  <si>
    <t>Nathan Peterman</t>
  </si>
  <si>
    <t>Gavin Hardison</t>
  </si>
  <si>
    <t>Chevan Cordeiro</t>
  </si>
  <si>
    <t>Taylor Heinicke</t>
  </si>
  <si>
    <t>Trey Lance</t>
  </si>
  <si>
    <t>Shane Buechele</t>
  </si>
  <si>
    <t>Logan Woodside</t>
  </si>
  <si>
    <t>Jaren Hall</t>
  </si>
  <si>
    <t>Luis Perez</t>
  </si>
  <si>
    <t>Sam Ehlinger</t>
  </si>
  <si>
    <t>Case Keenum</t>
  </si>
  <si>
    <t>Mason Rudolph</t>
  </si>
  <si>
    <t>Teddy Bridgewater</t>
  </si>
  <si>
    <t>Nathan Rourke</t>
  </si>
  <si>
    <t>Kedon Slovis</t>
  </si>
  <si>
    <t>Tommy DeVito</t>
  </si>
  <si>
    <t>Casey Bauman</t>
  </si>
  <si>
    <t>Drew Lock</t>
  </si>
  <si>
    <t>Joe Flacco</t>
  </si>
  <si>
    <t>Nick Mullens</t>
  </si>
  <si>
    <t>Marcus Mariota</t>
  </si>
  <si>
    <t>Clayton Tune</t>
  </si>
  <si>
    <t>Max Duggan</t>
  </si>
  <si>
    <t>Michael Penix Jr.</t>
  </si>
  <si>
    <t>Rocky Lombardi</t>
  </si>
  <si>
    <t>Jacob Sirmon</t>
  </si>
  <si>
    <t>Jake Haener</t>
  </si>
  <si>
    <t>PJ Walker</t>
  </si>
  <si>
    <t>Carter Bradley</t>
  </si>
  <si>
    <t>John Wolford</t>
  </si>
  <si>
    <t>Matt Barkley</t>
  </si>
  <si>
    <t>Spencer Rattler</t>
  </si>
  <si>
    <t>John Paddock</t>
  </si>
  <si>
    <t>Austin Reed</t>
  </si>
  <si>
    <t>Nate Sudfeld</t>
  </si>
  <si>
    <t>Jack Plummer</t>
  </si>
  <si>
    <t>Joe Milton III</t>
  </si>
  <si>
    <t>Dresser Winn</t>
  </si>
  <si>
    <t>C.J. Beathard</t>
  </si>
  <si>
    <t>Easton Stick</t>
  </si>
  <si>
    <t>Jake Browning</t>
  </si>
  <si>
    <t>Tyson Bagent</t>
  </si>
  <si>
    <t>Ryan Tannehill</t>
  </si>
  <si>
    <t>Stetson Bennett</t>
  </si>
  <si>
    <t>Davis Mills</t>
  </si>
  <si>
    <t>Tim Boyle</t>
  </si>
  <si>
    <t>Sam Hartman</t>
  </si>
  <si>
    <t>Jeff Driskel</t>
  </si>
  <si>
    <t>John Rhys Plumlee</t>
  </si>
  <si>
    <t>Mike White</t>
  </si>
  <si>
    <t>Cooper Rush</t>
  </si>
  <si>
    <t>Skylar Thompson</t>
  </si>
  <si>
    <t>Kyle Trask</t>
  </si>
  <si>
    <t>Jake Luton</t>
  </si>
  <si>
    <t>Mitchell Trubisky</t>
  </si>
  <si>
    <t>Brett Rypien</t>
  </si>
  <si>
    <t>Dorian Thompson-Robinson</t>
  </si>
  <si>
    <t>Zack Annexstad</t>
  </si>
  <si>
    <t>Kyle Allen</t>
  </si>
  <si>
    <t>Anthony Brown Jr.</t>
  </si>
  <si>
    <t>Hendon Hooker</t>
  </si>
  <si>
    <t>Jason Bean</t>
  </si>
  <si>
    <t>IR</t>
  </si>
  <si>
    <t>James Cook</t>
  </si>
  <si>
    <t>De'Von Achane</t>
  </si>
  <si>
    <t>Aaron Jones</t>
  </si>
  <si>
    <t>Najee Harris</t>
  </si>
  <si>
    <t>Nick Chubb</t>
  </si>
  <si>
    <t>Tony Pollard</t>
  </si>
  <si>
    <t>Javonte Williams</t>
  </si>
  <si>
    <t>James Conner</t>
  </si>
  <si>
    <t>Gus Edwards</t>
  </si>
  <si>
    <t>Austin Ekeler</t>
  </si>
  <si>
    <t>Khalil Herbert</t>
  </si>
  <si>
    <t>Jaylen Warren</t>
  </si>
  <si>
    <t>Jonathon Brooks</t>
  </si>
  <si>
    <t>J.K. Dobbins</t>
  </si>
  <si>
    <t>Blake Corum</t>
  </si>
  <si>
    <t>Tyjae Spears</t>
  </si>
  <si>
    <t>Rico Dowdle</t>
  </si>
  <si>
    <t>Tyrone Tracy Jr.</t>
  </si>
  <si>
    <t>Jamaal Williams</t>
  </si>
  <si>
    <t>Trey Benson</t>
  </si>
  <si>
    <t>Bucky Irving</t>
  </si>
  <si>
    <t>Jaleel McLaughlin</t>
  </si>
  <si>
    <t>Ray Davis</t>
  </si>
  <si>
    <t>Kimani Vidal</t>
  </si>
  <si>
    <t>Jeff Wilson Jr.</t>
  </si>
  <si>
    <t>Chase Edmonds</t>
  </si>
  <si>
    <t>Audric Estime</t>
  </si>
  <si>
    <t>Deuce Vaughn</t>
  </si>
  <si>
    <t>Nyheim Hines</t>
  </si>
  <si>
    <t>Jaylen Wright</t>
  </si>
  <si>
    <t>Chris Rodriguez Jr.</t>
  </si>
  <si>
    <t>Raheem Blackshear</t>
  </si>
  <si>
    <t>Royce Freeman</t>
  </si>
  <si>
    <t>Isaiah Spiller</t>
  </si>
  <si>
    <t>Travis Homer</t>
  </si>
  <si>
    <t>Dare Ogunbowale</t>
  </si>
  <si>
    <t>Kevin Harris</t>
  </si>
  <si>
    <t>Eric Gray</t>
  </si>
  <si>
    <t>Reggie Gilliam</t>
  </si>
  <si>
    <t>Ty Johnson</t>
  </si>
  <si>
    <t>Keilan Robinson</t>
  </si>
  <si>
    <t>Kobe Lewis</t>
  </si>
  <si>
    <t>Dylan Laube</t>
  </si>
  <si>
    <t>Darrynton Evans</t>
  </si>
  <si>
    <t>Jase McClellan</t>
  </si>
  <si>
    <t>Jawhar Jordan</t>
  </si>
  <si>
    <t>Kene Nwangwu</t>
  </si>
  <si>
    <t>Kenny McIntosh</t>
  </si>
  <si>
    <t>Malik Davis</t>
  </si>
  <si>
    <t>Evan Hull</t>
  </si>
  <si>
    <t>Hassan Haskins</t>
  </si>
  <si>
    <t>Jeremy McNichols</t>
  </si>
  <si>
    <t>Myles Gaskin</t>
  </si>
  <si>
    <t>Dillon Johnson</t>
  </si>
  <si>
    <t>Julius Chestnut</t>
  </si>
  <si>
    <t>Jake Funk</t>
  </si>
  <si>
    <t>Tyler Goodson</t>
  </si>
  <si>
    <t>George Holani</t>
  </si>
  <si>
    <t>Jordan Mims</t>
  </si>
  <si>
    <t>Frank Gore Jr.</t>
  </si>
  <si>
    <t>Gary Brightwell</t>
  </si>
  <si>
    <t>Carlos Washington Jr.</t>
  </si>
  <si>
    <t>Terrell Jennings</t>
  </si>
  <si>
    <t>Alex Armah</t>
  </si>
  <si>
    <t>Michael Wiley</t>
  </si>
  <si>
    <t>Austin Walter</t>
  </si>
  <si>
    <t>Aaron Shampklin</t>
  </si>
  <si>
    <t>Zach Evans</t>
  </si>
  <si>
    <t>Snoop Conner</t>
  </si>
  <si>
    <t>Troy Hairston</t>
  </si>
  <si>
    <t>Daijun Edwards</t>
  </si>
  <si>
    <t>Brandon Bolden</t>
  </si>
  <si>
    <t>D.J. Williams</t>
  </si>
  <si>
    <t>Marlon Mack</t>
  </si>
  <si>
    <t>Jalen Jackson</t>
  </si>
  <si>
    <t>Austin Jones</t>
  </si>
  <si>
    <t>Nathaniel Peat</t>
  </si>
  <si>
    <t>Jaret Patterson</t>
  </si>
  <si>
    <t>Jacob Kibodi</t>
  </si>
  <si>
    <t>Jashaun Corbin</t>
  </si>
  <si>
    <t>Tyler Badie</t>
  </si>
  <si>
    <t>J.J. Taylor</t>
  </si>
  <si>
    <t>Elijah Collins</t>
  </si>
  <si>
    <t>Ian Wheeler</t>
  </si>
  <si>
    <t>Aidan Robbins</t>
  </si>
  <si>
    <t>Jaden Shirden</t>
  </si>
  <si>
    <t>Jack Colletto</t>
  </si>
  <si>
    <t>Jermar Jefferson</t>
  </si>
  <si>
    <t>TaMerik Williams</t>
  </si>
  <si>
    <t>Keith Smith</t>
  </si>
  <si>
    <t>Derrick Gore</t>
  </si>
  <si>
    <t>Damien Harris</t>
  </si>
  <si>
    <t>Avery Williams</t>
  </si>
  <si>
    <t>Noah Cain</t>
  </si>
  <si>
    <t>Ramon Jefferson</t>
  </si>
  <si>
    <t>Zander Horvath</t>
  </si>
  <si>
    <t>James Robinson</t>
  </si>
  <si>
    <t>Ben Mason</t>
  </si>
  <si>
    <t>British Brooks</t>
  </si>
  <si>
    <t>Tony Jones Jr.</t>
  </si>
  <si>
    <t>Kairee Robinson</t>
  </si>
  <si>
    <t>Michael Burton</t>
  </si>
  <si>
    <t>Jonathan Ward</t>
  </si>
  <si>
    <t>DeWayne McBride</t>
  </si>
  <si>
    <t>Jacob Saylors</t>
  </si>
  <si>
    <t>Hunter Luepke</t>
  </si>
  <si>
    <t>Elijah Dotson</t>
  </si>
  <si>
    <t>Latavius Murray</t>
  </si>
  <si>
    <t>Deshaun Fenwick</t>
  </si>
  <si>
    <t>Dante Miller</t>
  </si>
  <si>
    <t>Sincere McCormick</t>
  </si>
  <si>
    <t>Trent Pennix</t>
  </si>
  <si>
    <t>Ricky Person Jr.</t>
  </si>
  <si>
    <t>Spencer Brown</t>
  </si>
  <si>
    <t>Joshua Kelley</t>
  </si>
  <si>
    <t>Eno Benjamin</t>
  </si>
  <si>
    <t>Godwin Igwebuike</t>
  </si>
  <si>
    <t>Brittain Brown</t>
  </si>
  <si>
    <t>Blake Watson</t>
  </si>
  <si>
    <t>Jabari Small</t>
  </si>
  <si>
    <t>DeeJay Dallas</t>
  </si>
  <si>
    <t>Robert Burns</t>
  </si>
  <si>
    <t>Lorenzo Lingard</t>
  </si>
  <si>
    <t>Dwayne Washington</t>
  </si>
  <si>
    <t>NA</t>
  </si>
  <si>
    <t>O</t>
  </si>
  <si>
    <t>CeeDee Lamb</t>
  </si>
  <si>
    <t>Justin Jefferson</t>
  </si>
  <si>
    <t>Stefon Diggs</t>
  </si>
  <si>
    <t>Keenan Allen</t>
  </si>
  <si>
    <t>Marvin Harrison Jr.</t>
  </si>
  <si>
    <t>George Pickens</t>
  </si>
  <si>
    <t>Malik Nabers</t>
  </si>
  <si>
    <t>Gabe Davis</t>
  </si>
  <si>
    <t>Keon Coleman</t>
  </si>
  <si>
    <t>DeAndre Hopkins</t>
  </si>
  <si>
    <t>Rome Odunze</t>
  </si>
  <si>
    <t>Jerry Jeudy</t>
  </si>
  <si>
    <t>Diontae Johnson</t>
  </si>
  <si>
    <t>Courtland Sutton</t>
  </si>
  <si>
    <t>Adonai Mitchell</t>
  </si>
  <si>
    <t>Khalil Shakir</t>
  </si>
  <si>
    <t>Ladd McConkey</t>
  </si>
  <si>
    <t>Brandin Cooks</t>
  </si>
  <si>
    <t>Brian Thomas Jr.</t>
  </si>
  <si>
    <t>Roman Wilson</t>
  </si>
  <si>
    <t>Jalen McMillan</t>
  </si>
  <si>
    <t>Joshua Palmer</t>
  </si>
  <si>
    <t>Odell Beckham Jr.</t>
  </si>
  <si>
    <t>Javon Baker</t>
  </si>
  <si>
    <t>Xavier Legette</t>
  </si>
  <si>
    <t>Marquez Valdes-Scantling</t>
  </si>
  <si>
    <t>Quentin Johnston</t>
  </si>
  <si>
    <t>Jermaine Burton</t>
  </si>
  <si>
    <t>DJ Chark</t>
  </si>
  <si>
    <t>Jalin Hyatt</t>
  </si>
  <si>
    <t>Ja'Lynn Polk</t>
  </si>
  <si>
    <t>Jalen Tolbert</t>
  </si>
  <si>
    <t>Nick Westbrook-Ikhine</t>
  </si>
  <si>
    <t>Wan'Dale Robinson</t>
  </si>
  <si>
    <t>Greg Dortch</t>
  </si>
  <si>
    <t>Deontay Burnett</t>
  </si>
  <si>
    <t>Tre Tucker</t>
  </si>
  <si>
    <t>Jalen Guyton</t>
  </si>
  <si>
    <t>Treylon Burks</t>
  </si>
  <si>
    <t>Parker Washington</t>
  </si>
  <si>
    <t>Velus Jones Jr.</t>
  </si>
  <si>
    <t>Jordan Whittington</t>
  </si>
  <si>
    <t>Isaiah Hodgins</t>
  </si>
  <si>
    <t>Marvin Mims Jr.</t>
  </si>
  <si>
    <t>KaVontae Turpin</t>
  </si>
  <si>
    <t>Justin Shorter</t>
  </si>
  <si>
    <t>Darius Slayton</t>
  </si>
  <si>
    <t>Troy Franklin</t>
  </si>
  <si>
    <t>Dee Eskridge</t>
  </si>
  <si>
    <t>Elijah Higgins</t>
  </si>
  <si>
    <t>Jalen Nailor</t>
  </si>
  <si>
    <t>Calvin Austin III</t>
  </si>
  <si>
    <t>Noah Brown</t>
  </si>
  <si>
    <t>Tyler Johnson</t>
  </si>
  <si>
    <t>Luke McCaffrey</t>
  </si>
  <si>
    <t>Demarcus Robinson</t>
  </si>
  <si>
    <t>Devin Duvernay</t>
  </si>
  <si>
    <t>Kelvin Harmon</t>
  </si>
  <si>
    <t>Cedric Tillman</t>
  </si>
  <si>
    <t>Chase Claypool</t>
  </si>
  <si>
    <t>Willie Snead IV</t>
  </si>
  <si>
    <t>A.T. Perry</t>
  </si>
  <si>
    <t>Chris Blair</t>
  </si>
  <si>
    <t>Tom Kennedy</t>
  </si>
  <si>
    <t>Dez Fitzpatrick</t>
  </si>
  <si>
    <t>Jacob Copeland</t>
  </si>
  <si>
    <t>Joshua Cephus</t>
  </si>
  <si>
    <t>David Moore</t>
  </si>
  <si>
    <t>Jalen Virgil</t>
  </si>
  <si>
    <t>Gunner Olszewski</t>
  </si>
  <si>
    <t>Elijah Cooks</t>
  </si>
  <si>
    <t>KJ Hamler</t>
  </si>
  <si>
    <t>Chris Moore</t>
  </si>
  <si>
    <t>Derius Davis</t>
  </si>
  <si>
    <t>Jalen Reagor</t>
  </si>
  <si>
    <t>Xavier Smith</t>
  </si>
  <si>
    <t>Tyrell Shavers</t>
  </si>
  <si>
    <t>Cephus Johnson III</t>
  </si>
  <si>
    <t>Lucky Jackson</t>
  </si>
  <si>
    <t>Duece Watts</t>
  </si>
  <si>
    <t>Drake Stoops</t>
  </si>
  <si>
    <t>Charlie Jones</t>
  </si>
  <si>
    <t>Trent Sherfield Sr.</t>
  </si>
  <si>
    <t>Laquon Treadwell</t>
  </si>
  <si>
    <t>Sterling Shepard</t>
  </si>
  <si>
    <t>Rakim Jarrett</t>
  </si>
  <si>
    <t>Jeff Smith</t>
  </si>
  <si>
    <t>Sam Wiglusz</t>
  </si>
  <si>
    <t>Xavier Johnson</t>
  </si>
  <si>
    <t>Austin Mack</t>
  </si>
  <si>
    <t>Devaughn Vele</t>
  </si>
  <si>
    <t>DeAndre Carter</t>
  </si>
  <si>
    <t>Bryan Thompson</t>
  </si>
  <si>
    <t>D.J. Montgomery</t>
  </si>
  <si>
    <t>Kristian Wilkerson</t>
  </si>
  <si>
    <t>Colton Dowell</t>
  </si>
  <si>
    <t>Samson Nacua</t>
  </si>
  <si>
    <t>Nsimba Webster</t>
  </si>
  <si>
    <t>David Bell</t>
  </si>
  <si>
    <t>Brandon Johnson</t>
  </si>
  <si>
    <t>Ashton Dulin</t>
  </si>
  <si>
    <t>Seth Williams</t>
  </si>
  <si>
    <t>Anthony Schwartz</t>
  </si>
  <si>
    <t>Thayer Thomas</t>
  </si>
  <si>
    <t>Byron Pringle</t>
  </si>
  <si>
    <t>James Proche II</t>
  </si>
  <si>
    <t>Tim Patrick</t>
  </si>
  <si>
    <t>Corey Crooms Jr.</t>
  </si>
  <si>
    <t>Raleigh Webb</t>
  </si>
  <si>
    <t>Allen Robinson II</t>
  </si>
  <si>
    <t>Marcus Jones</t>
  </si>
  <si>
    <t>Dee Williams</t>
  </si>
  <si>
    <t>Maurice Alexander</t>
  </si>
  <si>
    <t>Ihmir Smith-Marsette</t>
  </si>
  <si>
    <t>Malik Knowles</t>
  </si>
  <si>
    <t>David Sills V</t>
  </si>
  <si>
    <t>Jordan Matthews</t>
  </si>
  <si>
    <t>Cody Thompson</t>
  </si>
  <si>
    <t>Joe Reed</t>
  </si>
  <si>
    <t>Jamari Thrash</t>
  </si>
  <si>
    <t>Zach Pascal</t>
  </si>
  <si>
    <t>Jamison Crowder</t>
  </si>
  <si>
    <t>Je'Quan Burton</t>
  </si>
  <si>
    <t>Mike Strachan</t>
  </si>
  <si>
    <t>Collin Johnson</t>
  </si>
  <si>
    <t>Kaden Davis</t>
  </si>
  <si>
    <t>Tyreik McAllister</t>
  </si>
  <si>
    <t>Jeshaun Jones</t>
  </si>
  <si>
    <t>Dennis Houston</t>
  </si>
  <si>
    <t>Alex Erickson</t>
  </si>
  <si>
    <t>Praise Olatoke</t>
  </si>
  <si>
    <t>Jesse Matthews</t>
  </si>
  <si>
    <t>Tahj Washington</t>
  </si>
  <si>
    <t>Kendric Pryor</t>
  </si>
  <si>
    <t>Quintez Cephus</t>
  </si>
  <si>
    <t>Leon Johnson</t>
  </si>
  <si>
    <t>Dax Milne</t>
  </si>
  <si>
    <t>Latreal Jones</t>
  </si>
  <si>
    <t>Ty Scott</t>
  </si>
  <si>
    <t>Daewood Davis</t>
  </si>
  <si>
    <t>Jalon Calhoun</t>
  </si>
  <si>
    <t>Malik Washington</t>
  </si>
  <si>
    <t>John Stephens Jr.</t>
  </si>
  <si>
    <t>Johnny Johnson III</t>
  </si>
  <si>
    <t>James Washington</t>
  </si>
  <si>
    <t>Kawaan Baker</t>
  </si>
  <si>
    <t>Jalen Cropper</t>
  </si>
  <si>
    <t>Anthony Gould</t>
  </si>
  <si>
    <t>Tejhaun Palmer</t>
  </si>
  <si>
    <t>Zavier Scott</t>
  </si>
  <si>
    <t>Ramel Keyton</t>
  </si>
  <si>
    <t>Erik Ezukanma</t>
  </si>
  <si>
    <t>Ryan Flournoy</t>
  </si>
  <si>
    <t>Jadon Janke</t>
  </si>
  <si>
    <t>Braylon Sanders</t>
  </si>
  <si>
    <t>Jaxon Janke</t>
  </si>
  <si>
    <t>Devron Harper</t>
  </si>
  <si>
    <t>John Jackson III</t>
  </si>
  <si>
    <t>Jermaine Jackson</t>
  </si>
  <si>
    <t>Mason Tipton</t>
  </si>
  <si>
    <t>David White Jr.</t>
  </si>
  <si>
    <t>Wayne Ruby</t>
  </si>
  <si>
    <t>Brevin Easton</t>
  </si>
  <si>
    <t>JJ Laap</t>
  </si>
  <si>
    <t>Austin Trammell</t>
  </si>
  <si>
    <t>Hayden Hatten</t>
  </si>
  <si>
    <t>Demetric Felton</t>
  </si>
  <si>
    <t>Tanner Knue</t>
  </si>
  <si>
    <t>Keelan Doss</t>
  </si>
  <si>
    <t>Hakeem Butler</t>
  </si>
  <si>
    <t>Dylan Drummond</t>
  </si>
  <si>
    <t>Cody White</t>
  </si>
  <si>
    <t>Kwamie Lassiter II</t>
  </si>
  <si>
    <t>Brenden Rice</t>
  </si>
  <si>
    <t>Terrell Bynum</t>
  </si>
  <si>
    <t>Denzel Mims</t>
  </si>
  <si>
    <t>Jha'Quan Jackson</t>
  </si>
  <si>
    <t>Trishton Jackson</t>
  </si>
  <si>
    <t>Daylen Baldwin</t>
  </si>
  <si>
    <t>Kameron Johnson</t>
  </si>
  <si>
    <t>Jalen Coker</t>
  </si>
  <si>
    <t>Juwann Winfree</t>
  </si>
  <si>
    <t>John Jiles</t>
  </si>
  <si>
    <t>Cole Burgess</t>
  </si>
  <si>
    <t>Sam Schnee</t>
  </si>
  <si>
    <t>Kayshon Boutte</t>
  </si>
  <si>
    <t>Ahmarean Brown</t>
  </si>
  <si>
    <t>Ty James</t>
  </si>
  <si>
    <t>Dan Chisena</t>
  </si>
  <si>
    <t>Kevin Austin Jr.</t>
  </si>
  <si>
    <t>Lawrence Keys III</t>
  </si>
  <si>
    <t>Cam Johnson</t>
  </si>
  <si>
    <t>Tre Mosley</t>
  </si>
  <si>
    <t>Xavier Hutchinson</t>
  </si>
  <si>
    <t>Joseph Scates</t>
  </si>
  <si>
    <t>River Cracraft</t>
  </si>
  <si>
    <t>Jalen Camp</t>
  </si>
  <si>
    <t>Michael Bandy</t>
  </si>
  <si>
    <t>Jalen Brooks</t>
  </si>
  <si>
    <t>Bryce Oliver</t>
  </si>
  <si>
    <t>Josh Ali</t>
  </si>
  <si>
    <t>Justin Hardee Sr.</t>
  </si>
  <si>
    <t>Lynn Bowden Jr.</t>
  </si>
  <si>
    <t>Alex Bachman</t>
  </si>
  <si>
    <t>Tyquan Thornton</t>
  </si>
  <si>
    <t>Daurice Fountain</t>
  </si>
  <si>
    <t>Tre'Shaun Harrison</t>
  </si>
  <si>
    <t>Sam Pinckney</t>
  </si>
  <si>
    <t>Cam Sims</t>
  </si>
  <si>
    <t>Phillip Dorsett II</t>
  </si>
  <si>
    <t>Mason Kinsey</t>
  </si>
  <si>
    <t>DeMario Douglas</t>
  </si>
  <si>
    <t>Tyron Billy-Johnson</t>
  </si>
  <si>
    <t>Keilahn Harris</t>
  </si>
  <si>
    <t>Tarik Black</t>
  </si>
  <si>
    <t>Jaylon Moore</t>
  </si>
  <si>
    <t>Miles Boykin</t>
  </si>
  <si>
    <t>Tre Nixon</t>
  </si>
  <si>
    <t>Antoine Green</t>
  </si>
  <si>
    <t>Tayvion Robinson</t>
  </si>
  <si>
    <t>Peter LeBlanc</t>
  </si>
  <si>
    <t>Lil'Jordan Humphrey</t>
  </si>
  <si>
    <t>Dante Pettis</t>
  </si>
  <si>
    <t>OJ Hiliare</t>
  </si>
  <si>
    <t>Bryce Ford-Wheaton</t>
  </si>
  <si>
    <t>Casey Washington</t>
  </si>
  <si>
    <t>Andre Baccellia</t>
  </si>
  <si>
    <t>Isaiah Williams</t>
  </si>
  <si>
    <t>Jaylen Johnson</t>
  </si>
  <si>
    <t>Blake Lynch</t>
  </si>
  <si>
    <t>Ben Skowronek</t>
  </si>
  <si>
    <t>Davion Davis</t>
  </si>
  <si>
    <t>Matt Landers</t>
  </si>
  <si>
    <t>Jared Wayne</t>
  </si>
  <si>
    <t>Kearis Jackson</t>
  </si>
  <si>
    <t>Marquise Goodwin</t>
  </si>
  <si>
    <t>David Durden</t>
  </si>
  <si>
    <t>Simi Fehoko</t>
  </si>
  <si>
    <t>Steven Sims</t>
  </si>
  <si>
    <t>Brycen Tremayne</t>
  </si>
  <si>
    <t>Tulu Griffin</t>
  </si>
  <si>
    <t>Xavier Weaver</t>
  </si>
  <si>
    <t>Marquez Callaway</t>
  </si>
  <si>
    <t>C.J. Goodwin</t>
  </si>
  <si>
    <t>Shedrick Jackson</t>
  </si>
  <si>
    <t>Ayir Asante</t>
  </si>
  <si>
    <t>Easop Winston Jr.</t>
  </si>
  <si>
    <t>Stanley Morgan Jr.</t>
  </si>
  <si>
    <t>Dominique Robinson</t>
  </si>
  <si>
    <t>Freddie Swain</t>
  </si>
  <si>
    <t>Isaiah Wooden</t>
  </si>
  <si>
    <t>Bub Means</t>
  </si>
  <si>
    <t>Devin Carter</t>
  </si>
  <si>
    <t>Tyrie Cleveland</t>
  </si>
  <si>
    <t>Jaray Jenkins</t>
  </si>
  <si>
    <t>Racey McMath</t>
  </si>
  <si>
    <t>David Wallis</t>
  </si>
  <si>
    <t>Jaelen Gill</t>
  </si>
  <si>
    <t>Ethan Fernea</t>
  </si>
  <si>
    <t>Chase Cota</t>
  </si>
  <si>
    <t>Kazmeir Allen</t>
  </si>
  <si>
    <t>Derek Slywka</t>
  </si>
  <si>
    <t>Daniel Arias</t>
  </si>
  <si>
    <t>Stantley Thomas-Oliver III</t>
  </si>
  <si>
    <t>Scotty Miller</t>
  </si>
  <si>
    <t>JaQuae Jackson</t>
  </si>
  <si>
    <t>Dareke Young</t>
  </si>
  <si>
    <t>Lincoln Victor</t>
  </si>
  <si>
    <t>Cornelius Johnson</t>
  </si>
  <si>
    <t>Michael Woods II</t>
  </si>
  <si>
    <t>Mitchell Tinsley</t>
  </si>
  <si>
    <t>Jeff Foreman</t>
  </si>
  <si>
    <t>Mike Harley Jr.</t>
  </si>
  <si>
    <t>Kyric McGowan</t>
  </si>
  <si>
    <t>Andy Isabella</t>
  </si>
  <si>
    <t>Jaelon Darden</t>
  </si>
  <si>
    <t>Jakeem Grant Sr.</t>
  </si>
  <si>
    <t>Damiere Byrd</t>
  </si>
  <si>
    <t>Xavier White</t>
  </si>
  <si>
    <t>DJ Turner</t>
  </si>
  <si>
    <t>Tre'Quan Smith</t>
  </si>
  <si>
    <t>Dalton Kincaid</t>
  </si>
  <si>
    <t>Jake Ferguson</t>
  </si>
  <si>
    <t>Brock Bowers</t>
  </si>
  <si>
    <t>Pat Freiermuth</t>
  </si>
  <si>
    <t>Daniel Bellinger</t>
  </si>
  <si>
    <t>Chig Okonkwo</t>
  </si>
  <si>
    <t>Dawson Knox</t>
  </si>
  <si>
    <t>Juwan Johnson</t>
  </si>
  <si>
    <t>Greg Dulcich</t>
  </si>
  <si>
    <t>Gerald Everett</t>
  </si>
  <si>
    <t>Connor Heyward</t>
  </si>
  <si>
    <t>Ja'Tavion Sanders</t>
  </si>
  <si>
    <t>Luke Schoonmaker</t>
  </si>
  <si>
    <t>Ben Sinnott</t>
  </si>
  <si>
    <t>Darnell Washington</t>
  </si>
  <si>
    <t>AJ Barner</t>
  </si>
  <si>
    <t>Johnny Mundt</t>
  </si>
  <si>
    <t>Mitchell Wilcox</t>
  </si>
  <si>
    <t>Theo Johnson</t>
  </si>
  <si>
    <t>Donald Parham Jr.</t>
  </si>
  <si>
    <t>Quintin Morris</t>
  </si>
  <si>
    <t>Lucas Krull</t>
  </si>
  <si>
    <t>Josh Whyle</t>
  </si>
  <si>
    <t>Davis Allen</t>
  </si>
  <si>
    <t>Pharaoh Brown</t>
  </si>
  <si>
    <t>Ko Kieft</t>
  </si>
  <si>
    <t>Brenton Strange</t>
  </si>
  <si>
    <t>Tanner Hudson</t>
  </si>
  <si>
    <t>Jelani Woods</t>
  </si>
  <si>
    <t>John FitzPatrick</t>
  </si>
  <si>
    <t>Stephen Carlson</t>
  </si>
  <si>
    <t>Giovanni Ricci</t>
  </si>
  <si>
    <t>Stephen Sullivan</t>
  </si>
  <si>
    <t>Lawrence Cager</t>
  </si>
  <si>
    <t>Shane Zylstra</t>
  </si>
  <si>
    <t>Zach Gentry</t>
  </si>
  <si>
    <t>Ian Thomas</t>
  </si>
  <si>
    <t>Cade Stover</t>
  </si>
  <si>
    <t>MyCole Pruitt</t>
  </si>
  <si>
    <t>Ross Dwelley</t>
  </si>
  <si>
    <t>Payne Durham</t>
  </si>
  <si>
    <t>Drew Sample</t>
  </si>
  <si>
    <t>Luke Farrell</t>
  </si>
  <si>
    <t>Julian Hill</t>
  </si>
  <si>
    <t>Geoff Swaim</t>
  </si>
  <si>
    <t>Charlie Woerner</t>
  </si>
  <si>
    <t>Brady Russell</t>
  </si>
  <si>
    <t>Brevin Jordan</t>
  </si>
  <si>
    <t>Nick Vannett</t>
  </si>
  <si>
    <t>Will Mallory</t>
  </si>
  <si>
    <t>Cole Fotheringham</t>
  </si>
  <si>
    <t>Marcedes Lewis</t>
  </si>
  <si>
    <t>Thomas Odukoya</t>
  </si>
  <si>
    <t>Devin Culp</t>
  </si>
  <si>
    <t>Teagan Quitoriano</t>
  </si>
  <si>
    <t>Hunter Long</t>
  </si>
  <si>
    <t>Erick All Jr.</t>
  </si>
  <si>
    <t>Adam Trautman</t>
  </si>
  <si>
    <t>Tyler Kroft</t>
  </si>
  <si>
    <t>Stone Smartt</t>
  </si>
  <si>
    <t>Nate Adkins</t>
  </si>
  <si>
    <t>Chris Manhertz</t>
  </si>
  <si>
    <t>Chris Myarick</t>
  </si>
  <si>
    <t>Josiah Deguara</t>
  </si>
  <si>
    <t>James Mitchell</t>
  </si>
  <si>
    <t>Jody Fortson Jr.</t>
  </si>
  <si>
    <t>Isaac Rex</t>
  </si>
  <si>
    <t>Treyton Welch</t>
  </si>
  <si>
    <t>Sammis Reyes</t>
  </si>
  <si>
    <t>Nikola Kalinic</t>
  </si>
  <si>
    <t>Kehinde Oginni</t>
  </si>
  <si>
    <t>Eric Tomlinson</t>
  </si>
  <si>
    <t>Tanner Conner</t>
  </si>
  <si>
    <t>Zach Davidson</t>
  </si>
  <si>
    <t>Brycen Hopkins</t>
  </si>
  <si>
    <t>Rodney Williams</t>
  </si>
  <si>
    <t>Bernhard Seikovits</t>
  </si>
  <si>
    <t>Danny Pinter</t>
  </si>
  <si>
    <t>Dallin Holker</t>
  </si>
  <si>
    <t>David Martin-Robinson</t>
  </si>
  <si>
    <t>Trey Knox</t>
  </si>
  <si>
    <t>Alec Holler</t>
  </si>
  <si>
    <t>Tyler Mabry</t>
  </si>
  <si>
    <t>Zaire Mitchell-Paden</t>
  </si>
  <si>
    <t>Tyree Jackson</t>
  </si>
  <si>
    <t>Bernhard Raimann</t>
  </si>
  <si>
    <t>Travis Vokolek</t>
  </si>
  <si>
    <t>Zach Heins</t>
  </si>
  <si>
    <t>Patrick Scales</t>
  </si>
  <si>
    <t>La'Michael Pettway</t>
  </si>
  <si>
    <t>Michael Jacobson</t>
  </si>
  <si>
    <t>Jordan Murray</t>
  </si>
  <si>
    <t>Austin Stogner</t>
  </si>
  <si>
    <t>Tanner McLachlan</t>
  </si>
  <si>
    <t>Jack Westover</t>
  </si>
  <si>
    <t>Jacob Hollister</t>
  </si>
  <si>
    <t>Tip Reiman</t>
  </si>
  <si>
    <t>Colson Yankoff</t>
  </si>
  <si>
    <t>Mitchell Fraboni</t>
  </si>
  <si>
    <t>Cam Grandy</t>
  </si>
  <si>
    <t>Andrew DePaola</t>
  </si>
  <si>
    <t>Tommy Sweeney</t>
  </si>
  <si>
    <t>Jaheim Bell</t>
  </si>
  <si>
    <t>Matt Sokol</t>
  </si>
  <si>
    <t>Trevon Wesco</t>
  </si>
  <si>
    <t>David Wells</t>
  </si>
  <si>
    <t>Daniel Brunskill</t>
  </si>
  <si>
    <t>Sean McKeon</t>
  </si>
  <si>
    <t>Parker Hesse</t>
  </si>
  <si>
    <t>Thomas Yassmin</t>
  </si>
  <si>
    <t>Ryan Miller</t>
  </si>
  <si>
    <t>Tre' McKitty</t>
  </si>
  <si>
    <t>Luke Benson</t>
  </si>
  <si>
    <t>Kevin Rader</t>
  </si>
  <si>
    <t>Jacob Warren</t>
  </si>
  <si>
    <t>Josh Pederson</t>
  </si>
  <si>
    <t>Tommy Hudson</t>
  </si>
  <si>
    <t>Patrick Murtagh</t>
  </si>
  <si>
    <t>Princeton Fant</t>
  </si>
  <si>
    <t>Hayden Rucci</t>
  </si>
  <si>
    <t>Tyler Ott</t>
  </si>
  <si>
    <t>Brandon Dillon</t>
  </si>
  <si>
    <t>Tucker Fisk</t>
  </si>
  <si>
    <t>Tanner Taula</t>
  </si>
  <si>
    <t>Hunter Kampmoyer</t>
  </si>
  <si>
    <t>Charlie Heck</t>
  </si>
  <si>
    <t>Blake Whiteheart</t>
  </si>
  <si>
    <t>Drew Ogletree</t>
  </si>
  <si>
    <t>Sal Cannella</t>
  </si>
  <si>
    <t>John Samuel Shenker</t>
  </si>
  <si>
    <t>Leroy Watson IV</t>
  </si>
  <si>
    <t>Feleipe Franks</t>
  </si>
  <si>
    <t>Mason Fairchild</t>
  </si>
  <si>
    <t>Jordan Thomas</t>
  </si>
  <si>
    <t>Dylan Leonard</t>
  </si>
  <si>
    <t>Curtis Hodges</t>
  </si>
  <si>
    <t>Steven Stilianos</t>
  </si>
  <si>
    <t>Brevyn Spann-Ford</t>
  </si>
  <si>
    <t>Shawn Bowman</t>
  </si>
  <si>
    <t>Miller Forristall</t>
  </si>
  <si>
    <t>Cal Adomitis</t>
  </si>
  <si>
    <t>Jesper Horsted</t>
  </si>
  <si>
    <t>Dalton Keene</t>
  </si>
  <si>
    <t>Nick Muse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</si>
</sst>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Dialog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5" applyNumberFormat="0" applyAlignment="0" applyProtection="0"/>
    <xf numFmtId="0" fontId="14" fillId="6" borderId="6" applyNumberFormat="0" applyAlignment="0" applyProtection="0"/>
    <xf numFmtId="0" fontId="15" fillId="6" borderId="5" applyNumberFormat="0" applyAlignment="0" applyProtection="0"/>
    <xf numFmtId="0" fontId="16" fillId="0" borderId="7" applyNumberFormat="0" applyFill="0" applyAlignment="0" applyProtection="0"/>
    <xf numFmtId="0" fontId="17" fillId="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1" fillId="32" borderId="0" applyNumberFormat="0" applyBorder="0" applyAlignment="0" applyProtection="0"/>
    <xf numFmtId="0" fontId="3" fillId="0" borderId="0"/>
    <xf numFmtId="0" fontId="3" fillId="8" borderId="9" applyNumberFormat="0" applyFont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9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54">
    <xf numFmtId="0" fontId="0" fillId="0" borderId="0" xfId="0"/>
    <xf numFmtId="0" fontId="4" fillId="0" borderId="0" xfId="1"/>
    <xf numFmtId="0" fontId="0" fillId="0" borderId="0" xfId="0" applyProtection="1">
      <protection locked="0"/>
    </xf>
    <xf numFmtId="0" fontId="5" fillId="0" borderId="0" xfId="0" applyFont="1"/>
    <xf numFmtId="0" fontId="0" fillId="0" borderId="1" xfId="0" applyBorder="1"/>
    <xf numFmtId="0" fontId="0" fillId="0" borderId="0" xfId="0" applyBorder="1"/>
    <xf numFmtId="0" fontId="5" fillId="0" borderId="0" xfId="0" applyFont="1" applyBorder="1"/>
    <xf numFmtId="0" fontId="5" fillId="0" borderId="1" xfId="0" applyFont="1" applyBorder="1"/>
    <xf numFmtId="0" fontId="0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5" fillId="0" borderId="1" xfId="0" applyFont="1" applyBorder="1" applyProtection="1"/>
    <xf numFmtId="0" fontId="5" fillId="0" borderId="1" xfId="0" applyFont="1" applyBorder="1" applyAlignment="1">
      <alignment horizontal="center"/>
    </xf>
    <xf numFmtId="0" fontId="0" fillId="0" borderId="0" xfId="0"/>
    <xf numFmtId="0" fontId="22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5" fillId="0" borderId="11" xfId="0" applyFont="1" applyBorder="1"/>
    <xf numFmtId="0" fontId="3" fillId="0" borderId="0" xfId="42"/>
    <xf numFmtId="0" fontId="3" fillId="0" borderId="0" xfId="42"/>
    <xf numFmtId="0" fontId="0" fillId="0" borderId="0" xfId="0"/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right"/>
    </xf>
    <xf numFmtId="0" fontId="1" fillId="0" borderId="0" xfId="58"/>
    <xf numFmtId="0" fontId="1" fillId="0" borderId="0" xfId="58"/>
    <xf numFmtId="0" fontId="1" fillId="0" borderId="0" xfId="58"/>
    <xf numFmtId="0" fontId="1" fillId="0" borderId="0" xfId="58"/>
    <xf numFmtId="0" fontId="1" fillId="0" borderId="0" xfId="58"/>
    <xf numFmtId="0" fontId="1" fillId="0" borderId="0" xfId="58"/>
    <xf numFmtId="0" fontId="1" fillId="0" borderId="0" xfId="58"/>
    <xf numFmtId="0" fontId="1" fillId="0" borderId="0" xfId="58"/>
    <xf numFmtId="0" fontId="1" fillId="0" borderId="0" xfId="58"/>
    <xf numFmtId="0" fontId="1" fillId="0" borderId="0" xfId="58"/>
    <xf numFmtId="0" fontId="1" fillId="0" borderId="0" xfId="58"/>
    <xf numFmtId="0" fontId="1" fillId="0" borderId="0" xfId="58"/>
    <xf numFmtId="0" fontId="1" fillId="0" borderId="0" xfId="58"/>
    <xf numFmtId="0" fontId="1" fillId="0" borderId="0" xfId="58"/>
    <xf numFmtId="0" fontId="1" fillId="0" borderId="0" xfId="58"/>
    <xf numFmtId="0" fontId="1" fillId="0" borderId="0" xfId="58"/>
    <xf numFmtId="0" fontId="1" fillId="0" borderId="0" xfId="58"/>
    <xf numFmtId="0" fontId="1" fillId="0" borderId="0" xfId="58"/>
    <xf numFmtId="0" fontId="1" fillId="0" borderId="0" xfId="58"/>
    <xf numFmtId="0" fontId="1" fillId="0" borderId="0" xfId="58"/>
    <xf numFmtId="0" fontId="1" fillId="0" borderId="0" xfId="58"/>
    <xf numFmtId="0" fontId="1" fillId="0" borderId="0" xfId="58"/>
    <xf numFmtId="0" fontId="1" fillId="0" borderId="0" xfId="58"/>
    <xf numFmtId="0" fontId="1" fillId="0" borderId="0" xfId="58"/>
    <xf numFmtId="0" fontId="1" fillId="0" borderId="0" xfId="58"/>
    <xf numFmtId="0" fontId="1" fillId="0" borderId="0" xfId="58"/>
    <xf numFmtId="0" fontId="1" fillId="0" borderId="0" xfId="58"/>
    <xf numFmtId="0" fontId="1" fillId="0" borderId="0" xfId="58"/>
    <xf numFmtId="0" fontId="1" fillId="0" borderId="0" xfId="58"/>
    <xf numFmtId="0" fontId="1" fillId="0" borderId="0" xfId="58"/>
    <xf numFmtId="0" fontId="1" fillId="0" borderId="0" xfId="58"/>
    <xf numFmtId="0" fontId="1" fillId="0" borderId="0" xfId="58"/>
    <xf numFmtId="0" fontId="1" fillId="0" borderId="0" xfId="58"/>
  </cellXfs>
  <cellStyles count="72">
    <cellStyle name="20% - Accent1" xfId="19" builtinId="30" customBuiltin="1"/>
    <cellStyle name="20% - Accent1 2" xfId="46"/>
    <cellStyle name="20% - Accent1 3" xfId="60"/>
    <cellStyle name="20% - Accent2" xfId="23" builtinId="34" customBuiltin="1"/>
    <cellStyle name="20% - Accent2 2" xfId="48"/>
    <cellStyle name="20% - Accent2 3" xfId="62"/>
    <cellStyle name="20% - Accent3" xfId="27" builtinId="38" customBuiltin="1"/>
    <cellStyle name="20% - Accent3 2" xfId="50"/>
    <cellStyle name="20% - Accent3 3" xfId="64"/>
    <cellStyle name="20% - Accent4" xfId="31" builtinId="42" customBuiltin="1"/>
    <cellStyle name="20% - Accent4 2" xfId="52"/>
    <cellStyle name="20% - Accent4 3" xfId="66"/>
    <cellStyle name="20% - Accent5" xfId="35" builtinId="46" customBuiltin="1"/>
    <cellStyle name="20% - Accent5 2" xfId="54"/>
    <cellStyle name="20% - Accent5 3" xfId="68"/>
    <cellStyle name="20% - Accent6" xfId="39" builtinId="50" customBuiltin="1"/>
    <cellStyle name="20% - Accent6 2" xfId="56"/>
    <cellStyle name="20% - Accent6 3" xfId="70"/>
    <cellStyle name="40% - Accent1" xfId="20" builtinId="31" customBuiltin="1"/>
    <cellStyle name="40% - Accent1 2" xfId="47"/>
    <cellStyle name="40% - Accent1 3" xfId="61"/>
    <cellStyle name="40% - Accent2" xfId="24" builtinId="35" customBuiltin="1"/>
    <cellStyle name="40% - Accent2 2" xfId="49"/>
    <cellStyle name="40% - Accent2 3" xfId="63"/>
    <cellStyle name="40% - Accent3" xfId="28" builtinId="39" customBuiltin="1"/>
    <cellStyle name="40% - Accent3 2" xfId="51"/>
    <cellStyle name="40% - Accent3 3" xfId="65"/>
    <cellStyle name="40% - Accent4" xfId="32" builtinId="43" customBuiltin="1"/>
    <cellStyle name="40% - Accent4 2" xfId="53"/>
    <cellStyle name="40% - Accent4 3" xfId="67"/>
    <cellStyle name="40% - Accent5" xfId="36" builtinId="47" customBuiltin="1"/>
    <cellStyle name="40% - Accent5 2" xfId="55"/>
    <cellStyle name="40% - Accent5 3" xfId="69"/>
    <cellStyle name="40% - Accent6" xfId="40" builtinId="51" customBuiltin="1"/>
    <cellStyle name="40% - Accent6 2" xfId="57"/>
    <cellStyle name="40% - Accent6 3" xfId="7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/>
    <cellStyle name="Normal 3" xfId="42"/>
    <cellStyle name="Normal 4" xfId="44"/>
    <cellStyle name="Normal 5" xfId="58"/>
    <cellStyle name="Note 2" xfId="43"/>
    <cellStyle name="Note 3" xfId="45"/>
    <cellStyle name="Note 4" xfId="59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12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38"/>
  <sheetViews>
    <sheetView tabSelected="1" workbookViewId="0">
      <selection activeCell="B9" sqref="B9"/>
    </sheetView>
  </sheetViews>
  <sheetFormatPr defaultRowHeight="15"/>
  <cols>
    <col min="1" max="1" width="9.5703125" bestFit="1" customWidth="1"/>
    <col min="2" max="2" width="18.140625" style="2" bestFit="1" customWidth="1"/>
    <col min="3" max="3" width="8.42578125" bestFit="1" customWidth="1"/>
    <col min="4" max="5" width="6" customWidth="1"/>
    <col min="7" max="7" width="16.28515625" style="2" bestFit="1" customWidth="1"/>
    <col min="8" max="8" width="7.7109375" bestFit="1" customWidth="1"/>
    <col min="9" max="10" width="6.28515625" customWidth="1"/>
    <col min="12" max="12" width="19" style="2" bestFit="1" customWidth="1"/>
    <col min="13" max="13" width="7.7109375" bestFit="1" customWidth="1"/>
    <col min="14" max="15" width="6.28515625" customWidth="1"/>
    <col min="16" max="16" width="9.140625" style="18"/>
    <col min="17" max="17" width="19" style="18" bestFit="1" customWidth="1"/>
    <col min="18" max="18" width="7.7109375" style="2" bestFit="1" customWidth="1"/>
    <col min="19" max="20" width="6.28515625" style="2" customWidth="1"/>
    <col min="21" max="21" width="9.140625" style="2"/>
    <col min="22" max="22" width="19" style="2" bestFit="1" customWidth="1"/>
    <col min="23" max="23" width="7.7109375" style="2" bestFit="1" customWidth="1"/>
    <col min="24" max="25" width="6.28515625" style="2" customWidth="1"/>
    <col min="26" max="26" width="9.140625" style="2"/>
    <col min="27" max="27" width="19" style="2" bestFit="1" customWidth="1"/>
    <col min="28" max="28" width="7.7109375" style="2" bestFit="1" customWidth="1"/>
    <col min="29" max="30" width="6.28515625" style="2" customWidth="1"/>
    <col min="31" max="31" width="9.140625" style="2"/>
    <col min="32" max="32" width="19" style="5" bestFit="1" customWidth="1"/>
    <col min="33" max="33" width="7.7109375" style="5" bestFit="1" customWidth="1"/>
    <col min="34" max="34" width="5.140625" style="5" bestFit="1" customWidth="1"/>
  </cols>
  <sheetData>
    <row r="1" spans="1:36">
      <c r="A1" s="7" t="s">
        <v>0</v>
      </c>
      <c r="B1" s="7" t="s">
        <v>54</v>
      </c>
      <c r="C1" s="20" t="s">
        <v>2</v>
      </c>
      <c r="D1" s="20" t="s">
        <v>265</v>
      </c>
      <c r="E1" s="11" t="s">
        <v>117</v>
      </c>
      <c r="F1" s="5"/>
      <c r="G1" s="7" t="s">
        <v>54</v>
      </c>
      <c r="H1" s="20" t="s">
        <v>2</v>
      </c>
      <c r="I1" s="20" t="s">
        <v>265</v>
      </c>
      <c r="J1" s="11" t="s">
        <v>117</v>
      </c>
      <c r="K1" s="15"/>
      <c r="L1" s="10" t="s">
        <v>54</v>
      </c>
      <c r="M1" s="20" t="s">
        <v>2</v>
      </c>
      <c r="N1" s="20" t="s">
        <v>265</v>
      </c>
      <c r="O1" s="11" t="s">
        <v>117</v>
      </c>
      <c r="AF1" s="6"/>
      <c r="AG1" s="6"/>
      <c r="AH1" s="6"/>
      <c r="AI1" s="3"/>
      <c r="AJ1" s="3"/>
    </row>
    <row r="2" spans="1:36">
      <c r="A2" s="7" t="s">
        <v>22</v>
      </c>
      <c r="B2" s="8" t="s">
        <v>277</v>
      </c>
      <c r="C2" s="19">
        <f>IFERROR(IF(INDEX(Players,MATCH(B2,nickname,0),MATCH($C$1,Players!$1:$1,0))=0,"",INDEX(Players,MATCH(B2,nickname,0),MATCH($C$1,Players!$1:$1,0))),"")</f>
        <v>7600</v>
      </c>
      <c r="D2" s="19">
        <f>IFERROR(IF(INDEX(Players,MATCH(B2,nickname,0),MATCH($D$1,Players!$1:$1,0))=0,"",INDEX(Players,MATCH(B2,nickname,0),MATCH($D$1,Players!$1:$1,0))),"")</f>
        <v>18.512307974008401</v>
      </c>
      <c r="E2" s="14" t="str">
        <f t="shared" ref="E2:E9" si="0">IFERROR(IF(VLOOKUP(B2,playerlkp,3,0)=0,"",VLOOKUP(B2,playerlkp,3,0)),"")</f>
        <v/>
      </c>
      <c r="F2" s="5"/>
      <c r="G2" s="8" t="s">
        <v>277</v>
      </c>
      <c r="H2" s="19">
        <f>IFERROR(IF(INDEX(Players,MATCH(G2,nickname,0),MATCH($C$1,Players!$1:$1,0))=0,"",INDEX(Players,MATCH(G2,nickname,0),MATCH($C$1,Players!$1:$1,0))),"")</f>
        <v>7600</v>
      </c>
      <c r="I2" s="19">
        <f>IFERROR(IF(INDEX(Players,MATCH(G2,nickname,0),MATCH($D$1,Players!$1:$1,0))=0,"",INDEX(Players,MATCH(G2,nickname,0),MATCH($D$1,Players!$1:$1,0))),"")</f>
        <v>18.512307974008401</v>
      </c>
      <c r="J2" s="14" t="str">
        <f t="shared" ref="J2:J9" si="1">IFERROR(IF(VLOOKUP(G2,playerlkp,3,0)=0,"",VLOOKUP(G2,playerlkp,3,0)),"")</f>
        <v/>
      </c>
      <c r="K2" s="9"/>
      <c r="L2" s="8" t="s">
        <v>71</v>
      </c>
      <c r="M2" s="19">
        <f>IFERROR(IF(INDEX(Players,MATCH(L2,nickname,0),MATCH($C$1,Players!$1:$1,0))=0,"",INDEX(Players,MATCH(L2,nickname,0),MATCH($C$1,Players!$1:$1,0))),"")</f>
        <v>7200</v>
      </c>
      <c r="N2" s="19">
        <f>IFERROR(IF(INDEX(Players,MATCH(L2,nickname,0),MATCH($D$1,Players!$1:$1,0))=0,"",INDEX(Players,MATCH(L2,nickname,0),MATCH($D$1,Players!$1:$1,0))),"")</f>
        <v>17.7157897949218</v>
      </c>
      <c r="O2" s="14" t="str">
        <f t="shared" ref="O2:O9" si="2">IFERROR(IF(VLOOKUP(L2,playerlkp,3,0)=0,"",VLOOKUP(L2,playerlkp,3,0)),"")</f>
        <v/>
      </c>
    </row>
    <row r="3" spans="1:36">
      <c r="A3" s="7" t="s">
        <v>48</v>
      </c>
      <c r="B3" s="8" t="s">
        <v>4</v>
      </c>
      <c r="C3" s="19">
        <f>IFERROR(IF(INDEX(Players,MATCH(B3,nickname,0),MATCH($C$1,Players!$1:$1,0))=0,"",INDEX(Players,MATCH(B3,nickname,0),MATCH($C$1,Players!$1:$1,0))),"")</f>
        <v>6600</v>
      </c>
      <c r="D3" s="19">
        <f>IFERROR(IF(INDEX(Players,MATCH(B3,nickname,0),MATCH($D$1,Players!$1:$1,0))=0,"",INDEX(Players,MATCH(B3,nickname,0),MATCH($D$1,Players!$1:$1,0))),"")</f>
        <v>16.1687507629394</v>
      </c>
      <c r="E3" s="14" t="str">
        <f t="shared" si="0"/>
        <v/>
      </c>
      <c r="F3" s="5"/>
      <c r="G3" s="8" t="s">
        <v>19</v>
      </c>
      <c r="H3" s="19">
        <f>IFERROR(IF(INDEX(Players,MATCH(G3,nickname,0),MATCH($C$1,Players!$1:$1,0))=0,"",INDEX(Players,MATCH(G3,nickname,0),MATCH($C$1,Players!$1:$1,0))),"")</f>
        <v>8000</v>
      </c>
      <c r="I3" s="19">
        <f>IFERROR(IF(INDEX(Players,MATCH(G3,nickname,0),MATCH($D$1,Players!$1:$1,0))=0,"",INDEX(Players,MATCH(G3,nickname,0),MATCH($D$1,Players!$1:$1,0))),"")</f>
        <v>14.522221883138</v>
      </c>
      <c r="J3" s="14" t="str">
        <f t="shared" si="1"/>
        <v/>
      </c>
      <c r="L3" s="8" t="s">
        <v>4</v>
      </c>
      <c r="M3" s="19">
        <f>IFERROR(IF(INDEX(Players,MATCH(L3,nickname,0),MATCH($C$1,Players!$1:$1,0))=0,"",INDEX(Players,MATCH(L3,nickname,0),MATCH($C$1,Players!$1:$1,0))),"")</f>
        <v>6600</v>
      </c>
      <c r="N3" s="19">
        <f>IFERROR(IF(INDEX(Players,MATCH(L3,nickname,0),MATCH($D$1,Players!$1:$1,0))=0,"",INDEX(Players,MATCH(L3,nickname,0),MATCH($D$1,Players!$1:$1,0))),"")</f>
        <v>16.1687507629394</v>
      </c>
      <c r="O3" s="14" t="str">
        <f t="shared" si="2"/>
        <v/>
      </c>
      <c r="P3"/>
    </row>
    <row r="4" spans="1:36">
      <c r="A4" s="7" t="s">
        <v>49</v>
      </c>
      <c r="B4" s="53" t="s">
        <v>28</v>
      </c>
      <c r="C4" s="19">
        <f>IFERROR(IF(INDEX(Players,MATCH(B4,nickname,0),MATCH($C$1,Players!$1:$1,0))=0,"",INDEX(Players,MATCH(B4,nickname,0),MATCH($C$1,Players!$1:$1,0))),"")</f>
        <v>7000</v>
      </c>
      <c r="D4" s="19">
        <f>IFERROR(IF(INDEX(Players,MATCH(B4,nickname,0),MATCH($D$1,Players!$1:$1,0))=0,"",INDEX(Players,MATCH(B4,nickname,0),MATCH($D$1,Players!$1:$1,0))),"")</f>
        <v>13.1666666666666</v>
      </c>
      <c r="E4" s="14" t="str">
        <f t="shared" si="0"/>
        <v/>
      </c>
      <c r="F4" s="5"/>
      <c r="G4" s="4" t="s">
        <v>352</v>
      </c>
      <c r="H4" s="19">
        <f>IFERROR(IF(INDEX(Players,MATCH(G4,nickname,0),MATCH($C$1,Players!$1:$1,0))=0,"",INDEX(Players,MATCH(G4,nickname,0),MATCH($C$1,Players!$1:$1,0))),"")</f>
        <v>7600</v>
      </c>
      <c r="I4" s="19">
        <f>IFERROR(IF(INDEX(Players,MATCH(G4,nickname,0),MATCH($D$1,Players!$1:$1,0))=0,"",INDEX(Players,MATCH(G4,nickname,0),MATCH($D$1,Players!$1:$1,0))),"")</f>
        <v>12.1736843711451</v>
      </c>
      <c r="J4" s="14" t="str">
        <f t="shared" si="1"/>
        <v/>
      </c>
      <c r="L4" s="8" t="s">
        <v>19</v>
      </c>
      <c r="M4" s="19">
        <f>IFERROR(IF(INDEX(Players,MATCH(L4,nickname,0),MATCH($C$1,Players!$1:$1,0))=0,"",INDEX(Players,MATCH(L4,nickname,0),MATCH($C$1,Players!$1:$1,0))),"")</f>
        <v>8000</v>
      </c>
      <c r="N4" s="19">
        <f>IFERROR(IF(INDEX(Players,MATCH(L4,nickname,0),MATCH($D$1,Players!$1:$1,0))=0,"",INDEX(Players,MATCH(L4,nickname,0),MATCH($D$1,Players!$1:$1,0))),"")</f>
        <v>14.522221883138</v>
      </c>
      <c r="O4" s="14" t="str">
        <f t="shared" si="2"/>
        <v/>
      </c>
    </row>
    <row r="5" spans="1:36">
      <c r="A5" s="7" t="s">
        <v>50</v>
      </c>
      <c r="B5" s="8" t="s">
        <v>35</v>
      </c>
      <c r="C5" s="19">
        <f>IFERROR(IF(INDEX(Players,MATCH(B5,nickname,0),MATCH($C$1,Players!$1:$1,0))=0,"",INDEX(Players,MATCH(B5,nickname,0),MATCH($C$1,Players!$1:$1,0))),"")</f>
        <v>8400</v>
      </c>
      <c r="D5" s="19">
        <f>IFERROR(IF(INDEX(Players,MATCH(B5,nickname,0),MATCH($D$1,Players!$1:$1,0))=0,"",INDEX(Players,MATCH(B5,nickname,0),MATCH($D$1,Players!$1:$1,0))),"")</f>
        <v>15.2444441053602</v>
      </c>
      <c r="E5" s="14" t="str">
        <f t="shared" si="0"/>
        <v/>
      </c>
      <c r="F5" s="5"/>
      <c r="G5" s="8" t="s">
        <v>35</v>
      </c>
      <c r="H5" s="19">
        <f>IFERROR(IF(INDEX(Players,MATCH(G5,nickname,0),MATCH($C$1,Players!$1:$1,0))=0,"",INDEX(Players,MATCH(G5,nickname,0),MATCH($C$1,Players!$1:$1,0))),"")</f>
        <v>8400</v>
      </c>
      <c r="I5" s="19">
        <f>IFERROR(IF(INDEX(Players,MATCH(G5,nickname,0),MATCH($D$1,Players!$1:$1,0))=0,"",INDEX(Players,MATCH(G5,nickname,0),MATCH($D$1,Players!$1:$1,0))),"")</f>
        <v>15.2444441053602</v>
      </c>
      <c r="J5" s="14" t="str">
        <f t="shared" si="1"/>
        <v/>
      </c>
      <c r="L5" s="8" t="s">
        <v>32</v>
      </c>
      <c r="M5" s="19">
        <f>IFERROR(IF(INDEX(Players,MATCH(L5,nickname,0),MATCH($C$1,Players!$1:$1,0))=0,"",INDEX(Players,MATCH(L5,nickname,0),MATCH($C$1,Players!$1:$1,0))),"")</f>
        <v>9600</v>
      </c>
      <c r="N5" s="19">
        <f>IFERROR(IF(INDEX(Players,MATCH(L5,nickname,0),MATCH($D$1,Players!$1:$1,0))=0,"",INDEX(Players,MATCH(L5,nickname,0),MATCH($D$1,Players!$1:$1,0))),"")</f>
        <v>19.505882711971498</v>
      </c>
      <c r="O5" s="14" t="str">
        <f t="shared" si="2"/>
        <v/>
      </c>
    </row>
    <row r="6" spans="1:36">
      <c r="A6" s="7" t="s">
        <v>51</v>
      </c>
      <c r="B6" s="8" t="s">
        <v>493</v>
      </c>
      <c r="C6" s="19">
        <f>IFERROR(IF(INDEX(Players,MATCH(B6,nickname,0),MATCH($C$1,Players!$1:$1,0))=0,"",INDEX(Players,MATCH(B6,nickname,0),MATCH($C$1,Players!$1:$1,0))),"")</f>
        <v>5400</v>
      </c>
      <c r="D6" s="19">
        <f>IFERROR(IF(INDEX(Players,MATCH(B6,nickname,0),MATCH($D$1,Players!$1:$1,0))=0,"",INDEX(Players,MATCH(B6,nickname,0),MATCH($D$1,Players!$1:$1,0))),"")</f>
        <v>6.5611110263400603</v>
      </c>
      <c r="E6" s="14" t="str">
        <f t="shared" si="0"/>
        <v/>
      </c>
      <c r="F6" s="5"/>
      <c r="G6" s="8" t="s">
        <v>212</v>
      </c>
      <c r="H6" s="19">
        <f>IFERROR(IF(INDEX(Players,MATCH(G6,nickname,0),MATCH($C$1,Players!$1:$1,0))=0,"",INDEX(Players,MATCH(G6,nickname,0),MATCH($C$1,Players!$1:$1,0))),"")</f>
        <v>6400</v>
      </c>
      <c r="I6" s="19">
        <f>IFERROR(IF(INDEX(Players,MATCH(G6,nickname,0),MATCH($D$1,Players!$1:$1,0))=0,"",INDEX(Players,MATCH(G6,nickname,0),MATCH($D$1,Players!$1:$1,0))),"")</f>
        <v>14.15</v>
      </c>
      <c r="J6" s="14" t="str">
        <f t="shared" si="1"/>
        <v/>
      </c>
      <c r="L6" s="8"/>
      <c r="M6" s="19" t="str">
        <f>IFERROR(IF(INDEX(Players,MATCH(L6,nickname,0),MATCH($C$1,Players!$1:$1,0))=0,"",INDEX(Players,MATCH(L6,nickname,0),MATCH($C$1,Players!$1:$1,0))),"")</f>
        <v/>
      </c>
      <c r="N6" s="19" t="str">
        <f>IFERROR(IF(INDEX(Players,MATCH(L6,nickname,0),MATCH($D$1,Players!$1:$1,0))=0,"",INDEX(Players,MATCH(L6,nickname,0),MATCH($D$1,Players!$1:$1,0))),"")</f>
        <v/>
      </c>
      <c r="O6" s="14" t="str">
        <f t="shared" si="2"/>
        <v/>
      </c>
    </row>
    <row r="7" spans="1:36">
      <c r="A7" s="7" t="s">
        <v>52</v>
      </c>
      <c r="B7" s="8" t="s">
        <v>13</v>
      </c>
      <c r="C7" s="19">
        <f>IFERROR(IF(INDEX(Players,MATCH(B7,nickname,0),MATCH($C$1,Players!$1:$1,0))=0,"",INDEX(Players,MATCH(B7,nickname,0),MATCH($C$1,Players!$1:$1,0))),"")</f>
        <v>7100</v>
      </c>
      <c r="D7" s="19">
        <f>IFERROR(IF(INDEX(Players,MATCH(B7,nickname,0),MATCH($D$1,Players!$1:$1,0))=0,"",INDEX(Players,MATCH(B7,nickname,0),MATCH($D$1,Players!$1:$1,0))),"")</f>
        <v>13.816666497124499</v>
      </c>
      <c r="E7" s="14" t="str">
        <f t="shared" si="0"/>
        <v/>
      </c>
      <c r="F7" s="5"/>
      <c r="G7" s="8" t="s">
        <v>480</v>
      </c>
      <c r="H7" s="19">
        <f>IFERROR(IF(INDEX(Players,MATCH(G7,nickname,0),MATCH($C$1,Players!$1:$1,0))=0,"",INDEX(Players,MATCH(G7,nickname,0),MATCH($C$1,Players!$1:$1,0))),"")</f>
        <v>6800</v>
      </c>
      <c r="I7" s="19">
        <f>IFERROR(IF(INDEX(Players,MATCH(G7,nickname,0),MATCH($D$1,Players!$1:$1,0))=0,"",INDEX(Players,MATCH(G7,nickname,0),MATCH($D$1,Players!$1:$1,0))),"")</f>
        <v>12.278947529039799</v>
      </c>
      <c r="J7" s="14" t="str">
        <f t="shared" si="1"/>
        <v/>
      </c>
      <c r="L7" s="8"/>
      <c r="M7" s="19" t="str">
        <f>IFERROR(IF(INDEX(Players,MATCH(L7,nickname,0),MATCH($C$1,Players!$1:$1,0))=0,"",INDEX(Players,MATCH(L7,nickname,0),MATCH($C$1,Players!$1:$1,0))),"")</f>
        <v/>
      </c>
      <c r="N7" s="19" t="str">
        <f>IFERROR(IF(INDEX(Players,MATCH(L7,nickname,0),MATCH($D$1,Players!$1:$1,0))=0,"",INDEX(Players,MATCH(L7,nickname,0),MATCH($D$1,Players!$1:$1,0))),"")</f>
        <v/>
      </c>
      <c r="O7" s="14" t="str">
        <f t="shared" si="2"/>
        <v/>
      </c>
    </row>
    <row r="8" spans="1:36">
      <c r="A8" s="7" t="s">
        <v>36</v>
      </c>
      <c r="B8" s="8" t="s">
        <v>179</v>
      </c>
      <c r="C8" s="19">
        <f>IFERROR(IF(INDEX(Players,MATCH(B8,nickname,0),MATCH($C$1,Players!$1:$1,0))=0,"",INDEX(Players,MATCH(B8,nickname,0),MATCH($C$1,Players!$1:$1,0))),"")</f>
        <v>5200</v>
      </c>
      <c r="D8" s="19">
        <f>IFERROR(IF(INDEX(Players,MATCH(B8,nickname,0),MATCH($D$1,Players!$1:$1,0))=0,"",INDEX(Players,MATCH(B8,nickname,0),MATCH($D$1,Players!$1:$1,0))),"")</f>
        <v>6.7166667514377103</v>
      </c>
      <c r="E8" s="14" t="str">
        <f t="shared" si="0"/>
        <v/>
      </c>
      <c r="F8" s="5"/>
      <c r="G8" s="8" t="s">
        <v>760</v>
      </c>
      <c r="H8" s="19">
        <f>IFERROR(IF(INDEX(Players,MATCH(G8,nickname,0),MATCH($C$1,Players!$1:$1,0))=0,"",INDEX(Players,MATCH(G8,nickname,0),MATCH($C$1,Players!$1:$1,0))),"")</f>
        <v>6000</v>
      </c>
      <c r="I8" s="19">
        <f>IFERROR(IF(INDEX(Players,MATCH(G8,nickname,0),MATCH($D$1,Players!$1:$1,0))=0,"",INDEX(Players,MATCH(G8,nickname,0),MATCH($D$1,Players!$1:$1,0))),"")</f>
        <v>9.6611107720269001</v>
      </c>
      <c r="J8" s="14" t="str">
        <f t="shared" si="1"/>
        <v/>
      </c>
      <c r="L8" s="8"/>
      <c r="M8" s="19" t="str">
        <f>IFERROR(IF(INDEX(Players,MATCH(L8,nickname,0),MATCH($C$1,Players!$1:$1,0))=0,"",INDEX(Players,MATCH(L8,nickname,0),MATCH($C$1,Players!$1:$1,0))),"")</f>
        <v/>
      </c>
      <c r="N8" s="19" t="str">
        <f>IFERROR(IF(INDEX(Players,MATCH(L8,nickname,0),MATCH($D$1,Players!$1:$1,0))=0,"",INDEX(Players,MATCH(L8,nickname,0),MATCH($D$1,Players!$1:$1,0))),"")</f>
        <v/>
      </c>
      <c r="O8" s="14" t="str">
        <f t="shared" si="2"/>
        <v/>
      </c>
    </row>
    <row r="9" spans="1:36">
      <c r="A9" s="7" t="s">
        <v>12</v>
      </c>
      <c r="B9" s="8" t="s">
        <v>88</v>
      </c>
      <c r="C9" s="19">
        <f>IFERROR(IF(INDEX(Players,MATCH(B9,nickname,0),MATCH($C$1,Players!$1:$1,0))=0,"",INDEX(Players,MATCH(B9,nickname,0),MATCH($C$1,Players!$1:$1,0))),"")</f>
        <v>7800</v>
      </c>
      <c r="D9" s="19">
        <f>IFERROR(IF(INDEX(Players,MATCH(B9,nickname,0),MATCH($D$1,Players!$1:$1,0))=0,"",INDEX(Players,MATCH(B9,nickname,0),MATCH($D$1,Players!$1:$1,0))),"")</f>
        <v>18.9615384615384</v>
      </c>
      <c r="E9" s="14" t="str">
        <f t="shared" si="0"/>
        <v/>
      </c>
      <c r="F9" s="5"/>
      <c r="G9" s="4" t="s">
        <v>28</v>
      </c>
      <c r="H9" s="19">
        <f>IFERROR(IF(INDEX(Players,MATCH(G9,nickname,0),MATCH($C$1,Players!$1:$1,0))=0,"",INDEX(Players,MATCH(G9,nickname,0),MATCH($C$1,Players!$1:$1,0))),"")</f>
        <v>7000</v>
      </c>
      <c r="I9" s="19">
        <f>IFERROR(IF(INDEX(Players,MATCH(G9,nickname,0),MATCH($D$1,Players!$1:$1,0))=0,"",INDEX(Players,MATCH(G9,nickname,0),MATCH($D$1,Players!$1:$1,0))),"")</f>
        <v>13.1666666666666</v>
      </c>
      <c r="J9" s="14" t="str">
        <f t="shared" si="1"/>
        <v/>
      </c>
      <c r="L9" s="8"/>
      <c r="M9" s="19" t="str">
        <f>IFERROR(IF(INDEX(Players,MATCH(L9,nickname,0),MATCH($C$1,Players!$1:$1,0))=0,"",INDEX(Players,MATCH(L9,nickname,0),MATCH($C$1,Players!$1:$1,0))),"")</f>
        <v/>
      </c>
      <c r="N9" s="19" t="str">
        <f>IFERROR(IF(INDEX(Players,MATCH(L9,nickname,0),MATCH($D$1,Players!$1:$1,0))=0,"",INDEX(Players,MATCH(L9,nickname,0),MATCH($D$1,Players!$1:$1,0))),"")</f>
        <v/>
      </c>
      <c r="O9" s="14" t="str">
        <f t="shared" si="2"/>
        <v/>
      </c>
    </row>
    <row r="10" spans="1:36">
      <c r="A10" s="7" t="s">
        <v>53</v>
      </c>
      <c r="B10" s="8" t="s">
        <v>267</v>
      </c>
      <c r="C10" s="19">
        <f>IFERROR(IF(INDEX(Players,MATCH(B10,nickname,0),MATCH($C$1,Players!$1:$1,0))=0,"",INDEX(Players,MATCH(B10,nickname,0),MATCH($C$1,Players!$1:$1,0))),"")</f>
        <v>4500</v>
      </c>
      <c r="D10" s="19">
        <f>IFERROR(IF(INDEX(Players,MATCH(B10,nickname,0),MATCH($D$1,Players!$1:$1,0))=0,"",INDEX(Players,MATCH(B10,nickname,0),MATCH($D$1,Players!$1:$1,0))),"")</f>
        <v>9.6666666666666607</v>
      </c>
      <c r="E10" s="14" t="str">
        <f>IFERROR(IF(INDEX(Players,MATCH(B10,nickname,0),MATCH($E$1,Players!$1:$1,0))=0,"",INDEX(Players,MATCH(B10,nickname,0),MATCH($E$1,Players!$1:$1,0))), "")</f>
        <v/>
      </c>
      <c r="F10" s="5"/>
      <c r="G10" s="8" t="s">
        <v>8</v>
      </c>
      <c r="H10" s="19">
        <f>IFERROR(IF(INDEX(Players,MATCH(G10,nickname,0),MATCH($C$1,Players!$1:$1,0))=0,"",INDEX(Players,MATCH(G10,nickname,0),MATCH($C$1,Players!$1:$1,0))),"")</f>
        <v>3100</v>
      </c>
      <c r="I10" s="19">
        <f>IFERROR(IF(INDEX(Players,MATCH(G10,nickname,0),MATCH($D$1,Players!$1:$1,0))=0,"",INDEX(Players,MATCH(G10,nickname,0),MATCH($D$1,Players!$1:$1,0))),"")</f>
        <v>6.4705882352941098</v>
      </c>
      <c r="J10" s="14" t="str">
        <f>IFERROR(IF(INDEX(Players,MATCH(G10,nickname,0),MATCH($E$1,Players!$1:$1,0))=0,"",INDEX(Players,MATCH(G10,nickname,0),MATCH($E$1,Players!$1:$1,0))), "")</f>
        <v/>
      </c>
      <c r="L10" s="8"/>
      <c r="M10" s="19" t="str">
        <f>IFERROR(IF(INDEX(Players,MATCH(L10,nickname,0),MATCH($C$1,Players!$1:$1,0))=0,"",INDEX(Players,MATCH(L10,nickname,0),MATCH($C$1,Players!$1:$1,0))),"")</f>
        <v/>
      </c>
      <c r="N10" s="19" t="str">
        <f>IFERROR(IF(INDEX(Players,MATCH(L10,nickname,0),MATCH($D$1,Players!$1:$1,0))=0,"",INDEX(Players,MATCH(L10,nickname,0),MATCH($D$1,Players!$1:$1,0))),"")</f>
        <v/>
      </c>
      <c r="O10" s="14" t="str">
        <f>IFERROR(IF(INDEX(Players,MATCH(L10,nickname,0),MATCH($E$1,Players!$1:$1,0))=0,"",INDEX(Players,MATCH(L10,nickname,0),MATCH($E$1,Players!$1:$1,0))), "")</f>
        <v/>
      </c>
    </row>
    <row r="11" spans="1:36">
      <c r="A11" s="6" t="s">
        <v>58</v>
      </c>
      <c r="B11" s="9"/>
      <c r="C11" s="4">
        <f>60000-SUM(C2:C10)</f>
        <v>400</v>
      </c>
      <c r="D11" s="4">
        <f>SUM(D2:D10)</f>
        <v>118.81481891208193</v>
      </c>
      <c r="E11" s="5"/>
      <c r="F11" s="5"/>
      <c r="G11" s="9"/>
      <c r="H11" s="4">
        <f>60000-SUM(H2:H10)</f>
        <v>-900</v>
      </c>
      <c r="I11" s="4">
        <f>SUM(I2:I10)</f>
        <v>116.17997153667912</v>
      </c>
      <c r="J11" s="5"/>
      <c r="L11" s="9"/>
      <c r="M11" s="4">
        <f>60000-SUM(M2:M10)</f>
        <v>28600</v>
      </c>
      <c r="N11" s="4">
        <f>SUM(N2:N10)</f>
        <v>67.912645152970697</v>
      </c>
      <c r="O11" s="5"/>
    </row>
    <row r="12" spans="1:36">
      <c r="C12" s="5"/>
      <c r="D12" s="5"/>
      <c r="E12" s="5"/>
      <c r="F12" s="5"/>
    </row>
    <row r="13" spans="1:36" s="18" customFormat="1">
      <c r="A13" s="7"/>
      <c r="B13" s="7" t="s">
        <v>54</v>
      </c>
      <c r="C13" s="20" t="s">
        <v>2</v>
      </c>
      <c r="D13" s="20" t="s">
        <v>265</v>
      </c>
      <c r="E13" s="11" t="s">
        <v>117</v>
      </c>
      <c r="F13" s="5"/>
      <c r="G13" s="7" t="s">
        <v>54</v>
      </c>
      <c r="H13" s="20" t="s">
        <v>2</v>
      </c>
      <c r="I13" s="20" t="s">
        <v>265</v>
      </c>
      <c r="J13" s="11" t="s">
        <v>117</v>
      </c>
      <c r="L13" s="10" t="s">
        <v>54</v>
      </c>
      <c r="M13" s="20" t="s">
        <v>2</v>
      </c>
      <c r="N13" s="20" t="s">
        <v>265</v>
      </c>
      <c r="O13" s="11" t="s">
        <v>117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6"/>
      <c r="AG13" s="6"/>
      <c r="AH13" s="6"/>
      <c r="AI13" s="3"/>
      <c r="AJ13" s="3"/>
    </row>
    <row r="14" spans="1:36">
      <c r="A14" s="7" t="s">
        <v>22</v>
      </c>
      <c r="B14" s="8" t="s">
        <v>56</v>
      </c>
      <c r="C14" s="19">
        <f>IFERROR(IF(INDEX(Players,MATCH(B14,nickname,0),MATCH($C$1,Players!$1:$1,0))=0,"",INDEX(Players,MATCH(B14,nickname,0),MATCH($C$1,Players!$1:$1,0))),"")</f>
        <v>7500</v>
      </c>
      <c r="D14" s="19">
        <f>IFERROR(IF(INDEX(Players,MATCH(B14,nickname,0),MATCH($D$1,Players!$1:$1,0))=0,"",INDEX(Players,MATCH(B14,nickname,0),MATCH($D$1,Players!$1:$1,0))),"")</f>
        <v>17.544000244140602</v>
      </c>
      <c r="E14" s="14" t="str">
        <f t="shared" ref="E14:E21" si="3">IFERROR(IF(VLOOKUP(B14,playerlkp,3,0)=0,"",VLOOKUP(B14,playerlkp,3,0)),"")</f>
        <v/>
      </c>
      <c r="F14" s="5"/>
      <c r="G14" s="8" t="s">
        <v>71</v>
      </c>
      <c r="H14" s="19">
        <f>IFERROR(IF(INDEX(Players,MATCH(G14,nickname,0),MATCH($C$1,Players!$1:$1,0))=0,"",INDEX(Players,MATCH(G14,nickname,0),MATCH($C$1,Players!$1:$1,0))),"")</f>
        <v>7200</v>
      </c>
      <c r="I14" s="19">
        <f>IFERROR(IF(INDEX(Players,MATCH(G14,nickname,0),MATCH($D$1,Players!$1:$1,0))=0,"",INDEX(Players,MATCH(G14,nickname,0),MATCH($D$1,Players!$1:$1,0))),"")</f>
        <v>17.7157897949218</v>
      </c>
      <c r="J14" s="14" t="str">
        <f t="shared" ref="J14:J21" si="4">IFERROR(IF(VLOOKUP(G14,playerlkp,3,0)=0,"",VLOOKUP(G14,playerlkp,3,0)),"")</f>
        <v/>
      </c>
      <c r="L14" s="8" t="s">
        <v>273</v>
      </c>
      <c r="M14" s="19">
        <f>IFERROR(IF(INDEX(Players,MATCH(L14,nickname,0),MATCH($C$1,Players!$1:$1,0))=0,"",INDEX(Players,MATCH(L14,nickname,0),MATCH($C$1,Players!$1:$1,0))),"")</f>
        <v>9200</v>
      </c>
      <c r="N14" s="19">
        <f>IFERROR(IF(INDEX(Players,MATCH(L14,nickname,0),MATCH($D$1,Players!$1:$1,0))=0,"",INDEX(Players,MATCH(L14,nickname,0),MATCH($D$1,Players!$1:$1,0))),"")</f>
        <v>24.989473041735199</v>
      </c>
      <c r="O14" s="14" t="str">
        <f t="shared" ref="O14:O21" si="5">IFERROR(IF(VLOOKUP(L14,playerlkp,3,0)=0,"",VLOOKUP(L14,playerlkp,3,0)),"")</f>
        <v/>
      </c>
    </row>
    <row r="15" spans="1:36">
      <c r="A15" s="7" t="s">
        <v>48</v>
      </c>
      <c r="B15" s="8" t="s">
        <v>28</v>
      </c>
      <c r="C15" s="19">
        <f>IFERROR(IF(INDEX(Players,MATCH(B15,nickname,0),MATCH($C$1,Players!$1:$1,0))=0,"",INDEX(Players,MATCH(B15,nickname,0),MATCH($C$1,Players!$1:$1,0))),"")</f>
        <v>7000</v>
      </c>
      <c r="D15" s="19">
        <f>IFERROR(IF(INDEX(Players,MATCH(B15,nickname,0),MATCH($D$1,Players!$1:$1,0))=0,"",INDEX(Players,MATCH(B15,nickname,0),MATCH($D$1,Players!$1:$1,0))),"")</f>
        <v>13.1666666666666</v>
      </c>
      <c r="E15" s="14" t="str">
        <f t="shared" si="3"/>
        <v/>
      </c>
      <c r="F15" s="5"/>
      <c r="G15" s="8" t="s">
        <v>29</v>
      </c>
      <c r="H15" s="19">
        <f>IFERROR(IF(INDEX(Players,MATCH(G15,nickname,0),MATCH($C$1,Players!$1:$1,0))=0,"",INDEX(Players,MATCH(G15,nickname,0),MATCH($C$1,Players!$1:$1,0))),"")</f>
        <v>8800</v>
      </c>
      <c r="I15" s="19">
        <f>IFERROR(IF(INDEX(Players,MATCH(G15,nickname,0),MATCH($D$1,Players!$1:$1,0))=0,"",INDEX(Players,MATCH(G15,nickname,0),MATCH($D$1,Players!$1:$1,0))),"")</f>
        <v>12.782353120691599</v>
      </c>
      <c r="J15" s="14" t="str">
        <f t="shared" si="4"/>
        <v/>
      </c>
      <c r="L15" s="8" t="s">
        <v>29</v>
      </c>
      <c r="M15" s="19">
        <f>IFERROR(IF(INDEX(Players,MATCH(L15,nickname,0),MATCH($C$1,Players!$1:$1,0))=0,"",INDEX(Players,MATCH(L15,nickname,0),MATCH($C$1,Players!$1:$1,0))),"")</f>
        <v>8800</v>
      </c>
      <c r="N15" s="19">
        <f>IFERROR(IF(INDEX(Players,MATCH(L15,nickname,0),MATCH($D$1,Players!$1:$1,0))=0,"",INDEX(Players,MATCH(L15,nickname,0),MATCH($D$1,Players!$1:$1,0))),"")</f>
        <v>12.782353120691599</v>
      </c>
      <c r="O15" s="14" t="str">
        <f t="shared" si="5"/>
        <v/>
      </c>
    </row>
    <row r="16" spans="1:36">
      <c r="A16" s="7" t="s">
        <v>49</v>
      </c>
      <c r="B16" s="8" t="s">
        <v>19</v>
      </c>
      <c r="C16" s="19">
        <f>IFERROR(IF(INDEX(Players,MATCH(B16,nickname,0),MATCH($C$1,Players!$1:$1,0))=0,"",INDEX(Players,MATCH(B16,nickname,0),MATCH($C$1,Players!$1:$1,0))),"")</f>
        <v>8000</v>
      </c>
      <c r="D16" s="19">
        <f>IFERROR(IF(INDEX(Players,MATCH(B16,nickname,0),MATCH($D$1,Players!$1:$1,0))=0,"",INDEX(Players,MATCH(B16,nickname,0),MATCH($D$1,Players!$1:$1,0))),"")</f>
        <v>14.522221883138</v>
      </c>
      <c r="E16" s="14" t="str">
        <f t="shared" si="3"/>
        <v/>
      </c>
      <c r="F16" s="5"/>
      <c r="G16" s="8" t="s">
        <v>19</v>
      </c>
      <c r="H16" s="19">
        <f>IFERROR(IF(INDEX(Players,MATCH(G16,nickname,0),MATCH($C$1,Players!$1:$1,0))=0,"",INDEX(Players,MATCH(G16,nickname,0),MATCH($C$1,Players!$1:$1,0))),"")</f>
        <v>8000</v>
      </c>
      <c r="I16" s="19">
        <f>IFERROR(IF(INDEX(Players,MATCH(G16,nickname,0),MATCH($D$1,Players!$1:$1,0))=0,"",INDEX(Players,MATCH(G16,nickname,0),MATCH($D$1,Players!$1:$1,0))),"")</f>
        <v>14.522221883138</v>
      </c>
      <c r="J16" s="14" t="str">
        <f t="shared" si="4"/>
        <v/>
      </c>
      <c r="L16" s="8" t="s">
        <v>29</v>
      </c>
      <c r="M16" s="19">
        <f>IFERROR(IF(INDEX(Players,MATCH(L16,nickname,0),MATCH($C$1,Players!$1:$1,0))=0,"",INDEX(Players,MATCH(L16,nickname,0),MATCH($C$1,Players!$1:$1,0))),"")</f>
        <v>8800</v>
      </c>
      <c r="N16" s="19">
        <f>IFERROR(IF(INDEX(Players,MATCH(L16,nickname,0),MATCH($D$1,Players!$1:$1,0))=0,"",INDEX(Players,MATCH(L16,nickname,0),MATCH($D$1,Players!$1:$1,0))),"")</f>
        <v>12.782353120691599</v>
      </c>
      <c r="O16" s="14" t="str">
        <f t="shared" si="5"/>
        <v/>
      </c>
    </row>
    <row r="17" spans="1:34">
      <c r="A17" s="7" t="s">
        <v>50</v>
      </c>
      <c r="B17" s="8"/>
      <c r="C17" s="19" t="str">
        <f>IFERROR(IF(INDEX(Players,MATCH(B17,nickname,0),MATCH($C$1,Players!$1:$1,0))=0,"",INDEX(Players,MATCH(B17,nickname,0),MATCH($C$1,Players!$1:$1,0))),"")</f>
        <v/>
      </c>
      <c r="D17" s="19" t="str">
        <f>IFERROR(IF(INDEX(Players,MATCH(B17,nickname,0),MATCH($D$1,Players!$1:$1,0))=0,"",INDEX(Players,MATCH(B17,nickname,0),MATCH($D$1,Players!$1:$1,0))),"")</f>
        <v/>
      </c>
      <c r="E17" s="14" t="str">
        <f t="shared" si="3"/>
        <v/>
      </c>
      <c r="F17" s="5"/>
      <c r="G17" s="8"/>
      <c r="H17" s="19" t="str">
        <f>IFERROR(IF(INDEX(Players,MATCH(G17,nickname,0),MATCH($C$1,Players!$1:$1,0))=0,"",INDEX(Players,MATCH(G17,nickname,0),MATCH($C$1,Players!$1:$1,0))),"")</f>
        <v/>
      </c>
      <c r="I17" s="19" t="str">
        <f>IFERROR(IF(INDEX(Players,MATCH(G17,nickname,0),MATCH($D$1,Players!$1:$1,0))=0,"",INDEX(Players,MATCH(G17,nickname,0),MATCH($D$1,Players!$1:$1,0))),"")</f>
        <v/>
      </c>
      <c r="J17" s="14" t="str">
        <f t="shared" si="4"/>
        <v/>
      </c>
      <c r="L17" s="8" t="s">
        <v>32</v>
      </c>
      <c r="M17" s="19">
        <f>IFERROR(IF(INDEX(Players,MATCH(L17,nickname,0),MATCH($C$1,Players!$1:$1,0))=0,"",INDEX(Players,MATCH(L17,nickname,0),MATCH($C$1,Players!$1:$1,0))),"")</f>
        <v>9600</v>
      </c>
      <c r="N17" s="19">
        <f>IFERROR(IF(INDEX(Players,MATCH(L17,nickname,0),MATCH($D$1,Players!$1:$1,0))=0,"",INDEX(Players,MATCH(L17,nickname,0),MATCH($D$1,Players!$1:$1,0))),"")</f>
        <v>19.505882711971498</v>
      </c>
      <c r="O17" s="14" t="str">
        <f t="shared" si="5"/>
        <v/>
      </c>
    </row>
    <row r="18" spans="1:34">
      <c r="A18" s="7" t="s">
        <v>51</v>
      </c>
      <c r="B18" s="8"/>
      <c r="C18" s="19" t="str">
        <f>IFERROR(IF(INDEX(Players,MATCH(B18,nickname,0),MATCH($C$1,Players!$1:$1,0))=0,"",INDEX(Players,MATCH(B18,nickname,0),MATCH($C$1,Players!$1:$1,0))),"")</f>
        <v/>
      </c>
      <c r="D18" s="19" t="str">
        <f>IFERROR(IF(INDEX(Players,MATCH(B18,nickname,0),MATCH($D$1,Players!$1:$1,0))=0,"",INDEX(Players,MATCH(B18,nickname,0),MATCH($D$1,Players!$1:$1,0))),"")</f>
        <v/>
      </c>
      <c r="E18" s="14" t="str">
        <f t="shared" si="3"/>
        <v/>
      </c>
      <c r="F18" s="5"/>
      <c r="G18" s="8" t="s">
        <v>32</v>
      </c>
      <c r="H18" s="19">
        <f>IFERROR(IF(INDEX(Players,MATCH(G18,nickname,0),MATCH($C$1,Players!$1:$1,0))=0,"",INDEX(Players,MATCH(G18,nickname,0),MATCH($C$1,Players!$1:$1,0))),"")</f>
        <v>9600</v>
      </c>
      <c r="I18" s="19">
        <f>IFERROR(IF(INDEX(Players,MATCH(G18,nickname,0),MATCH($D$1,Players!$1:$1,0))=0,"",INDEX(Players,MATCH(G18,nickname,0),MATCH($D$1,Players!$1:$1,0))),"")</f>
        <v>19.505882711971498</v>
      </c>
      <c r="J18" s="14" t="str">
        <f t="shared" si="4"/>
        <v/>
      </c>
      <c r="L18" s="8" t="s">
        <v>32</v>
      </c>
      <c r="M18" s="19">
        <f>IFERROR(IF(INDEX(Players,MATCH(L18,nickname,0),MATCH($C$1,Players!$1:$1,0))=0,"",INDEX(Players,MATCH(L18,nickname,0),MATCH($C$1,Players!$1:$1,0))),"")</f>
        <v>9600</v>
      </c>
      <c r="N18" s="19">
        <f>IFERROR(IF(INDEX(Players,MATCH(L18,nickname,0),MATCH($D$1,Players!$1:$1,0))=0,"",INDEX(Players,MATCH(L18,nickname,0),MATCH($D$1,Players!$1:$1,0))),"")</f>
        <v>19.505882711971498</v>
      </c>
      <c r="O18" s="14" t="str">
        <f t="shared" si="5"/>
        <v/>
      </c>
    </row>
    <row r="19" spans="1:34">
      <c r="A19" s="7" t="s">
        <v>52</v>
      </c>
      <c r="B19" s="8"/>
      <c r="C19" s="19" t="str">
        <f>IFERROR(IF(INDEX(Players,MATCH(B19,nickname,0),MATCH($C$1,Players!$1:$1,0))=0,"",INDEX(Players,MATCH(B19,nickname,0),MATCH($C$1,Players!$1:$1,0))),"")</f>
        <v/>
      </c>
      <c r="D19" s="19" t="str">
        <f>IFERROR(IF(INDEX(Players,MATCH(B19,nickname,0),MATCH($D$1,Players!$1:$1,0))=0,"",INDEX(Players,MATCH(B19,nickname,0),MATCH($D$1,Players!$1:$1,0))),"")</f>
        <v/>
      </c>
      <c r="E19" s="14" t="str">
        <f t="shared" si="3"/>
        <v/>
      </c>
      <c r="F19" s="5"/>
      <c r="G19" s="8"/>
      <c r="H19" s="19" t="str">
        <f>IFERROR(IF(INDEX(Players,MATCH(G19,nickname,0),MATCH($C$1,Players!$1:$1,0))=0,"",INDEX(Players,MATCH(G19,nickname,0),MATCH($C$1,Players!$1:$1,0))),"")</f>
        <v/>
      </c>
      <c r="I19" s="19" t="str">
        <f>IFERROR(IF(INDEX(Players,MATCH(G19,nickname,0),MATCH($D$1,Players!$1:$1,0))=0,"",INDEX(Players,MATCH(G19,nickname,0),MATCH($D$1,Players!$1:$1,0))),"")</f>
        <v/>
      </c>
      <c r="J19" s="14" t="str">
        <f t="shared" si="4"/>
        <v/>
      </c>
      <c r="L19" s="8" t="s">
        <v>32</v>
      </c>
      <c r="M19" s="19">
        <f>IFERROR(IF(INDEX(Players,MATCH(L19,nickname,0),MATCH($C$1,Players!$1:$1,0))=0,"",INDEX(Players,MATCH(L19,nickname,0),MATCH($C$1,Players!$1:$1,0))),"")</f>
        <v>9600</v>
      </c>
      <c r="N19" s="19">
        <f>IFERROR(IF(INDEX(Players,MATCH(L19,nickname,0),MATCH($D$1,Players!$1:$1,0))=0,"",INDEX(Players,MATCH(L19,nickname,0),MATCH($D$1,Players!$1:$1,0))),"")</f>
        <v>19.505882711971498</v>
      </c>
      <c r="O19" s="14" t="str">
        <f t="shared" si="5"/>
        <v/>
      </c>
    </row>
    <row r="20" spans="1:34">
      <c r="A20" s="7" t="s">
        <v>36</v>
      </c>
      <c r="B20" s="8"/>
      <c r="C20" s="19" t="str">
        <f>IFERROR(IF(INDEX(Players,MATCH(B20,nickname,0),MATCH($C$1,Players!$1:$1,0))=0,"",INDEX(Players,MATCH(B20,nickname,0),MATCH($C$1,Players!$1:$1,0))),"")</f>
        <v/>
      </c>
      <c r="D20" s="19" t="str">
        <f>IFERROR(IF(INDEX(Players,MATCH(B20,nickname,0),MATCH($D$1,Players!$1:$1,0))=0,"",INDEX(Players,MATCH(B20,nickname,0),MATCH($D$1,Players!$1:$1,0))),"")</f>
        <v/>
      </c>
      <c r="E20" s="14" t="str">
        <f t="shared" si="3"/>
        <v/>
      </c>
      <c r="F20" s="5"/>
      <c r="G20" s="8"/>
      <c r="H20" s="19" t="str">
        <f>IFERROR(IF(INDEX(Players,MATCH(G20,nickname,0),MATCH($C$1,Players!$1:$1,0))=0,"",INDEX(Players,MATCH(G20,nickname,0),MATCH($C$1,Players!$1:$1,0))),"")</f>
        <v/>
      </c>
      <c r="I20" s="19" t="str">
        <f>IFERROR(IF(INDEX(Players,MATCH(G20,nickname,0),MATCH($D$1,Players!$1:$1,0))=0,"",INDEX(Players,MATCH(G20,nickname,0),MATCH($D$1,Players!$1:$1,0))),"")</f>
        <v/>
      </c>
      <c r="J20" s="14" t="str">
        <f t="shared" si="4"/>
        <v/>
      </c>
      <c r="L20" s="8" t="s">
        <v>38</v>
      </c>
      <c r="M20" s="19">
        <f>IFERROR(IF(INDEX(Players,MATCH(L20,nickname,0),MATCH($C$1,Players!$1:$1,0))=0,"",INDEX(Players,MATCH(L20,nickname,0),MATCH($C$1,Players!$1:$1,0))),"")</f>
        <v>8000</v>
      </c>
      <c r="N20" s="19">
        <f>IFERROR(IF(INDEX(Players,MATCH(L20,nickname,0),MATCH($D$1,Players!$1:$1,0))=0,"",INDEX(Players,MATCH(L20,nickname,0),MATCH($D$1,Players!$1:$1,0))),"")</f>
        <v>11.5199996948242</v>
      </c>
      <c r="O20" s="14" t="str">
        <f t="shared" si="5"/>
        <v/>
      </c>
    </row>
    <row r="21" spans="1:34">
      <c r="A21" s="7" t="s">
        <v>12</v>
      </c>
      <c r="B21" s="8"/>
      <c r="C21" s="19" t="str">
        <f>IFERROR(IF(INDEX(Players,MATCH(B21,nickname,0),MATCH($C$1,Players!$1:$1,0))=0,"",INDEX(Players,MATCH(B21,nickname,0),MATCH($C$1,Players!$1:$1,0))),"")</f>
        <v/>
      </c>
      <c r="D21" s="19" t="str">
        <f>IFERROR(IF(INDEX(Players,MATCH(B21,nickname,0),MATCH($D$1,Players!$1:$1,0))=0,"",INDEX(Players,MATCH(B21,nickname,0),MATCH($D$1,Players!$1:$1,0))),"")</f>
        <v/>
      </c>
      <c r="E21" s="14" t="str">
        <f t="shared" si="3"/>
        <v/>
      </c>
      <c r="F21" s="5"/>
      <c r="G21" s="8"/>
      <c r="H21" s="19" t="str">
        <f>IFERROR(IF(INDEX(Players,MATCH(G21,nickname,0),MATCH($C$1,Players!$1:$1,0))=0,"",INDEX(Players,MATCH(G21,nickname,0),MATCH($C$1,Players!$1:$1,0))),"")</f>
        <v/>
      </c>
      <c r="I21" s="19" t="str">
        <f>IFERROR(IF(INDEX(Players,MATCH(G21,nickname,0),MATCH($D$1,Players!$1:$1,0))=0,"",INDEX(Players,MATCH(G21,nickname,0),MATCH($D$1,Players!$1:$1,0))),"")</f>
        <v/>
      </c>
      <c r="J21" s="14" t="str">
        <f t="shared" si="4"/>
        <v/>
      </c>
      <c r="L21" s="8" t="s">
        <v>32</v>
      </c>
      <c r="M21" s="19">
        <f>IFERROR(IF(INDEX(Players,MATCH(L21,nickname,0),MATCH($C$1,Players!$1:$1,0))=0,"",INDEX(Players,MATCH(L21,nickname,0),MATCH($C$1,Players!$1:$1,0))),"")</f>
        <v>9600</v>
      </c>
      <c r="N21" s="19">
        <f>IFERROR(IF(INDEX(Players,MATCH(L21,nickname,0),MATCH($D$1,Players!$1:$1,0))=0,"",INDEX(Players,MATCH(L21,nickname,0),MATCH($D$1,Players!$1:$1,0))),"")</f>
        <v>19.505882711971498</v>
      </c>
      <c r="O21" s="14" t="str">
        <f t="shared" si="5"/>
        <v/>
      </c>
    </row>
    <row r="22" spans="1:34">
      <c r="A22" s="7" t="s">
        <v>53</v>
      </c>
      <c r="B22" s="8"/>
      <c r="C22" s="19" t="str">
        <f>IFERROR(IF(INDEX(Players,MATCH(B22,nickname,0),MATCH($C$1,Players!$1:$1,0))=0,"",INDEX(Players,MATCH(B22,nickname,0),MATCH($C$1,Players!$1:$1,0))),"")</f>
        <v/>
      </c>
      <c r="D22" s="19" t="str">
        <f>IFERROR(IF(INDEX(Players,MATCH(B22,nickname,0),MATCH($D$1,Players!$1:$1,0))=0,"",INDEX(Players,MATCH(B22,nickname,0),MATCH($D$1,Players!$1:$1,0))),"")</f>
        <v/>
      </c>
      <c r="E22" s="14" t="str">
        <f>IFERROR(IF(INDEX(Players,MATCH(B22,nickname,0),MATCH($E$1,Players!$1:$1,0))=0,"",INDEX(Players,MATCH(B22,nickname,0),MATCH($E$1,Players!$1:$1,0))), "")</f>
        <v/>
      </c>
      <c r="F22" s="5"/>
      <c r="G22" s="8"/>
      <c r="H22" s="19" t="str">
        <f>IFERROR(IF(INDEX(Players,MATCH(G22,nickname,0),MATCH($C$1,Players!$1:$1,0))=0,"",INDEX(Players,MATCH(G22,nickname,0),MATCH($C$1,Players!$1:$1,0))),"")</f>
        <v/>
      </c>
      <c r="I22" s="19" t="str">
        <f>IFERROR(IF(INDEX(Players,MATCH(G22,nickname,0),MATCH($D$1,Players!$1:$1,0))=0,"",INDEX(Players,MATCH(G22,nickname,0),MATCH($D$1,Players!$1:$1,0))),"")</f>
        <v/>
      </c>
      <c r="J22" s="14" t="str">
        <f>IFERROR(IF(INDEX(Players,MATCH(G22,nickname,0),MATCH($E$1,Players!$1:$1,0))=0,"",INDEX(Players,MATCH(G22,nickname,0),MATCH($E$1,Players!$1:$1,0))), "")</f>
        <v/>
      </c>
      <c r="L22" s="8" t="s">
        <v>16</v>
      </c>
      <c r="M22" s="19">
        <f>IFERROR(IF(INDEX(Players,MATCH(L22,nickname,0),MATCH($C$1,Players!$1:$1,0))=0,"",INDEX(Players,MATCH(L22,nickname,0),MATCH($C$1,Players!$1:$1,0))),"")</f>
        <v>5000</v>
      </c>
      <c r="N22" s="19">
        <f>IFERROR(IF(INDEX(Players,MATCH(L22,nickname,0),MATCH($D$1,Players!$1:$1,0))=0,"",INDEX(Players,MATCH(L22,nickname,0),MATCH($D$1,Players!$1:$1,0))),"")</f>
        <v>7.3529411764705799</v>
      </c>
      <c r="O22" s="14" t="str">
        <f>IFERROR(IF(INDEX(Players,MATCH(L22,nickname,0),MATCH($E$1,Players!$1:$1,0))=0,"",INDEX(Players,MATCH(L22,nickname,0),MATCH($E$1,Players!$1:$1,0))), "")</f>
        <v/>
      </c>
    </row>
    <row r="23" spans="1:34" s="18" customFormat="1">
      <c r="A23" s="6" t="s">
        <v>58</v>
      </c>
      <c r="B23" s="9"/>
      <c r="C23" s="4">
        <f>60000-SUM(C14:C22)</f>
        <v>37500</v>
      </c>
      <c r="D23" s="4">
        <f>SUM(D14:D22)</f>
        <v>45.2328887939452</v>
      </c>
      <c r="E23" s="5"/>
      <c r="F23" s="5"/>
      <c r="G23" s="9"/>
      <c r="H23" s="4">
        <f>60000-SUM(H14:H22)</f>
        <v>26400</v>
      </c>
      <c r="I23" s="4">
        <f>SUM(I14:I22)</f>
        <v>64.526247510722897</v>
      </c>
      <c r="J23" s="5"/>
      <c r="L23" s="9"/>
      <c r="M23" s="4">
        <f>60000-SUM(M14:M22)</f>
        <v>-18200</v>
      </c>
      <c r="N23" s="4">
        <f>SUM(N14:N22)</f>
        <v>147.45065100229917</v>
      </c>
      <c r="O23" s="5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5"/>
      <c r="AG23" s="5"/>
      <c r="AH23" s="5"/>
    </row>
    <row r="24" spans="1:34">
      <c r="B24" s="18"/>
    </row>
    <row r="25" spans="1:34">
      <c r="B25" s="18"/>
    </row>
    <row r="26" spans="1:34">
      <c r="B26" s="18"/>
    </row>
    <row r="27" spans="1:34">
      <c r="B27" s="18"/>
    </row>
    <row r="28" spans="1:34">
      <c r="B28" s="18"/>
    </row>
    <row r="29" spans="1:34">
      <c r="B29" s="18"/>
    </row>
    <row r="30" spans="1:34">
      <c r="B30" s="18"/>
    </row>
    <row r="31" spans="1:34">
      <c r="B31" s="18"/>
    </row>
    <row r="32" spans="1:34">
      <c r="B32" s="18"/>
    </row>
    <row r="33" spans="2:2">
      <c r="B33" s="18"/>
    </row>
    <row r="34" spans="2:2">
      <c r="B34" s="18"/>
    </row>
    <row r="35" spans="2:2">
      <c r="B35" s="18"/>
    </row>
    <row r="36" spans="2:2">
      <c r="B36" s="18"/>
    </row>
    <row r="37" spans="2:2">
      <c r="B37" s="18"/>
    </row>
    <row r="38" spans="2:2">
      <c r="B38" s="18"/>
    </row>
  </sheetData>
  <sortState ref="B38:B52">
    <sortCondition ref="B38:B52"/>
  </sortState>
  <conditionalFormatting sqref="C11">
    <cfRule type="cellIs" dxfId="11" priority="11" operator="lessThan">
      <formula>0</formula>
    </cfRule>
    <cfRule type="cellIs" dxfId="10" priority="35" operator="greaterThan">
      <formula>60000</formula>
    </cfRule>
  </conditionalFormatting>
  <conditionalFormatting sqref="H11">
    <cfRule type="cellIs" dxfId="9" priority="9" operator="lessThan">
      <formula>0</formula>
    </cfRule>
    <cfRule type="cellIs" dxfId="8" priority="10" operator="greaterThan">
      <formula>60000</formula>
    </cfRule>
  </conditionalFormatting>
  <conditionalFormatting sqref="M11">
    <cfRule type="cellIs" dxfId="7" priority="7" operator="lessThan">
      <formula>0</formula>
    </cfRule>
    <cfRule type="cellIs" dxfId="6" priority="8" operator="greaterThan">
      <formula>60000</formula>
    </cfRule>
  </conditionalFormatting>
  <conditionalFormatting sqref="C23">
    <cfRule type="cellIs" dxfId="5" priority="5" operator="lessThan">
      <formula>0</formula>
    </cfRule>
    <cfRule type="cellIs" dxfId="4" priority="6" operator="greaterThan">
      <formula>60000</formula>
    </cfRule>
  </conditionalFormatting>
  <conditionalFormatting sqref="H23">
    <cfRule type="cellIs" dxfId="3" priority="3" operator="lessThan">
      <formula>0</formula>
    </cfRule>
    <cfRule type="cellIs" dxfId="2" priority="4" operator="greaterThan">
      <formula>60000</formula>
    </cfRule>
  </conditionalFormatting>
  <conditionalFormatting sqref="M23">
    <cfRule type="cellIs" dxfId="1" priority="1" operator="lessThan">
      <formula>0</formula>
    </cfRule>
    <cfRule type="cellIs" dxfId="0" priority="2" operator="greaterThan">
      <formula>60000</formula>
    </cfRule>
  </conditionalFormatting>
  <dataValidations count="11">
    <dataValidation type="list" allowBlank="1" showInputMessage="1" showErrorMessage="1" sqref="U2:V2 Z2:AA2 K2:L2 G2 Q14 V14 AA14 P2:Q2 G14 B2 B14 L14">
      <formula1>qb</formula1>
    </dataValidation>
    <dataValidation type="list" allowBlank="1" showInputMessage="1" showErrorMessage="1" sqref="B15:B16 B3:B4 G15:G16 Q3:Q4 V3:V4 AA3:AA4 AA15:AA16 G3:G4 L3:L4 Q15:Q16 V15:V16 L15:L16">
      <formula1>rb</formula1>
    </dataValidation>
    <dataValidation type="list" allowBlank="1" showInputMessage="1" showErrorMessage="1" sqref="B17:B19 B5:B7 G17:G19 Q5:Q7 V5:V7 AA5:AA7 AA17:AA19 G5:G7 L5:L7 Q17:Q19 V17:V19 L17:L19">
      <formula1>wr</formula1>
    </dataValidation>
    <dataValidation type="list" allowBlank="1" showInputMessage="1" showErrorMessage="1" sqref="B20 B8 G20 Q8 V8 AA8 AA20 G8 L8 Q20 V20 L20">
      <formula1>te</formula1>
    </dataValidation>
    <dataValidation type="list" allowBlank="1" showInputMessage="1" showErrorMessage="1" sqref="B21 B9 G21 Q9 V9 AA9 AA21 G9 L9 Q21 V21 L21">
      <formula1>flex</formula1>
    </dataValidation>
    <dataValidation type="list" allowBlank="1" showInputMessage="1" showErrorMessage="1" sqref="AF10 AF22">
      <formula1>$B$8:$B$21</formula1>
    </dataValidation>
    <dataValidation type="list" allowBlank="1" showInputMessage="1" showErrorMessage="1" sqref="B22 B10 G22 Q10 V10 AA10 AA22 G10 L10 Q22 V22 L22">
      <formula1>defense</formula1>
    </dataValidation>
    <dataValidation type="list" allowBlank="1" showInputMessage="1" showErrorMessage="1" sqref="AF3:AF4 AF15:AF16 AF8 AF20">
      <formula1>#REF!</formula1>
    </dataValidation>
    <dataValidation type="list" allowBlank="1" showInputMessage="1" showErrorMessage="1" sqref="AF9 AF21">
      <formula1>$B$22:$B$23</formula1>
    </dataValidation>
    <dataValidation type="list" allowBlank="1" showInputMessage="1" showErrorMessage="1" sqref="AF2 AF14">
      <formula1>#REF!</formula1>
    </dataValidation>
    <dataValidation type="list" allowBlank="1" showInputMessage="1" showErrorMessage="1" sqref="AF5:AF7 AF17:AF19">
      <formula1>#REF!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Players!$K$28:$K$32</xm:f>
          </x14:formula1>
          <xm:sqref>L23 L11 G11 Q11 V11 AA11 G23 Q23 V23 AA23 B23 B11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R834"/>
  <sheetViews>
    <sheetView showFormulas="1" workbookViewId="0">
      <pane ySplit="1" topLeftCell="A811" activePane="bottomLeft" state="frozen"/>
      <selection pane="bottomLeft" activeCell="G246" sqref="G246"/>
    </sheetView>
  </sheetViews>
  <sheetFormatPr defaultRowHeight="15"/>
  <cols>
    <col min="1" max="1" width="4.85546875" bestFit="1" customWidth="1"/>
    <col min="2" max="2" width="12.140625" bestFit="1" customWidth="1"/>
    <col min="3" max="3" width="3.85546875" bestFit="1" customWidth="1"/>
    <col min="4" max="4" width="5.85546875" bestFit="1" customWidth="1"/>
    <col min="5" max="5" width="5.42578125" bestFit="1" customWidth="1"/>
    <col min="6" max="6" width="2.85546875" bestFit="1" customWidth="1"/>
    <col min="7" max="7" width="3.85546875" bestFit="1" customWidth="1"/>
    <col min="8" max="8" width="5.140625" bestFit="1" customWidth="1"/>
    <col min="9" max="9" width="3.140625" bestFit="1" customWidth="1"/>
    <col min="10" max="10" width="5.5703125" bestFit="1" customWidth="1"/>
    <col min="11" max="11" width="1.7109375" bestFit="1" customWidth="1"/>
    <col min="12" max="12" width="7" bestFit="1" customWidth="1"/>
    <col min="13" max="13" width="5.140625" bestFit="1" customWidth="1"/>
    <col min="14" max="14" width="5.42578125" bestFit="1" customWidth="1"/>
    <col min="16" max="16" width="14.140625" bestFit="1" customWidth="1"/>
  </cols>
  <sheetData>
    <row r="1" spans="1:14">
      <c r="A1" s="18" t="s">
        <v>0</v>
      </c>
      <c r="B1" s="18" t="s">
        <v>1</v>
      </c>
      <c r="C1" s="18" t="s">
        <v>2</v>
      </c>
      <c r="D1" s="18" t="s">
        <v>117</v>
      </c>
      <c r="E1" s="18" t="s">
        <v>265</v>
      </c>
      <c r="F1" s="17"/>
      <c r="G1" s="17"/>
      <c r="H1" s="17"/>
      <c r="I1" s="17"/>
      <c r="J1" s="17"/>
      <c r="K1" s="17"/>
      <c r="L1" s="17"/>
      <c r="M1" s="17"/>
      <c r="N1" s="16"/>
    </row>
    <row r="2" spans="1:14">
      <c r="A2" s="48" t="s">
        <v>45</v>
      </c>
      <c r="B2" s="49" t="s">
        <v>16</v>
      </c>
      <c r="C2" s="51">
        <v>5000</v>
      </c>
      <c r="D2" s="52"/>
      <c r="E2" s="53">
        <v>7.3529411764705799</v>
      </c>
      <c r="F2" s="17"/>
      <c r="G2" s="17"/>
      <c r="H2" s="17"/>
      <c r="I2" s="17"/>
      <c r="J2" s="17"/>
      <c r="K2" s="17"/>
      <c r="L2" s="17"/>
      <c r="M2" s="17"/>
      <c r="N2" s="16"/>
    </row>
    <row r="3" spans="1:14">
      <c r="A3" s="48" t="s">
        <v>45</v>
      </c>
      <c r="B3" s="49" t="s">
        <v>63</v>
      </c>
      <c r="C3" s="51">
        <v>4900</v>
      </c>
      <c r="D3" s="52"/>
      <c r="E3" s="53">
        <v>7.6315789473684204</v>
      </c>
      <c r="F3" s="17"/>
      <c r="G3" s="17"/>
      <c r="H3" s="17"/>
      <c r="I3" s="17"/>
      <c r="J3" s="17"/>
      <c r="K3" s="17"/>
      <c r="L3" s="17"/>
      <c r="M3" s="17"/>
      <c r="N3" s="16"/>
    </row>
    <row r="4" spans="1:14">
      <c r="A4" s="48" t="s">
        <v>45</v>
      </c>
      <c r="B4" s="49" t="s">
        <v>10</v>
      </c>
      <c r="C4" s="51">
        <v>4800</v>
      </c>
      <c r="D4" s="52"/>
      <c r="E4" s="53">
        <v>6.9411764705882302</v>
      </c>
      <c r="F4" s="17"/>
      <c r="G4" s="17"/>
      <c r="H4" s="17"/>
      <c r="I4" s="17"/>
      <c r="J4" s="17"/>
      <c r="K4" s="17"/>
      <c r="L4" s="17"/>
      <c r="M4" s="17"/>
      <c r="N4" s="16"/>
    </row>
    <row r="5" spans="1:14">
      <c r="A5" s="48" t="s">
        <v>45</v>
      </c>
      <c r="B5" s="49" t="s">
        <v>7</v>
      </c>
      <c r="C5" s="51">
        <v>4700</v>
      </c>
      <c r="D5" s="52"/>
      <c r="E5" s="53">
        <v>8.4117647058823497</v>
      </c>
      <c r="F5" s="17"/>
      <c r="G5" s="17"/>
      <c r="H5" s="17"/>
      <c r="I5" s="17"/>
      <c r="J5" s="17"/>
      <c r="K5" s="17"/>
      <c r="L5" s="17"/>
      <c r="M5" s="17"/>
      <c r="N5" s="16"/>
    </row>
    <row r="6" spans="1:14">
      <c r="A6" s="48" t="s">
        <v>45</v>
      </c>
      <c r="B6" s="49" t="s">
        <v>266</v>
      </c>
      <c r="C6" s="51">
        <v>4600</v>
      </c>
      <c r="D6" s="52"/>
      <c r="E6" s="53">
        <v>8.8947368421052602</v>
      </c>
      <c r="F6" s="17"/>
      <c r="G6" s="17"/>
      <c r="H6" s="17"/>
      <c r="I6" s="17"/>
      <c r="J6" s="17"/>
      <c r="K6" s="17"/>
      <c r="L6" s="17"/>
      <c r="M6" s="17"/>
      <c r="N6" s="16"/>
    </row>
    <row r="7" spans="1:14">
      <c r="A7" s="48" t="s">
        <v>45</v>
      </c>
      <c r="B7" s="49" t="s">
        <v>267</v>
      </c>
      <c r="C7" s="51">
        <v>4500</v>
      </c>
      <c r="D7" s="52"/>
      <c r="E7" s="53">
        <v>9.6666666666666607</v>
      </c>
      <c r="F7" s="17"/>
      <c r="G7" s="17"/>
      <c r="H7" s="17"/>
      <c r="I7" s="17"/>
      <c r="J7" s="17"/>
      <c r="K7" s="17"/>
      <c r="L7" s="17"/>
      <c r="M7" s="17"/>
      <c r="N7" s="16"/>
    </row>
    <row r="8" spans="1:14">
      <c r="A8" s="48" t="s">
        <v>45</v>
      </c>
      <c r="B8" s="49" t="s">
        <v>66</v>
      </c>
      <c r="C8" s="51">
        <v>4400</v>
      </c>
      <c r="D8" s="52"/>
      <c r="E8" s="53">
        <v>6.4117647058823497</v>
      </c>
      <c r="F8" s="17"/>
      <c r="G8" s="17"/>
      <c r="H8" s="17"/>
      <c r="I8" s="17"/>
      <c r="J8" s="17"/>
      <c r="K8" s="17"/>
      <c r="L8" s="17"/>
      <c r="M8" s="17"/>
      <c r="N8" s="16"/>
    </row>
    <row r="9" spans="1:14">
      <c r="A9" s="48" t="s">
        <v>45</v>
      </c>
      <c r="B9" s="49" t="s">
        <v>268</v>
      </c>
      <c r="C9" s="51">
        <v>4300</v>
      </c>
      <c r="D9" s="52"/>
      <c r="E9" s="53">
        <v>8.1111111111111107</v>
      </c>
      <c r="F9" s="17"/>
      <c r="G9" s="17"/>
      <c r="H9" s="17"/>
      <c r="I9" s="17"/>
      <c r="J9" s="17"/>
      <c r="K9" s="17"/>
      <c r="L9" s="17"/>
      <c r="M9" s="17"/>
      <c r="N9" s="16"/>
    </row>
    <row r="10" spans="1:14">
      <c r="A10" s="48" t="s">
        <v>45</v>
      </c>
      <c r="B10" s="49" t="s">
        <v>5</v>
      </c>
      <c r="C10" s="51">
        <v>4200</v>
      </c>
      <c r="D10" s="52"/>
      <c r="E10" s="53">
        <v>8.6111111111111107</v>
      </c>
      <c r="F10" s="17"/>
      <c r="G10" s="17"/>
      <c r="H10" s="17"/>
      <c r="I10" s="17"/>
      <c r="J10" s="17"/>
      <c r="K10" s="17"/>
      <c r="L10" s="17"/>
      <c r="M10" s="17"/>
      <c r="N10" s="16"/>
    </row>
    <row r="11" spans="1:14">
      <c r="A11" s="48" t="s">
        <v>45</v>
      </c>
      <c r="B11" s="49" t="s">
        <v>70</v>
      </c>
      <c r="C11" s="51">
        <v>4100</v>
      </c>
      <c r="D11" s="52"/>
      <c r="E11" s="53">
        <v>8.7222222222222197</v>
      </c>
      <c r="F11" s="17"/>
      <c r="G11" s="17"/>
      <c r="H11" s="17"/>
      <c r="I11" s="17"/>
      <c r="J11" s="17"/>
      <c r="K11" s="17"/>
      <c r="L11" s="17"/>
      <c r="M11" s="17"/>
      <c r="N11" s="16"/>
    </row>
    <row r="12" spans="1:14">
      <c r="A12" s="48" t="s">
        <v>45</v>
      </c>
      <c r="B12" s="49" t="s">
        <v>62</v>
      </c>
      <c r="C12" s="51">
        <v>4000</v>
      </c>
      <c r="D12" s="52"/>
      <c r="E12" s="53">
        <v>7.0588235294117601</v>
      </c>
      <c r="F12" s="17"/>
      <c r="G12" s="17"/>
      <c r="H12" s="17"/>
      <c r="I12" s="17"/>
      <c r="J12" s="17"/>
      <c r="K12" s="17"/>
      <c r="L12" s="17"/>
      <c r="M12" s="17"/>
      <c r="N12" s="16"/>
    </row>
    <row r="13" spans="1:14">
      <c r="A13" s="48" t="s">
        <v>45</v>
      </c>
      <c r="B13" s="49" t="s">
        <v>269</v>
      </c>
      <c r="C13" s="51">
        <v>4000</v>
      </c>
      <c r="D13" s="52"/>
      <c r="E13" s="53">
        <v>6.5882352941176396</v>
      </c>
      <c r="F13" s="17"/>
      <c r="G13" s="17"/>
      <c r="H13" s="17"/>
      <c r="I13" s="17"/>
      <c r="J13" s="17"/>
      <c r="K13" s="17"/>
      <c r="L13" s="17"/>
      <c r="M13" s="17"/>
      <c r="N13" s="16"/>
    </row>
    <row r="14" spans="1:14">
      <c r="A14" s="48" t="s">
        <v>45</v>
      </c>
      <c r="B14" s="49" t="s">
        <v>20</v>
      </c>
      <c r="C14" s="51">
        <v>3900</v>
      </c>
      <c r="D14" s="52"/>
      <c r="E14" s="53">
        <v>6.1</v>
      </c>
      <c r="F14" s="17"/>
      <c r="G14" s="17"/>
      <c r="H14" s="17"/>
      <c r="I14" s="17"/>
      <c r="J14" s="17"/>
      <c r="K14" s="17"/>
      <c r="L14" s="17"/>
      <c r="M14" s="17"/>
      <c r="N14" s="16"/>
    </row>
    <row r="15" spans="1:14">
      <c r="A15" s="48" t="s">
        <v>45</v>
      </c>
      <c r="B15" s="49" t="s">
        <v>14</v>
      </c>
      <c r="C15" s="51">
        <v>3900</v>
      </c>
      <c r="D15" s="52"/>
      <c r="E15" s="53">
        <v>8.4210526315789398</v>
      </c>
      <c r="F15" s="17"/>
      <c r="G15" s="17"/>
      <c r="H15" s="17"/>
      <c r="I15" s="17"/>
      <c r="J15" s="17"/>
      <c r="K15" s="17"/>
      <c r="L15" s="17"/>
      <c r="M15" s="17"/>
      <c r="N15" s="16"/>
    </row>
    <row r="16" spans="1:14">
      <c r="A16" s="48" t="s">
        <v>45</v>
      </c>
      <c r="B16" s="49" t="s">
        <v>79</v>
      </c>
      <c r="C16" s="51">
        <v>3800</v>
      </c>
      <c r="D16" s="52"/>
      <c r="E16" s="53">
        <v>8.5882352941176396</v>
      </c>
      <c r="F16" s="17"/>
      <c r="G16" s="17"/>
      <c r="H16" s="17"/>
      <c r="I16" s="17"/>
      <c r="J16" s="17"/>
      <c r="K16" s="17"/>
      <c r="L16" s="17"/>
      <c r="M16" s="17"/>
      <c r="N16" s="16"/>
    </row>
    <row r="17" spans="1:18">
      <c r="A17" s="48" t="s">
        <v>45</v>
      </c>
      <c r="B17" s="49" t="s">
        <v>270</v>
      </c>
      <c r="C17" s="51">
        <v>3800</v>
      </c>
      <c r="D17" s="52"/>
      <c r="E17" s="53">
        <v>7.7058823529411704</v>
      </c>
      <c r="F17" s="17"/>
      <c r="G17" s="17"/>
      <c r="H17" s="17"/>
      <c r="I17" s="17"/>
      <c r="J17" s="17"/>
      <c r="K17" s="17"/>
      <c r="L17" s="17"/>
      <c r="M17" s="17"/>
      <c r="N17" s="16"/>
    </row>
    <row r="18" spans="1:18">
      <c r="A18" s="48" t="s">
        <v>45</v>
      </c>
      <c r="B18" s="49" t="s">
        <v>271</v>
      </c>
      <c r="C18" s="51">
        <v>3700</v>
      </c>
      <c r="D18" s="52"/>
      <c r="E18" s="53">
        <v>6</v>
      </c>
      <c r="F18" s="17"/>
      <c r="G18" s="17"/>
      <c r="H18" s="17"/>
      <c r="I18" s="17"/>
      <c r="J18" s="17"/>
      <c r="K18" s="17"/>
      <c r="L18" s="17"/>
      <c r="M18" s="17"/>
      <c r="N18" s="16"/>
    </row>
    <row r="19" spans="1:18">
      <c r="A19" s="48" t="s">
        <v>45</v>
      </c>
      <c r="B19" s="49" t="s">
        <v>65</v>
      </c>
      <c r="C19" s="51">
        <v>3700</v>
      </c>
      <c r="D19" s="52"/>
      <c r="E19" s="53">
        <v>7.23529411764705</v>
      </c>
      <c r="F19" s="17"/>
      <c r="G19" s="17"/>
      <c r="H19" s="17"/>
      <c r="I19" s="17"/>
      <c r="J19" s="17"/>
      <c r="K19" s="17"/>
      <c r="L19" s="17"/>
      <c r="M19" s="17"/>
      <c r="N19" s="16"/>
    </row>
    <row r="20" spans="1:18">
      <c r="A20" s="48" t="s">
        <v>45</v>
      </c>
      <c r="B20" s="49" t="s">
        <v>15</v>
      </c>
      <c r="C20" s="51">
        <v>3600</v>
      </c>
      <c r="D20" s="52"/>
      <c r="E20" s="53">
        <v>5.8235294117647003</v>
      </c>
      <c r="F20" s="17"/>
      <c r="G20" s="17"/>
      <c r="H20" s="17"/>
      <c r="I20" s="17"/>
      <c r="J20" s="17"/>
      <c r="K20" s="17"/>
      <c r="L20" s="17"/>
      <c r="M20" s="17"/>
      <c r="N20" s="16"/>
    </row>
    <row r="21" spans="1:18">
      <c r="A21" s="48" t="s">
        <v>45</v>
      </c>
      <c r="B21" s="49" t="s">
        <v>18</v>
      </c>
      <c r="C21" s="51">
        <v>3500</v>
      </c>
      <c r="D21" s="52"/>
      <c r="E21" s="53">
        <v>8.2352941176470509</v>
      </c>
      <c r="F21" s="17"/>
      <c r="G21" s="17"/>
      <c r="H21" s="17"/>
      <c r="I21" s="17"/>
      <c r="J21" s="17"/>
      <c r="K21" s="17"/>
      <c r="L21" s="17"/>
      <c r="M21" s="17"/>
      <c r="N21" s="16"/>
    </row>
    <row r="22" spans="1:18">
      <c r="A22" s="48" t="s">
        <v>45</v>
      </c>
      <c r="B22" s="49" t="s">
        <v>272</v>
      </c>
      <c r="C22" s="51">
        <v>3400</v>
      </c>
      <c r="D22" s="52"/>
      <c r="E22" s="53">
        <v>6.9411764705882302</v>
      </c>
      <c r="F22" s="17"/>
      <c r="G22" s="17"/>
      <c r="H22" s="17"/>
      <c r="I22" s="17"/>
      <c r="J22" s="17"/>
      <c r="K22" s="17"/>
      <c r="L22" s="17"/>
      <c r="M22" s="17"/>
      <c r="N22" s="16"/>
    </row>
    <row r="23" spans="1:18">
      <c r="A23" s="48" t="s">
        <v>45</v>
      </c>
      <c r="B23" s="49" t="s">
        <v>73</v>
      </c>
      <c r="C23" s="51">
        <v>3400</v>
      </c>
      <c r="D23" s="52"/>
      <c r="E23" s="53">
        <v>3.4117647058823501</v>
      </c>
      <c r="F23" s="17"/>
      <c r="G23" s="17"/>
      <c r="H23" s="17"/>
      <c r="I23" s="17"/>
      <c r="J23" s="17"/>
      <c r="K23" s="17"/>
      <c r="L23" s="17"/>
      <c r="M23" s="17"/>
      <c r="N23" s="16"/>
      <c r="R23" s="1"/>
    </row>
    <row r="24" spans="1:18">
      <c r="A24" s="48" t="s">
        <v>45</v>
      </c>
      <c r="B24" s="49" t="s">
        <v>26</v>
      </c>
      <c r="C24" s="51">
        <v>3300</v>
      </c>
      <c r="D24" s="52"/>
      <c r="E24" s="53">
        <v>5</v>
      </c>
      <c r="F24" s="17"/>
      <c r="G24" s="17"/>
      <c r="H24" s="17"/>
      <c r="I24" s="17"/>
      <c r="J24" s="17"/>
      <c r="K24" s="17"/>
      <c r="L24" s="17"/>
      <c r="M24" s="17"/>
      <c r="N24" s="16"/>
    </row>
    <row r="25" spans="1:18">
      <c r="A25" s="48" t="s">
        <v>45</v>
      </c>
      <c r="B25" s="49" t="s">
        <v>21</v>
      </c>
      <c r="C25" s="51">
        <v>3200</v>
      </c>
      <c r="D25" s="52"/>
      <c r="E25" s="53">
        <v>4.1764705882352899</v>
      </c>
      <c r="F25" s="17"/>
      <c r="G25" s="17"/>
      <c r="H25" s="17"/>
      <c r="I25" s="17"/>
      <c r="J25" s="17"/>
      <c r="K25" s="17"/>
      <c r="L25" s="17"/>
      <c r="M25" s="17"/>
      <c r="N25" s="16"/>
    </row>
    <row r="26" spans="1:18">
      <c r="A26" s="48" t="s">
        <v>45</v>
      </c>
      <c r="B26" s="49" t="s">
        <v>8</v>
      </c>
      <c r="C26" s="51">
        <v>3100</v>
      </c>
      <c r="D26" s="52"/>
      <c r="E26" s="53">
        <v>6.4705882352941098</v>
      </c>
      <c r="F26" s="17"/>
      <c r="G26" s="17"/>
      <c r="H26" s="17"/>
      <c r="I26" s="17"/>
      <c r="J26" s="17"/>
      <c r="K26" s="17"/>
      <c r="L26" s="17"/>
      <c r="M26" s="17"/>
      <c r="N26" s="16"/>
    </row>
    <row r="27" spans="1:18">
      <c r="A27" s="48" t="s">
        <v>45</v>
      </c>
      <c r="B27" s="49" t="s">
        <v>11</v>
      </c>
      <c r="C27" s="51">
        <v>3000</v>
      </c>
      <c r="D27" s="52"/>
      <c r="E27" s="53">
        <v>3.8235294117646998</v>
      </c>
      <c r="F27" s="17"/>
      <c r="G27" s="17"/>
      <c r="H27" s="17"/>
      <c r="I27" s="17"/>
      <c r="J27" s="17"/>
      <c r="K27" s="17"/>
      <c r="L27" s="17"/>
      <c r="M27" s="17"/>
      <c r="N27" s="16"/>
    </row>
    <row r="28" spans="1:18">
      <c r="A28" s="48" t="s">
        <v>22</v>
      </c>
      <c r="B28" s="50" t="s">
        <v>273</v>
      </c>
      <c r="C28" s="51">
        <v>9200</v>
      </c>
      <c r="D28" s="52"/>
      <c r="E28" s="53">
        <v>24.989473041735199</v>
      </c>
      <c r="F28" s="17"/>
      <c r="G28" s="17"/>
      <c r="H28" s="17"/>
      <c r="I28" s="17"/>
      <c r="J28" s="17"/>
      <c r="K28" s="17"/>
      <c r="L28" s="17"/>
      <c r="M28" s="17"/>
      <c r="N28" s="16"/>
    </row>
    <row r="29" spans="1:18">
      <c r="A29" s="48" t="s">
        <v>22</v>
      </c>
      <c r="B29" s="50" t="s">
        <v>57</v>
      </c>
      <c r="C29" s="51">
        <v>8500</v>
      </c>
      <c r="D29" s="52"/>
      <c r="E29" s="53">
        <v>18.322353587431</v>
      </c>
      <c r="F29" s="17"/>
      <c r="G29" s="17"/>
      <c r="H29" s="17"/>
      <c r="I29" s="17"/>
      <c r="J29" s="17"/>
      <c r="K29" s="17"/>
      <c r="L29" s="17"/>
      <c r="M29" s="17"/>
      <c r="N29" s="16"/>
    </row>
    <row r="30" spans="1:18">
      <c r="A30" s="48" t="s">
        <v>22</v>
      </c>
      <c r="B30" s="50" t="s">
        <v>46</v>
      </c>
      <c r="C30" s="51">
        <v>8400</v>
      </c>
      <c r="D30" s="52"/>
      <c r="E30" s="53">
        <v>15.316000366210901</v>
      </c>
      <c r="F30" s="17"/>
      <c r="G30" s="17"/>
      <c r="H30" s="17"/>
      <c r="I30" s="17"/>
      <c r="J30" s="17"/>
      <c r="K30" s="17"/>
      <c r="L30" s="17"/>
      <c r="M30" s="17"/>
      <c r="N30" s="16"/>
    </row>
    <row r="31" spans="1:18">
      <c r="A31" s="48" t="s">
        <v>22</v>
      </c>
      <c r="B31" s="50" t="s">
        <v>274</v>
      </c>
      <c r="C31" s="51">
        <v>8300</v>
      </c>
      <c r="D31" s="52"/>
      <c r="E31" s="53">
        <v>18.420000076293899</v>
      </c>
      <c r="F31" s="17"/>
      <c r="G31" s="17"/>
      <c r="H31" s="17"/>
      <c r="I31" s="17"/>
      <c r="J31" s="17"/>
      <c r="K31" s="17"/>
      <c r="L31" s="17"/>
      <c r="M31" s="17"/>
      <c r="N31" s="16"/>
    </row>
    <row r="32" spans="1:18">
      <c r="A32" s="48" t="s">
        <v>22</v>
      </c>
      <c r="B32" s="50" t="s">
        <v>275</v>
      </c>
      <c r="C32" s="51">
        <v>7900</v>
      </c>
      <c r="D32" s="52"/>
      <c r="E32" s="53">
        <v>18.920000076293899</v>
      </c>
      <c r="F32" s="17"/>
      <c r="G32" s="17"/>
      <c r="H32" s="17"/>
      <c r="I32" s="17"/>
      <c r="J32" s="17"/>
      <c r="K32" s="17"/>
      <c r="L32" s="17"/>
      <c r="M32" s="17"/>
      <c r="N32" s="16"/>
    </row>
    <row r="33" spans="1:14">
      <c r="A33" s="48" t="s">
        <v>22</v>
      </c>
      <c r="B33" s="50" t="s">
        <v>276</v>
      </c>
      <c r="C33" s="51">
        <v>7800</v>
      </c>
      <c r="D33" s="52"/>
      <c r="E33" s="53">
        <v>21.358888414170998</v>
      </c>
      <c r="F33" s="17"/>
      <c r="G33" s="17"/>
      <c r="H33" s="17"/>
      <c r="I33" s="17"/>
      <c r="J33" s="17"/>
      <c r="K33" s="17"/>
      <c r="L33" s="17"/>
      <c r="M33" s="17"/>
      <c r="N33" s="16"/>
    </row>
    <row r="34" spans="1:14">
      <c r="A34" s="48" t="s">
        <v>22</v>
      </c>
      <c r="B34" s="50" t="s">
        <v>27</v>
      </c>
      <c r="C34" s="51">
        <v>7700</v>
      </c>
      <c r="D34" s="52"/>
      <c r="E34" s="53">
        <v>16.545555962456501</v>
      </c>
      <c r="F34" s="17"/>
      <c r="G34" s="17"/>
      <c r="H34" s="17"/>
      <c r="I34" s="17"/>
      <c r="J34" s="17"/>
      <c r="K34" s="17"/>
      <c r="L34" s="17"/>
      <c r="M34" s="17"/>
      <c r="N34" s="16"/>
    </row>
    <row r="35" spans="1:14">
      <c r="A35" s="48" t="s">
        <v>22</v>
      </c>
      <c r="B35" s="50" t="s">
        <v>277</v>
      </c>
      <c r="C35" s="51">
        <v>7600</v>
      </c>
      <c r="D35" s="52"/>
      <c r="E35" s="53">
        <v>18.512307974008401</v>
      </c>
      <c r="F35" s="17"/>
      <c r="G35" s="17"/>
      <c r="H35" s="17"/>
      <c r="I35" s="17"/>
      <c r="J35" s="17"/>
      <c r="K35" s="17"/>
      <c r="L35" s="17"/>
      <c r="M35" s="17"/>
      <c r="N35" s="16"/>
    </row>
    <row r="36" spans="1:14">
      <c r="A36" s="48" t="s">
        <v>22</v>
      </c>
      <c r="B36" s="50" t="s">
        <v>55</v>
      </c>
      <c r="C36" s="51">
        <v>7500</v>
      </c>
      <c r="D36" s="52"/>
      <c r="E36" s="53">
        <v>19.342500686645501</v>
      </c>
      <c r="F36" s="17"/>
      <c r="G36" s="17"/>
      <c r="H36" s="17"/>
      <c r="I36" s="17"/>
      <c r="J36" s="17"/>
      <c r="K36" s="17"/>
      <c r="L36" s="17"/>
      <c r="M36" s="17"/>
      <c r="N36" s="16"/>
    </row>
    <row r="37" spans="1:14">
      <c r="A37" s="48" t="s">
        <v>22</v>
      </c>
      <c r="B37" s="50" t="s">
        <v>56</v>
      </c>
      <c r="C37" s="51">
        <v>7500</v>
      </c>
      <c r="D37" s="52"/>
      <c r="E37" s="53">
        <v>17.544000244140602</v>
      </c>
      <c r="F37" s="17"/>
      <c r="G37" s="17"/>
      <c r="H37" s="17"/>
      <c r="I37" s="17"/>
      <c r="J37" s="17"/>
      <c r="K37" s="17"/>
      <c r="L37" s="17"/>
      <c r="M37" s="17"/>
      <c r="N37" s="16"/>
    </row>
    <row r="38" spans="1:14">
      <c r="A38" s="48" t="s">
        <v>22</v>
      </c>
      <c r="B38" s="50" t="s">
        <v>64</v>
      </c>
      <c r="C38" s="51">
        <v>7400</v>
      </c>
      <c r="D38" s="52"/>
      <c r="E38" s="53">
        <v>17.283750534057599</v>
      </c>
      <c r="F38" s="17"/>
      <c r="G38" s="17"/>
      <c r="H38" s="17"/>
      <c r="I38" s="17"/>
      <c r="J38" s="17"/>
      <c r="K38" s="17"/>
      <c r="L38" s="17"/>
      <c r="M38" s="17"/>
      <c r="N38" s="16"/>
    </row>
    <row r="39" spans="1:14">
      <c r="A39" s="48" t="s">
        <v>22</v>
      </c>
      <c r="B39" s="50" t="s">
        <v>67</v>
      </c>
      <c r="C39" s="51">
        <v>7300</v>
      </c>
      <c r="D39" s="52"/>
      <c r="E39" s="53">
        <v>16.281176398782101</v>
      </c>
      <c r="F39" s="17"/>
      <c r="G39" s="17"/>
      <c r="H39" s="17"/>
      <c r="I39" s="17"/>
      <c r="J39" s="17"/>
      <c r="K39" s="17"/>
      <c r="L39" s="17"/>
      <c r="M39" s="17"/>
      <c r="N39" s="16"/>
    </row>
    <row r="40" spans="1:14">
      <c r="A40" s="48" t="s">
        <v>22</v>
      </c>
      <c r="B40" s="50" t="s">
        <v>71</v>
      </c>
      <c r="C40" s="51">
        <v>7200</v>
      </c>
      <c r="D40" s="52"/>
      <c r="E40" s="53">
        <v>17.7157897949218</v>
      </c>
      <c r="F40" s="17"/>
      <c r="G40" s="17"/>
      <c r="H40" s="17"/>
      <c r="I40" s="17"/>
      <c r="J40" s="17"/>
      <c r="K40" s="17"/>
      <c r="L40" s="17"/>
      <c r="M40" s="17"/>
      <c r="N40" s="16"/>
    </row>
    <row r="41" spans="1:14">
      <c r="A41" s="48" t="s">
        <v>22</v>
      </c>
      <c r="B41" s="50" t="s">
        <v>278</v>
      </c>
      <c r="C41" s="51">
        <v>7100</v>
      </c>
      <c r="D41" s="52"/>
      <c r="E41" s="53"/>
      <c r="F41" s="17"/>
      <c r="G41" s="17"/>
      <c r="H41" s="17"/>
      <c r="I41" s="17"/>
      <c r="J41" s="17"/>
      <c r="K41" s="17"/>
      <c r="L41" s="17"/>
      <c r="M41" s="17"/>
      <c r="N41" s="16"/>
    </row>
    <row r="42" spans="1:14">
      <c r="A42" s="48" t="s">
        <v>22</v>
      </c>
      <c r="B42" s="50" t="s">
        <v>74</v>
      </c>
      <c r="C42" s="51">
        <v>7100</v>
      </c>
      <c r="D42" s="52"/>
      <c r="E42" s="53">
        <v>12.971429007393899</v>
      </c>
      <c r="F42" s="17"/>
      <c r="G42" s="17"/>
      <c r="H42" s="17"/>
      <c r="I42" s="17"/>
      <c r="J42" s="17"/>
      <c r="K42" s="17"/>
      <c r="L42" s="17"/>
      <c r="M42" s="17"/>
      <c r="N42" s="16"/>
    </row>
    <row r="43" spans="1:14">
      <c r="A43" s="48" t="s">
        <v>22</v>
      </c>
      <c r="B43" s="50" t="s">
        <v>279</v>
      </c>
      <c r="C43" s="51">
        <v>7000</v>
      </c>
      <c r="D43" s="52"/>
      <c r="E43" s="53"/>
      <c r="F43" s="17"/>
      <c r="G43" s="17"/>
      <c r="H43" s="17"/>
      <c r="I43" s="17"/>
      <c r="J43" s="17"/>
      <c r="K43" s="17"/>
      <c r="L43" s="17"/>
      <c r="M43" s="17"/>
      <c r="N43" s="16"/>
    </row>
    <row r="44" spans="1:14">
      <c r="A44" s="48" t="s">
        <v>22</v>
      </c>
      <c r="B44" s="50" t="s">
        <v>81</v>
      </c>
      <c r="C44" s="51">
        <v>7000</v>
      </c>
      <c r="D44" s="52"/>
      <c r="E44" s="53">
        <v>14.654117359834499</v>
      </c>
      <c r="F44" s="17"/>
      <c r="G44" s="17"/>
      <c r="H44" s="17"/>
      <c r="I44" s="17"/>
      <c r="J44" s="17"/>
      <c r="K44" s="17"/>
      <c r="L44" s="17"/>
      <c r="M44" s="17"/>
      <c r="N44" s="16"/>
    </row>
    <row r="45" spans="1:14">
      <c r="A45" s="48" t="s">
        <v>22</v>
      </c>
      <c r="B45" s="50" t="s">
        <v>77</v>
      </c>
      <c r="C45" s="51">
        <v>7000</v>
      </c>
      <c r="D45" s="52"/>
      <c r="E45" s="53">
        <v>15.717332967122299</v>
      </c>
      <c r="F45" s="17"/>
      <c r="G45" s="17"/>
      <c r="H45" s="17"/>
      <c r="I45" s="17"/>
      <c r="J45" s="17"/>
      <c r="K45" s="17"/>
      <c r="L45" s="17"/>
      <c r="M45" s="17"/>
      <c r="N45" s="16"/>
    </row>
    <row r="46" spans="1:14">
      <c r="A46" s="48" t="s">
        <v>22</v>
      </c>
      <c r="B46" s="50" t="s">
        <v>280</v>
      </c>
      <c r="C46" s="51">
        <v>6900</v>
      </c>
      <c r="D46" s="52"/>
      <c r="E46" s="53">
        <v>11.7799996270073</v>
      </c>
      <c r="F46" s="17"/>
      <c r="G46" s="17"/>
      <c r="H46" s="17"/>
      <c r="I46" s="17"/>
      <c r="J46" s="17"/>
      <c r="K46" s="17"/>
      <c r="L46" s="17"/>
      <c r="M46" s="17"/>
      <c r="N46" s="16"/>
    </row>
    <row r="47" spans="1:14">
      <c r="A47" s="48" t="s">
        <v>22</v>
      </c>
      <c r="B47" s="50" t="s">
        <v>61</v>
      </c>
      <c r="C47" s="51">
        <v>6900</v>
      </c>
      <c r="D47" s="52"/>
      <c r="E47" s="53">
        <v>14.9487495422363</v>
      </c>
      <c r="F47" s="17"/>
      <c r="G47" s="17"/>
      <c r="H47" s="17"/>
      <c r="I47" s="17"/>
      <c r="J47" s="17"/>
      <c r="K47" s="17"/>
      <c r="L47" s="17"/>
      <c r="M47" s="17"/>
      <c r="N47" s="16"/>
    </row>
    <row r="48" spans="1:14">
      <c r="A48" s="48" t="s">
        <v>22</v>
      </c>
      <c r="B48" s="50" t="s">
        <v>281</v>
      </c>
      <c r="C48" s="51">
        <v>6900</v>
      </c>
      <c r="D48" s="52"/>
      <c r="E48" s="53">
        <v>17.659999593098899</v>
      </c>
      <c r="F48" s="17"/>
      <c r="G48" s="17"/>
      <c r="H48" s="17"/>
      <c r="I48" s="17"/>
      <c r="J48" s="17"/>
      <c r="K48" s="17"/>
      <c r="L48" s="17"/>
      <c r="M48" s="17"/>
      <c r="N48" s="16"/>
    </row>
    <row r="49" spans="1:14">
      <c r="A49" s="48" t="s">
        <v>22</v>
      </c>
      <c r="B49" s="50" t="s">
        <v>282</v>
      </c>
      <c r="C49" s="51">
        <v>6800</v>
      </c>
      <c r="D49" s="52"/>
      <c r="E49" s="53">
        <v>10.493333180745401</v>
      </c>
      <c r="F49" s="17"/>
      <c r="G49" s="17"/>
      <c r="H49" s="17"/>
      <c r="I49" s="17"/>
      <c r="J49" s="17"/>
      <c r="K49" s="17"/>
      <c r="L49" s="17"/>
      <c r="M49" s="17"/>
      <c r="N49" s="16"/>
    </row>
    <row r="50" spans="1:14">
      <c r="A50" s="48" t="s">
        <v>22</v>
      </c>
      <c r="B50" s="50" t="s">
        <v>84</v>
      </c>
      <c r="C50" s="51">
        <v>6800</v>
      </c>
      <c r="D50" s="52"/>
      <c r="E50" s="53">
        <v>12.824999809265099</v>
      </c>
      <c r="F50" s="17"/>
      <c r="G50" s="17"/>
      <c r="H50" s="17"/>
      <c r="I50" s="17"/>
      <c r="J50" s="17"/>
      <c r="K50" s="17"/>
      <c r="L50" s="17"/>
      <c r="M50" s="17"/>
      <c r="N50" s="16"/>
    </row>
    <row r="51" spans="1:14">
      <c r="A51" s="48" t="s">
        <v>22</v>
      </c>
      <c r="B51" s="50" t="s">
        <v>119</v>
      </c>
      <c r="C51" s="51">
        <v>6800</v>
      </c>
      <c r="D51" s="52"/>
      <c r="E51" s="53">
        <v>11.068333943684801</v>
      </c>
      <c r="F51" s="17"/>
      <c r="G51" s="17"/>
      <c r="H51" s="17"/>
      <c r="I51" s="17"/>
      <c r="J51" s="17"/>
      <c r="K51" s="17"/>
      <c r="L51" s="17"/>
      <c r="M51" s="17"/>
      <c r="N51" s="16"/>
    </row>
    <row r="52" spans="1:14">
      <c r="A52" s="48" t="s">
        <v>22</v>
      </c>
      <c r="B52" s="50" t="s">
        <v>283</v>
      </c>
      <c r="C52" s="51">
        <v>6700</v>
      </c>
      <c r="D52" s="52"/>
      <c r="E52" s="53">
        <v>2.21636356006969</v>
      </c>
      <c r="F52" s="17"/>
      <c r="G52" s="17"/>
      <c r="H52" s="17"/>
      <c r="I52" s="17"/>
      <c r="J52" s="17"/>
      <c r="K52" s="17"/>
      <c r="L52" s="17"/>
      <c r="M52" s="17"/>
      <c r="N52" s="16"/>
    </row>
    <row r="53" spans="1:14">
      <c r="A53" s="48" t="s">
        <v>22</v>
      </c>
      <c r="B53" s="50" t="s">
        <v>82</v>
      </c>
      <c r="C53" s="51">
        <v>6700</v>
      </c>
      <c r="D53" s="52"/>
      <c r="E53" s="53">
        <v>10.3987503051757</v>
      </c>
      <c r="F53" s="17"/>
      <c r="G53" s="17"/>
      <c r="H53" s="17"/>
      <c r="I53" s="17"/>
      <c r="J53" s="17"/>
      <c r="K53" s="17"/>
      <c r="L53" s="17"/>
      <c r="M53" s="17"/>
      <c r="N53" s="16"/>
    </row>
    <row r="54" spans="1:14">
      <c r="A54" s="48" t="s">
        <v>22</v>
      </c>
      <c r="B54" s="50" t="s">
        <v>284</v>
      </c>
      <c r="C54" s="51">
        <v>6700</v>
      </c>
      <c r="D54" s="52" t="s">
        <v>351</v>
      </c>
      <c r="E54" s="53"/>
      <c r="F54" s="17"/>
      <c r="G54" s="17"/>
      <c r="H54" s="17"/>
      <c r="I54" s="17"/>
      <c r="J54" s="17"/>
      <c r="K54" s="17"/>
      <c r="L54" s="17"/>
      <c r="M54" s="17"/>
      <c r="N54" s="16"/>
    </row>
    <row r="55" spans="1:14">
      <c r="A55" s="48" t="s">
        <v>22</v>
      </c>
      <c r="B55" s="50" t="s">
        <v>285</v>
      </c>
      <c r="C55" s="51">
        <v>6600</v>
      </c>
      <c r="D55" s="52"/>
      <c r="E55" s="53"/>
      <c r="F55" s="17"/>
      <c r="G55" s="17"/>
      <c r="H55" s="17"/>
      <c r="I55" s="17"/>
      <c r="J55" s="17"/>
      <c r="K55" s="17"/>
      <c r="L55" s="17"/>
      <c r="M55" s="17"/>
      <c r="N55" s="16"/>
    </row>
    <row r="56" spans="1:14">
      <c r="A56" s="48" t="s">
        <v>22</v>
      </c>
      <c r="B56" s="50" t="s">
        <v>286</v>
      </c>
      <c r="C56" s="51">
        <v>6600</v>
      </c>
      <c r="D56" s="52"/>
      <c r="E56" s="53">
        <v>9.2133331298828107</v>
      </c>
      <c r="F56" s="17"/>
      <c r="G56" s="17"/>
      <c r="H56" s="17"/>
      <c r="I56" s="17"/>
      <c r="J56" s="17"/>
      <c r="K56" s="17"/>
      <c r="L56" s="17"/>
      <c r="M56" s="17"/>
      <c r="N56" s="16"/>
    </row>
    <row r="57" spans="1:14">
      <c r="A57" s="48" t="s">
        <v>22</v>
      </c>
      <c r="B57" s="50" t="s">
        <v>287</v>
      </c>
      <c r="C57" s="51">
        <v>6500</v>
      </c>
      <c r="D57" s="52"/>
      <c r="E57" s="53"/>
      <c r="F57" s="17"/>
      <c r="G57" s="17"/>
      <c r="H57" s="17"/>
      <c r="I57" s="17"/>
      <c r="J57" s="17"/>
      <c r="K57" s="17"/>
      <c r="L57" s="17"/>
      <c r="M57" s="17"/>
      <c r="N57" s="16"/>
    </row>
    <row r="58" spans="1:14">
      <c r="A58" s="48" t="s">
        <v>22</v>
      </c>
      <c r="B58" s="50" t="s">
        <v>288</v>
      </c>
      <c r="C58" s="51">
        <v>6500</v>
      </c>
      <c r="D58" s="52"/>
      <c r="E58" s="53">
        <v>7.6200002034505196</v>
      </c>
      <c r="F58" s="17"/>
      <c r="G58" s="17"/>
      <c r="H58" s="17"/>
      <c r="I58" s="17"/>
      <c r="J58" s="17"/>
      <c r="K58" s="17"/>
      <c r="L58" s="17"/>
      <c r="M58" s="17"/>
      <c r="N58" s="16"/>
    </row>
    <row r="59" spans="1:14">
      <c r="A59" s="48" t="s">
        <v>22</v>
      </c>
      <c r="B59" s="50" t="s">
        <v>72</v>
      </c>
      <c r="C59" s="51">
        <v>6200</v>
      </c>
      <c r="D59" s="52"/>
      <c r="E59" s="53">
        <v>16.355294620289499</v>
      </c>
      <c r="F59" s="17"/>
      <c r="G59" s="17"/>
      <c r="H59" s="17"/>
      <c r="I59" s="17"/>
      <c r="J59" s="17"/>
      <c r="K59" s="17"/>
      <c r="L59" s="17"/>
      <c r="M59" s="17"/>
      <c r="N59" s="16"/>
    </row>
    <row r="60" spans="1:14">
      <c r="A60" s="48" t="s">
        <v>22</v>
      </c>
      <c r="B60" s="50" t="s">
        <v>120</v>
      </c>
      <c r="C60" s="51">
        <v>6100</v>
      </c>
      <c r="D60" s="52"/>
      <c r="E60" s="53">
        <v>2.13714286259242</v>
      </c>
      <c r="F60" s="17"/>
      <c r="G60" s="17"/>
      <c r="H60" s="17"/>
      <c r="I60" s="17"/>
      <c r="J60" s="17"/>
      <c r="K60" s="17"/>
      <c r="L60" s="17"/>
      <c r="M60" s="17"/>
      <c r="N60" s="16"/>
    </row>
    <row r="61" spans="1:14">
      <c r="A61" s="48" t="s">
        <v>22</v>
      </c>
      <c r="B61" s="50" t="s">
        <v>289</v>
      </c>
      <c r="C61" s="51">
        <v>6000</v>
      </c>
      <c r="D61" s="52"/>
      <c r="E61" s="53">
        <v>-0.10000000149011599</v>
      </c>
      <c r="F61" s="17"/>
      <c r="G61" s="17"/>
      <c r="H61" s="17"/>
      <c r="I61" s="17"/>
      <c r="J61" s="17"/>
      <c r="K61" s="17"/>
      <c r="L61" s="17"/>
      <c r="M61" s="17"/>
      <c r="N61" s="16"/>
    </row>
    <row r="62" spans="1:14">
      <c r="A62" s="48" t="s">
        <v>22</v>
      </c>
      <c r="B62" s="50" t="s">
        <v>290</v>
      </c>
      <c r="C62" s="51">
        <v>6000</v>
      </c>
      <c r="D62" s="52"/>
      <c r="E62" s="53"/>
      <c r="F62" s="17"/>
      <c r="G62" s="17"/>
      <c r="H62" s="17"/>
      <c r="I62" s="17"/>
      <c r="J62" s="17"/>
      <c r="K62" s="17"/>
      <c r="L62" s="17"/>
      <c r="M62" s="17"/>
      <c r="N62" s="16"/>
    </row>
    <row r="63" spans="1:14">
      <c r="A63" s="48" t="s">
        <v>22</v>
      </c>
      <c r="B63" s="50" t="s">
        <v>291</v>
      </c>
      <c r="C63" s="51">
        <v>6000</v>
      </c>
      <c r="D63" s="52"/>
      <c r="E63" s="53"/>
      <c r="F63" s="17"/>
      <c r="G63" s="17"/>
      <c r="H63" s="17"/>
      <c r="I63" s="17"/>
      <c r="J63" s="17"/>
      <c r="K63" s="17"/>
      <c r="L63" s="17"/>
      <c r="M63" s="17"/>
      <c r="N63" s="16"/>
    </row>
    <row r="64" spans="1:14">
      <c r="A64" s="48" t="s">
        <v>22</v>
      </c>
      <c r="B64" s="50" t="s">
        <v>292</v>
      </c>
      <c r="C64" s="51">
        <v>6000</v>
      </c>
      <c r="D64" s="52"/>
      <c r="E64" s="53">
        <v>14</v>
      </c>
      <c r="F64" s="17"/>
      <c r="G64" s="17"/>
      <c r="H64" s="17"/>
      <c r="I64" s="17"/>
      <c r="J64" s="17"/>
      <c r="K64" s="17"/>
      <c r="L64" s="17"/>
      <c r="M64" s="17"/>
      <c r="N64" s="16"/>
    </row>
    <row r="65" spans="1:14">
      <c r="A65" s="48" t="s">
        <v>22</v>
      </c>
      <c r="B65" s="50" t="s">
        <v>293</v>
      </c>
      <c r="C65" s="51">
        <v>6000</v>
      </c>
      <c r="D65" s="52"/>
      <c r="E65" s="53">
        <v>0</v>
      </c>
      <c r="F65" s="17"/>
      <c r="G65" s="17"/>
      <c r="H65" s="17"/>
      <c r="I65" s="17"/>
      <c r="J65" s="17"/>
      <c r="K65" s="17"/>
      <c r="L65" s="17"/>
      <c r="M65" s="17"/>
      <c r="N65" s="16"/>
    </row>
    <row r="66" spans="1:14">
      <c r="A66" s="48" t="s">
        <v>22</v>
      </c>
      <c r="B66" s="50" t="s">
        <v>294</v>
      </c>
      <c r="C66" s="51">
        <v>6000</v>
      </c>
      <c r="D66" s="52" t="s">
        <v>351</v>
      </c>
      <c r="E66" s="53"/>
      <c r="F66" s="17"/>
      <c r="G66" s="17"/>
      <c r="H66" s="17"/>
      <c r="I66" s="17"/>
      <c r="J66" s="17"/>
      <c r="K66" s="17"/>
      <c r="L66" s="17"/>
      <c r="M66" s="17"/>
      <c r="N66" s="16"/>
    </row>
    <row r="67" spans="1:14">
      <c r="A67" s="48" t="s">
        <v>22</v>
      </c>
      <c r="B67" s="50" t="s">
        <v>295</v>
      </c>
      <c r="C67" s="51">
        <v>6000</v>
      </c>
      <c r="D67" s="52"/>
      <c r="E67" s="53">
        <v>0.34000000357627802</v>
      </c>
      <c r="F67" s="17"/>
      <c r="G67" s="17"/>
      <c r="H67" s="17"/>
      <c r="I67" s="17"/>
      <c r="J67" s="17"/>
      <c r="K67" s="17"/>
      <c r="L67" s="17"/>
      <c r="M67" s="17"/>
      <c r="N67" s="16"/>
    </row>
    <row r="68" spans="1:14">
      <c r="A68" s="48" t="s">
        <v>22</v>
      </c>
      <c r="B68" s="50" t="s">
        <v>76</v>
      </c>
      <c r="C68" s="51">
        <v>6000</v>
      </c>
      <c r="D68" s="52"/>
      <c r="E68" s="53">
        <v>11.789999961853001</v>
      </c>
      <c r="F68" s="17"/>
      <c r="G68" s="17"/>
      <c r="H68" s="17"/>
      <c r="I68" s="17"/>
      <c r="J68" s="17"/>
      <c r="K68" s="17"/>
      <c r="L68" s="17"/>
      <c r="M68" s="17"/>
      <c r="N68" s="16"/>
    </row>
    <row r="69" spans="1:14">
      <c r="A69" s="48" t="s">
        <v>22</v>
      </c>
      <c r="B69" s="50" t="s">
        <v>296</v>
      </c>
      <c r="C69" s="51">
        <v>6000</v>
      </c>
      <c r="D69" s="52"/>
      <c r="E69" s="53">
        <v>0.77999997138976995</v>
      </c>
      <c r="F69" s="17"/>
      <c r="G69" s="17"/>
      <c r="H69" s="17"/>
      <c r="I69" s="17"/>
      <c r="J69" s="17"/>
      <c r="K69" s="17"/>
      <c r="L69" s="17"/>
      <c r="M69" s="17"/>
      <c r="N69" s="16"/>
    </row>
    <row r="70" spans="1:14">
      <c r="A70" s="48" t="s">
        <v>22</v>
      </c>
      <c r="B70" s="50" t="s">
        <v>83</v>
      </c>
      <c r="C70" s="51">
        <v>6000</v>
      </c>
      <c r="D70" s="52"/>
      <c r="E70" s="53">
        <v>10.5783335367838</v>
      </c>
      <c r="F70" s="17"/>
      <c r="G70" s="17"/>
      <c r="H70" s="17"/>
      <c r="I70" s="17"/>
      <c r="J70" s="17"/>
      <c r="K70" s="17"/>
      <c r="L70" s="17"/>
      <c r="M70" s="17"/>
      <c r="N70" s="16"/>
    </row>
    <row r="71" spans="1:14">
      <c r="A71" s="48" t="s">
        <v>22</v>
      </c>
      <c r="B71" s="50" t="s">
        <v>297</v>
      </c>
      <c r="C71" s="51">
        <v>6000</v>
      </c>
      <c r="D71" s="52"/>
      <c r="E71" s="53"/>
      <c r="F71" s="17"/>
      <c r="G71" s="17"/>
      <c r="H71" s="17"/>
      <c r="I71" s="17"/>
      <c r="J71" s="17"/>
      <c r="K71" s="17"/>
      <c r="L71" s="17"/>
      <c r="M71" s="17"/>
      <c r="N71" s="16"/>
    </row>
    <row r="72" spans="1:14">
      <c r="A72" s="48" t="s">
        <v>22</v>
      </c>
      <c r="B72" s="50" t="s">
        <v>298</v>
      </c>
      <c r="C72" s="51">
        <v>6000</v>
      </c>
      <c r="D72" s="52"/>
      <c r="E72" s="53">
        <v>0</v>
      </c>
      <c r="F72" s="17"/>
      <c r="G72" s="17"/>
      <c r="H72" s="17"/>
      <c r="I72" s="17"/>
      <c r="J72" s="17"/>
      <c r="K72" s="17"/>
      <c r="L72" s="17"/>
      <c r="M72" s="17"/>
      <c r="N72" s="16"/>
    </row>
    <row r="73" spans="1:14">
      <c r="A73" s="48" t="s">
        <v>22</v>
      </c>
      <c r="B73" s="50" t="s">
        <v>299</v>
      </c>
      <c r="C73" s="51">
        <v>6000</v>
      </c>
      <c r="D73" s="52" t="s">
        <v>351</v>
      </c>
      <c r="E73" s="53">
        <v>3.1849999427795401</v>
      </c>
      <c r="F73" s="17"/>
      <c r="G73" s="17"/>
      <c r="H73" s="17"/>
      <c r="I73" s="17"/>
      <c r="J73" s="17"/>
      <c r="K73" s="17"/>
      <c r="L73" s="17"/>
      <c r="M73" s="17"/>
      <c r="N73" s="16"/>
    </row>
    <row r="74" spans="1:14">
      <c r="A74" s="48" t="s">
        <v>22</v>
      </c>
      <c r="B74" s="50" t="s">
        <v>85</v>
      </c>
      <c r="C74" s="51">
        <v>6000</v>
      </c>
      <c r="D74" s="52"/>
      <c r="E74" s="53">
        <v>10.7636365023526</v>
      </c>
      <c r="F74" s="17"/>
      <c r="G74" s="17"/>
      <c r="H74" s="17"/>
      <c r="I74" s="17"/>
      <c r="J74" s="17"/>
      <c r="K74" s="17"/>
      <c r="L74" s="17"/>
      <c r="M74" s="17"/>
      <c r="N74" s="16"/>
    </row>
    <row r="75" spans="1:14">
      <c r="A75" s="48" t="s">
        <v>22</v>
      </c>
      <c r="B75" s="50" t="s">
        <v>300</v>
      </c>
      <c r="C75" s="51">
        <v>6000</v>
      </c>
      <c r="D75" s="52"/>
      <c r="E75" s="53">
        <v>8.18857138497488</v>
      </c>
      <c r="F75" s="17"/>
      <c r="G75" s="17"/>
      <c r="H75" s="17"/>
      <c r="I75" s="17"/>
      <c r="J75" s="17"/>
      <c r="K75" s="17"/>
      <c r="L75" s="17"/>
      <c r="M75" s="17"/>
      <c r="N75" s="16"/>
    </row>
    <row r="76" spans="1:14">
      <c r="A76" s="48" t="s">
        <v>22</v>
      </c>
      <c r="B76" s="50" t="s">
        <v>301</v>
      </c>
      <c r="C76" s="51">
        <v>6000</v>
      </c>
      <c r="D76" s="52"/>
      <c r="E76" s="53">
        <v>-0.10000000149011599</v>
      </c>
      <c r="F76" s="17"/>
      <c r="G76" s="17"/>
      <c r="H76" s="17"/>
      <c r="I76" s="17"/>
      <c r="J76" s="17"/>
      <c r="K76" s="17"/>
      <c r="L76" s="17"/>
      <c r="M76" s="17"/>
      <c r="N76" s="16"/>
    </row>
    <row r="77" spans="1:14">
      <c r="A77" s="48" t="s">
        <v>22</v>
      </c>
      <c r="B77" s="50" t="s">
        <v>302</v>
      </c>
      <c r="C77" s="51">
        <v>6000</v>
      </c>
      <c r="D77" s="52"/>
      <c r="E77" s="53"/>
      <c r="F77" s="17"/>
      <c r="G77" s="17"/>
      <c r="H77" s="17"/>
      <c r="I77" s="17"/>
      <c r="J77" s="17"/>
      <c r="K77" s="17"/>
      <c r="L77" s="17"/>
      <c r="M77" s="17"/>
      <c r="N77" s="16"/>
    </row>
    <row r="78" spans="1:14">
      <c r="A78" s="48" t="s">
        <v>22</v>
      </c>
      <c r="B78" s="50" t="s">
        <v>303</v>
      </c>
      <c r="C78" s="51">
        <v>6000</v>
      </c>
      <c r="D78" s="52"/>
      <c r="E78" s="53"/>
      <c r="F78" s="17"/>
      <c r="G78" s="17"/>
      <c r="H78" s="17"/>
      <c r="I78" s="17"/>
      <c r="J78" s="17"/>
      <c r="K78" s="17"/>
      <c r="L78" s="17"/>
      <c r="M78" s="17"/>
      <c r="N78" s="16"/>
    </row>
    <row r="79" spans="1:14">
      <c r="A79" s="48" t="s">
        <v>22</v>
      </c>
      <c r="B79" s="50" t="s">
        <v>304</v>
      </c>
      <c r="C79" s="51">
        <v>6000</v>
      </c>
      <c r="D79" s="52"/>
      <c r="E79" s="53">
        <v>10.726666768391899</v>
      </c>
      <c r="F79" s="17"/>
      <c r="G79" s="17"/>
      <c r="H79" s="17"/>
      <c r="I79" s="17"/>
      <c r="J79" s="17"/>
      <c r="K79" s="17"/>
      <c r="L79" s="17"/>
      <c r="M79" s="17"/>
      <c r="N79" s="16"/>
    </row>
    <row r="80" spans="1:14">
      <c r="A80" s="48" t="s">
        <v>22</v>
      </c>
      <c r="B80" s="50" t="s">
        <v>305</v>
      </c>
      <c r="C80" s="51">
        <v>6000</v>
      </c>
      <c r="D80" s="52"/>
      <c r="E80" s="53"/>
      <c r="F80" s="17"/>
      <c r="G80" s="17"/>
      <c r="H80" s="17"/>
      <c r="I80" s="17"/>
      <c r="J80" s="17"/>
      <c r="K80" s="17"/>
      <c r="L80" s="17"/>
      <c r="M80" s="17"/>
      <c r="N80" s="16"/>
    </row>
    <row r="81" spans="1:14">
      <c r="A81" s="48" t="s">
        <v>22</v>
      </c>
      <c r="B81" s="50" t="s">
        <v>306</v>
      </c>
      <c r="C81" s="51">
        <v>6000</v>
      </c>
      <c r="D81" s="52" t="s">
        <v>75</v>
      </c>
      <c r="E81" s="53">
        <v>5.3533331553141199</v>
      </c>
      <c r="F81" s="17"/>
      <c r="G81" s="17"/>
      <c r="H81" s="17"/>
      <c r="I81" s="17"/>
      <c r="J81" s="17"/>
      <c r="K81" s="17"/>
      <c r="L81" s="17"/>
      <c r="M81" s="17"/>
      <c r="N81" s="16"/>
    </row>
    <row r="82" spans="1:14">
      <c r="A82" s="48" t="s">
        <v>22</v>
      </c>
      <c r="B82" s="50" t="s">
        <v>307</v>
      </c>
      <c r="C82" s="51">
        <v>6000</v>
      </c>
      <c r="D82" s="52"/>
      <c r="E82" s="53">
        <v>20.736666361490801</v>
      </c>
      <c r="F82" s="17"/>
      <c r="G82" s="17"/>
      <c r="H82" s="17"/>
      <c r="I82" s="17"/>
      <c r="J82" s="17"/>
      <c r="K82" s="17"/>
      <c r="L82" s="17"/>
      <c r="M82" s="17"/>
      <c r="N82" s="16"/>
    </row>
    <row r="83" spans="1:14">
      <c r="A83" s="48" t="s">
        <v>22</v>
      </c>
      <c r="B83" s="50" t="s">
        <v>308</v>
      </c>
      <c r="C83" s="51">
        <v>6000</v>
      </c>
      <c r="D83" s="52"/>
      <c r="E83" s="53">
        <v>14.947999572753901</v>
      </c>
      <c r="F83" s="17"/>
      <c r="G83" s="17"/>
      <c r="H83" s="17"/>
      <c r="I83" s="17"/>
      <c r="J83" s="17"/>
      <c r="K83" s="17"/>
      <c r="L83" s="17"/>
      <c r="M83" s="17"/>
      <c r="N83" s="16"/>
    </row>
    <row r="84" spans="1:14">
      <c r="A84" s="48" t="s">
        <v>22</v>
      </c>
      <c r="B84" s="50" t="s">
        <v>309</v>
      </c>
      <c r="C84" s="51">
        <v>6000</v>
      </c>
      <c r="D84" s="52" t="s">
        <v>75</v>
      </c>
      <c r="E84" s="53">
        <v>4.2533334096272704</v>
      </c>
      <c r="F84" s="17"/>
      <c r="G84" s="17"/>
      <c r="H84" s="17"/>
      <c r="I84" s="17"/>
      <c r="J84" s="17"/>
      <c r="K84" s="17"/>
      <c r="L84" s="17"/>
      <c r="M84" s="17"/>
      <c r="N84" s="16"/>
    </row>
    <row r="85" spans="1:14">
      <c r="A85" s="48" t="s">
        <v>22</v>
      </c>
      <c r="B85" s="50" t="s">
        <v>310</v>
      </c>
      <c r="C85" s="51">
        <v>6000</v>
      </c>
      <c r="D85" s="52"/>
      <c r="E85" s="53">
        <v>1.3542856488909001</v>
      </c>
      <c r="F85" s="17"/>
      <c r="G85" s="17"/>
      <c r="H85" s="17"/>
      <c r="I85" s="17"/>
      <c r="J85" s="17"/>
      <c r="K85" s="17"/>
      <c r="L85" s="17"/>
      <c r="M85" s="17"/>
      <c r="N85" s="16"/>
    </row>
    <row r="86" spans="1:14">
      <c r="A86" s="48" t="s">
        <v>22</v>
      </c>
      <c r="B86" s="50" t="s">
        <v>311</v>
      </c>
      <c r="C86" s="51">
        <v>6000</v>
      </c>
      <c r="D86" s="52"/>
      <c r="E86" s="53">
        <v>0</v>
      </c>
      <c r="F86" s="17"/>
      <c r="G86" s="17"/>
      <c r="H86" s="17"/>
      <c r="I86" s="17"/>
      <c r="J86" s="17"/>
      <c r="K86" s="17"/>
      <c r="L86" s="17"/>
      <c r="M86" s="17"/>
      <c r="N86" s="16"/>
    </row>
    <row r="87" spans="1:14">
      <c r="A87" s="48" t="s">
        <v>22</v>
      </c>
      <c r="B87" s="50" t="s">
        <v>312</v>
      </c>
      <c r="C87" s="51">
        <v>6000</v>
      </c>
      <c r="D87" s="52"/>
      <c r="E87" s="53"/>
      <c r="F87" s="17"/>
      <c r="G87" s="17"/>
      <c r="H87" s="17"/>
      <c r="I87" s="17"/>
      <c r="J87" s="17"/>
      <c r="K87" s="17"/>
      <c r="L87" s="17"/>
      <c r="M87" s="17"/>
      <c r="N87" s="16"/>
    </row>
    <row r="88" spans="1:14">
      <c r="A88" s="48" t="s">
        <v>22</v>
      </c>
      <c r="B88" s="50" t="s">
        <v>313</v>
      </c>
      <c r="C88" s="51">
        <v>6000</v>
      </c>
      <c r="D88" s="52"/>
      <c r="E88" s="53"/>
      <c r="F88" s="17"/>
      <c r="G88" s="17"/>
      <c r="H88" s="17"/>
      <c r="I88" s="17"/>
      <c r="J88" s="17"/>
      <c r="K88" s="17"/>
      <c r="L88" s="17"/>
      <c r="M88" s="17"/>
      <c r="N88" s="16"/>
    </row>
    <row r="89" spans="1:14">
      <c r="A89" s="48" t="s">
        <v>22</v>
      </c>
      <c r="B89" s="50" t="s">
        <v>314</v>
      </c>
      <c r="C89" s="51">
        <v>6000</v>
      </c>
      <c r="D89" s="52"/>
      <c r="E89" s="53"/>
      <c r="F89" s="17"/>
      <c r="G89" s="17"/>
      <c r="H89" s="17"/>
      <c r="I89" s="17"/>
      <c r="J89" s="17"/>
      <c r="K89" s="17"/>
      <c r="L89" s="17"/>
      <c r="M89" s="17"/>
      <c r="N89" s="16"/>
    </row>
    <row r="90" spans="1:14">
      <c r="A90" s="48" t="s">
        <v>22</v>
      </c>
      <c r="B90" s="50" t="s">
        <v>315</v>
      </c>
      <c r="C90" s="51">
        <v>6000</v>
      </c>
      <c r="D90" s="52"/>
      <c r="E90" s="53">
        <v>0</v>
      </c>
      <c r="F90" s="17"/>
      <c r="G90" s="17"/>
      <c r="H90" s="17"/>
      <c r="I90" s="17"/>
      <c r="J90" s="17"/>
      <c r="K90" s="17"/>
      <c r="L90" s="17"/>
      <c r="M90" s="17"/>
      <c r="N90" s="16"/>
    </row>
    <row r="91" spans="1:14">
      <c r="A91" s="48" t="s">
        <v>22</v>
      </c>
      <c r="B91" s="50" t="s">
        <v>316</v>
      </c>
      <c r="C91" s="51">
        <v>6000</v>
      </c>
      <c r="D91" s="52"/>
      <c r="E91" s="53">
        <v>4.1599998474120996</v>
      </c>
      <c r="F91" s="17"/>
      <c r="G91" s="17"/>
      <c r="H91" s="17"/>
      <c r="I91" s="17"/>
      <c r="J91" s="17"/>
      <c r="K91" s="17"/>
      <c r="L91" s="17"/>
      <c r="M91" s="17"/>
      <c r="N91" s="16"/>
    </row>
    <row r="92" spans="1:14">
      <c r="A92" s="48" t="s">
        <v>22</v>
      </c>
      <c r="B92" s="50" t="s">
        <v>317</v>
      </c>
      <c r="C92" s="51">
        <v>6000</v>
      </c>
      <c r="D92" s="52"/>
      <c r="E92" s="53"/>
      <c r="F92" s="17"/>
      <c r="G92" s="17"/>
      <c r="H92" s="17"/>
      <c r="I92" s="17"/>
      <c r="J92" s="17"/>
      <c r="K92" s="17"/>
      <c r="L92" s="17"/>
      <c r="M92" s="17"/>
      <c r="N92" s="16"/>
    </row>
    <row r="93" spans="1:14">
      <c r="A93" s="48" t="s">
        <v>22</v>
      </c>
      <c r="B93" s="50" t="s">
        <v>318</v>
      </c>
      <c r="C93" s="51">
        <v>6000</v>
      </c>
      <c r="D93" s="52"/>
      <c r="E93" s="53">
        <v>0</v>
      </c>
      <c r="F93" s="17"/>
      <c r="G93" s="17"/>
      <c r="H93" s="17"/>
      <c r="I93" s="17"/>
      <c r="J93" s="17"/>
      <c r="K93" s="17"/>
      <c r="L93" s="17"/>
      <c r="M93" s="17"/>
      <c r="N93" s="16"/>
    </row>
    <row r="94" spans="1:14">
      <c r="A94" s="48" t="s">
        <v>22</v>
      </c>
      <c r="B94" s="50" t="s">
        <v>319</v>
      </c>
      <c r="C94" s="51">
        <v>6000</v>
      </c>
      <c r="D94" s="52"/>
      <c r="E94" s="53">
        <v>-0.30000001192092801</v>
      </c>
      <c r="F94" s="17"/>
      <c r="G94" s="17"/>
      <c r="H94" s="17"/>
      <c r="I94" s="17"/>
      <c r="J94" s="17"/>
      <c r="K94" s="17"/>
      <c r="L94" s="17"/>
      <c r="M94" s="17"/>
      <c r="N94" s="16"/>
    </row>
    <row r="95" spans="1:14">
      <c r="A95" s="48" t="s">
        <v>22</v>
      </c>
      <c r="B95" s="50" t="s">
        <v>320</v>
      </c>
      <c r="C95" s="51">
        <v>6000</v>
      </c>
      <c r="D95" s="52"/>
      <c r="E95" s="53"/>
      <c r="F95" s="17"/>
      <c r="G95" s="17"/>
      <c r="H95" s="17"/>
      <c r="I95" s="17"/>
      <c r="J95" s="17"/>
      <c r="K95" s="17"/>
      <c r="L95" s="17"/>
      <c r="M95" s="17"/>
      <c r="N95" s="16"/>
    </row>
    <row r="96" spans="1:14">
      <c r="A96" s="48" t="s">
        <v>22</v>
      </c>
      <c r="B96" s="50" t="s">
        <v>321</v>
      </c>
      <c r="C96" s="51">
        <v>6000</v>
      </c>
      <c r="D96" s="52"/>
      <c r="E96" s="53"/>
    </row>
    <row r="97" spans="1:5">
      <c r="A97" s="48" t="s">
        <v>22</v>
      </c>
      <c r="B97" s="50" t="s">
        <v>322</v>
      </c>
      <c r="C97" s="51">
        <v>6000</v>
      </c>
      <c r="D97" s="52"/>
      <c r="E97" s="53"/>
    </row>
    <row r="98" spans="1:5">
      <c r="A98" s="48" t="s">
        <v>22</v>
      </c>
      <c r="B98" s="50" t="s">
        <v>323</v>
      </c>
      <c r="C98" s="51">
        <v>6000</v>
      </c>
      <c r="D98" s="52"/>
      <c r="E98" s="53">
        <v>-0.20000000298023199</v>
      </c>
    </row>
    <row r="99" spans="1:5">
      <c r="A99" s="48" t="s">
        <v>22</v>
      </c>
      <c r="B99" s="50" t="s">
        <v>324</v>
      </c>
      <c r="C99" s="51">
        <v>6000</v>
      </c>
      <c r="D99" s="52"/>
      <c r="E99" s="53"/>
    </row>
    <row r="100" spans="1:5">
      <c r="A100" s="48" t="s">
        <v>22</v>
      </c>
      <c r="B100" s="50" t="s">
        <v>325</v>
      </c>
      <c r="C100" s="51">
        <v>6000</v>
      </c>
      <c r="D100" s="52"/>
      <c r="E100" s="53"/>
    </row>
    <row r="101" spans="1:5">
      <c r="A101" s="48" t="s">
        <v>22</v>
      </c>
      <c r="B101" s="50" t="s">
        <v>326</v>
      </c>
      <c r="C101" s="51">
        <v>6000</v>
      </c>
      <c r="D101" s="52"/>
      <c r="E101" s="53">
        <v>0</v>
      </c>
    </row>
    <row r="102" spans="1:5">
      <c r="A102" s="48" t="s">
        <v>22</v>
      </c>
      <c r="B102" s="50" t="s">
        <v>78</v>
      </c>
      <c r="C102" s="51">
        <v>6000</v>
      </c>
      <c r="D102" s="52" t="s">
        <v>351</v>
      </c>
      <c r="E102" s="53">
        <v>9.1374998092651296</v>
      </c>
    </row>
    <row r="103" spans="1:5">
      <c r="A103" s="48" t="s">
        <v>22</v>
      </c>
      <c r="B103" s="50" t="s">
        <v>327</v>
      </c>
      <c r="C103" s="51">
        <v>6000</v>
      </c>
      <c r="D103" s="52" t="s">
        <v>75</v>
      </c>
      <c r="E103" s="53">
        <v>3.5766665140787701</v>
      </c>
    </row>
    <row r="104" spans="1:5">
      <c r="A104" s="48" t="s">
        <v>22</v>
      </c>
      <c r="B104" s="50" t="s">
        <v>328</v>
      </c>
      <c r="C104" s="51">
        <v>6000</v>
      </c>
      <c r="D104" s="52"/>
      <c r="E104" s="53">
        <v>9.7942853655133906</v>
      </c>
    </row>
    <row r="105" spans="1:5">
      <c r="A105" s="48" t="s">
        <v>22</v>
      </c>
      <c r="B105" s="50" t="s">
        <v>329</v>
      </c>
      <c r="C105" s="51">
        <v>6000</v>
      </c>
      <c r="D105" s="52"/>
      <c r="E105" s="53">
        <v>12.5783335367838</v>
      </c>
    </row>
    <row r="106" spans="1:5">
      <c r="A106" s="48" t="s">
        <v>22</v>
      </c>
      <c r="B106" s="50" t="s">
        <v>330</v>
      </c>
      <c r="C106" s="51">
        <v>6000</v>
      </c>
      <c r="D106" s="52"/>
      <c r="E106" s="53">
        <v>11.8519996643066</v>
      </c>
    </row>
    <row r="107" spans="1:5">
      <c r="A107" s="48" t="s">
        <v>22</v>
      </c>
      <c r="B107" s="50" t="s">
        <v>331</v>
      </c>
      <c r="C107" s="51">
        <v>6000</v>
      </c>
      <c r="D107" s="52"/>
      <c r="E107" s="53">
        <v>7.9127273559570304</v>
      </c>
    </row>
    <row r="108" spans="1:5">
      <c r="A108" s="48" t="s">
        <v>22</v>
      </c>
      <c r="B108" s="50" t="s">
        <v>332</v>
      </c>
      <c r="C108" s="51">
        <v>6000</v>
      </c>
      <c r="D108" s="52"/>
      <c r="E108" s="53"/>
    </row>
    <row r="109" spans="1:5">
      <c r="A109" s="48" t="s">
        <v>22</v>
      </c>
      <c r="B109" s="50" t="s">
        <v>333</v>
      </c>
      <c r="C109" s="51">
        <v>6000</v>
      </c>
      <c r="D109" s="52"/>
      <c r="E109" s="53">
        <v>2.2074999809265101</v>
      </c>
    </row>
    <row r="110" spans="1:5">
      <c r="A110" s="48" t="s">
        <v>22</v>
      </c>
      <c r="B110" s="50" t="s">
        <v>334</v>
      </c>
      <c r="C110" s="51">
        <v>6000</v>
      </c>
      <c r="D110" s="52"/>
      <c r="E110" s="53">
        <v>3.7249999046325599</v>
      </c>
    </row>
    <row r="111" spans="1:5">
      <c r="A111" s="48" t="s">
        <v>22</v>
      </c>
      <c r="B111" s="50" t="s">
        <v>335</v>
      </c>
      <c r="C111" s="51">
        <v>6000</v>
      </c>
      <c r="D111" s="52"/>
      <c r="E111" s="53"/>
    </row>
    <row r="112" spans="1:5">
      <c r="A112" s="48" t="s">
        <v>22</v>
      </c>
      <c r="B112" s="50" t="s">
        <v>336</v>
      </c>
      <c r="C112" s="51">
        <v>6000</v>
      </c>
      <c r="D112" s="52"/>
      <c r="E112" s="53">
        <v>7.9699997901916504</v>
      </c>
    </row>
    <row r="113" spans="1:5">
      <c r="A113" s="48" t="s">
        <v>22</v>
      </c>
      <c r="B113" s="50" t="s">
        <v>337</v>
      </c>
      <c r="C113" s="51">
        <v>6000</v>
      </c>
      <c r="D113" s="52"/>
      <c r="E113" s="53"/>
    </row>
    <row r="114" spans="1:5">
      <c r="A114" s="48" t="s">
        <v>22</v>
      </c>
      <c r="B114" s="50" t="s">
        <v>338</v>
      </c>
      <c r="C114" s="51">
        <v>6000</v>
      </c>
      <c r="D114" s="52"/>
      <c r="E114" s="53">
        <v>0.43714284896850503</v>
      </c>
    </row>
    <row r="115" spans="1:5">
      <c r="A115" s="48" t="s">
        <v>22</v>
      </c>
      <c r="B115" s="50" t="s">
        <v>339</v>
      </c>
      <c r="C115" s="51">
        <v>6000</v>
      </c>
      <c r="D115" s="52"/>
      <c r="E115" s="53">
        <v>0.53250002861022905</v>
      </c>
    </row>
    <row r="116" spans="1:5">
      <c r="A116" s="48" t="s">
        <v>22</v>
      </c>
      <c r="B116" s="50" t="s">
        <v>340</v>
      </c>
      <c r="C116" s="51">
        <v>6000</v>
      </c>
      <c r="D116" s="52"/>
      <c r="E116" s="53">
        <v>0</v>
      </c>
    </row>
    <row r="117" spans="1:5">
      <c r="A117" s="48" t="s">
        <v>22</v>
      </c>
      <c r="B117" s="50" t="s">
        <v>341</v>
      </c>
      <c r="C117" s="51">
        <v>6000</v>
      </c>
      <c r="D117" s="52"/>
      <c r="E117" s="53">
        <v>-3.3333333830038697E-2</v>
      </c>
    </row>
    <row r="118" spans="1:5">
      <c r="A118" s="48" t="s">
        <v>22</v>
      </c>
      <c r="B118" s="50" t="s">
        <v>342</v>
      </c>
      <c r="C118" s="51">
        <v>6000</v>
      </c>
      <c r="D118" s="52" t="s">
        <v>75</v>
      </c>
      <c r="E118" s="53"/>
    </row>
    <row r="119" spans="1:5">
      <c r="A119" s="48" t="s">
        <v>22</v>
      </c>
      <c r="B119" s="50" t="s">
        <v>343</v>
      </c>
      <c r="C119" s="51">
        <v>6000</v>
      </c>
      <c r="D119" s="52" t="s">
        <v>75</v>
      </c>
      <c r="E119" s="53">
        <v>7.6685714721679599</v>
      </c>
    </row>
    <row r="120" spans="1:5">
      <c r="A120" s="48" t="s">
        <v>22</v>
      </c>
      <c r="B120" s="50" t="s">
        <v>344</v>
      </c>
      <c r="C120" s="51">
        <v>6000</v>
      </c>
      <c r="D120" s="52"/>
      <c r="E120" s="53">
        <v>2.8900001049041699</v>
      </c>
    </row>
    <row r="121" spans="1:5">
      <c r="A121" s="48" t="s">
        <v>22</v>
      </c>
      <c r="B121" s="50" t="s">
        <v>345</v>
      </c>
      <c r="C121" s="51">
        <v>6000</v>
      </c>
      <c r="D121" s="52"/>
      <c r="E121" s="53">
        <v>2.9000000423855199</v>
      </c>
    </row>
    <row r="122" spans="1:5">
      <c r="A122" s="48" t="s">
        <v>22</v>
      </c>
      <c r="B122" s="50" t="s">
        <v>346</v>
      </c>
      <c r="C122" s="51">
        <v>6000</v>
      </c>
      <c r="D122" s="52" t="s">
        <v>75</v>
      </c>
      <c r="E122" s="53"/>
    </row>
    <row r="123" spans="1:5">
      <c r="A123" s="48" t="s">
        <v>22</v>
      </c>
      <c r="B123" s="50" t="s">
        <v>347</v>
      </c>
      <c r="C123" s="51">
        <v>6000</v>
      </c>
      <c r="D123" s="52"/>
      <c r="E123" s="53">
        <v>-0.185714278902326</v>
      </c>
    </row>
    <row r="124" spans="1:5">
      <c r="A124" s="48" t="s">
        <v>22</v>
      </c>
      <c r="B124" s="50" t="s">
        <v>121</v>
      </c>
      <c r="C124" s="51">
        <v>6000</v>
      </c>
      <c r="D124" s="52"/>
      <c r="E124" s="53">
        <v>5.9099998474120996</v>
      </c>
    </row>
    <row r="125" spans="1:5">
      <c r="A125" s="48" t="s">
        <v>22</v>
      </c>
      <c r="B125" s="50" t="s">
        <v>348</v>
      </c>
      <c r="C125" s="51">
        <v>6000</v>
      </c>
      <c r="D125" s="52"/>
      <c r="E125" s="53">
        <v>3.7899999618530198</v>
      </c>
    </row>
    <row r="126" spans="1:5">
      <c r="A126" s="48" t="s">
        <v>22</v>
      </c>
      <c r="B126" s="50" t="s">
        <v>349</v>
      </c>
      <c r="C126" s="51">
        <v>6000</v>
      </c>
      <c r="D126" s="52"/>
      <c r="E126" s="53"/>
    </row>
    <row r="127" spans="1:5">
      <c r="A127" s="48" t="s">
        <v>22</v>
      </c>
      <c r="B127" s="50" t="s">
        <v>350</v>
      </c>
      <c r="C127" s="51">
        <v>6000</v>
      </c>
      <c r="D127" s="52"/>
      <c r="E127" s="53"/>
    </row>
    <row r="128" spans="1:5">
      <c r="A128" s="48" t="s">
        <v>3</v>
      </c>
      <c r="B128" s="50" t="s">
        <v>29</v>
      </c>
      <c r="C128" s="51">
        <v>8800</v>
      </c>
      <c r="D128" s="52"/>
      <c r="E128" s="53">
        <v>12.782353120691599</v>
      </c>
    </row>
    <row r="129" spans="1:5">
      <c r="A129" s="48" t="s">
        <v>3</v>
      </c>
      <c r="B129" s="50" t="s">
        <v>123</v>
      </c>
      <c r="C129" s="51">
        <v>8600</v>
      </c>
      <c r="D129" s="52"/>
      <c r="E129" s="53">
        <v>14.689999389648399</v>
      </c>
    </row>
    <row r="130" spans="1:5">
      <c r="A130" s="48" t="s">
        <v>3</v>
      </c>
      <c r="B130" s="50" t="s">
        <v>19</v>
      </c>
      <c r="C130" s="51">
        <v>8000</v>
      </c>
      <c r="D130" s="52"/>
      <c r="E130" s="53">
        <v>14.522221883138</v>
      </c>
    </row>
    <row r="131" spans="1:5">
      <c r="A131" s="48" t="s">
        <v>3</v>
      </c>
      <c r="B131" s="50" t="s">
        <v>88</v>
      </c>
      <c r="C131" s="51">
        <v>7800</v>
      </c>
      <c r="D131" s="52"/>
      <c r="E131" s="53">
        <v>18.9615384615384</v>
      </c>
    </row>
    <row r="132" spans="1:5">
      <c r="A132" s="48" t="s">
        <v>3</v>
      </c>
      <c r="B132" s="50" t="s">
        <v>125</v>
      </c>
      <c r="C132" s="51">
        <v>7700</v>
      </c>
      <c r="D132" s="52"/>
      <c r="E132" s="53">
        <v>13.736842105263101</v>
      </c>
    </row>
    <row r="133" spans="1:5">
      <c r="A133" s="48" t="s">
        <v>3</v>
      </c>
      <c r="B133" s="50" t="s">
        <v>352</v>
      </c>
      <c r="C133" s="51">
        <v>7600</v>
      </c>
      <c r="D133" s="52"/>
      <c r="E133" s="53">
        <v>12.1736843711451</v>
      </c>
    </row>
    <row r="134" spans="1:5">
      <c r="A134" s="48" t="s">
        <v>3</v>
      </c>
      <c r="B134" s="50" t="s">
        <v>90</v>
      </c>
      <c r="C134" s="51">
        <v>7500</v>
      </c>
      <c r="D134" s="52"/>
      <c r="E134" s="53">
        <v>14.9058819939108</v>
      </c>
    </row>
    <row r="135" spans="1:5">
      <c r="A135" s="48" t="s">
        <v>3</v>
      </c>
      <c r="B135" s="50" t="s">
        <v>87</v>
      </c>
      <c r="C135" s="51">
        <v>7400</v>
      </c>
      <c r="D135" s="52"/>
      <c r="E135" s="53">
        <v>12.3266662597656</v>
      </c>
    </row>
    <row r="136" spans="1:5">
      <c r="A136" s="48" t="s">
        <v>3</v>
      </c>
      <c r="B136" s="50" t="s">
        <v>9</v>
      </c>
      <c r="C136" s="51">
        <v>7300</v>
      </c>
      <c r="D136" s="52"/>
      <c r="E136" s="53">
        <v>14.176470588235199</v>
      </c>
    </row>
    <row r="137" spans="1:5">
      <c r="A137" s="48" t="s">
        <v>3</v>
      </c>
      <c r="B137" s="50" t="s">
        <v>353</v>
      </c>
      <c r="C137" s="51">
        <v>7200</v>
      </c>
      <c r="D137" s="52"/>
      <c r="E137" s="53">
        <v>15.1416664123535</v>
      </c>
    </row>
    <row r="138" spans="1:5">
      <c r="A138" s="48" t="s">
        <v>3</v>
      </c>
      <c r="B138" s="50" t="s">
        <v>6</v>
      </c>
      <c r="C138" s="51">
        <v>7100</v>
      </c>
      <c r="D138" s="52"/>
      <c r="E138" s="53">
        <v>15.038461538461499</v>
      </c>
    </row>
    <row r="139" spans="1:5">
      <c r="A139" s="48" t="s">
        <v>3</v>
      </c>
      <c r="B139" s="50" t="s">
        <v>28</v>
      </c>
      <c r="C139" s="51">
        <v>7000</v>
      </c>
      <c r="D139" s="52"/>
      <c r="E139" s="53">
        <v>13.1666666666666</v>
      </c>
    </row>
    <row r="140" spans="1:5">
      <c r="A140" s="48" t="s">
        <v>3</v>
      </c>
      <c r="B140" s="50" t="s">
        <v>91</v>
      </c>
      <c r="C140" s="51">
        <v>6900</v>
      </c>
      <c r="D140" s="52"/>
      <c r="E140" s="53">
        <v>11.150000435965399</v>
      </c>
    </row>
    <row r="141" spans="1:5">
      <c r="A141" s="48" t="s">
        <v>3</v>
      </c>
      <c r="B141" s="50" t="s">
        <v>354</v>
      </c>
      <c r="C141" s="51">
        <v>6800</v>
      </c>
      <c r="D141" s="52"/>
      <c r="E141" s="53">
        <v>12.815385084885801</v>
      </c>
    </row>
    <row r="142" spans="1:5">
      <c r="A142" s="48" t="s">
        <v>3</v>
      </c>
      <c r="B142" s="50" t="s">
        <v>355</v>
      </c>
      <c r="C142" s="51">
        <v>6700</v>
      </c>
      <c r="D142" s="52"/>
      <c r="E142" s="53">
        <v>10.3999998304578</v>
      </c>
    </row>
    <row r="143" spans="1:5">
      <c r="A143" s="48" t="s">
        <v>3</v>
      </c>
      <c r="B143" s="50" t="s">
        <v>4</v>
      </c>
      <c r="C143" s="51">
        <v>6600</v>
      </c>
      <c r="D143" s="52"/>
      <c r="E143" s="53">
        <v>16.1687507629394</v>
      </c>
    </row>
    <row r="144" spans="1:5">
      <c r="A144" s="48" t="s">
        <v>3</v>
      </c>
      <c r="B144" s="50" t="s">
        <v>356</v>
      </c>
      <c r="C144" s="51">
        <v>6600</v>
      </c>
      <c r="D144" s="52" t="s">
        <v>476</v>
      </c>
      <c r="E144" s="53">
        <v>10.550000190734799</v>
      </c>
    </row>
    <row r="145" spans="1:5">
      <c r="A145" s="48" t="s">
        <v>3</v>
      </c>
      <c r="B145" s="50" t="s">
        <v>30</v>
      </c>
      <c r="C145" s="51">
        <v>6500</v>
      </c>
      <c r="D145" s="52"/>
      <c r="E145" s="53">
        <v>11.0823525821461</v>
      </c>
    </row>
    <row r="146" spans="1:5">
      <c r="A146" s="48" t="s">
        <v>3</v>
      </c>
      <c r="B146" s="50" t="s">
        <v>135</v>
      </c>
      <c r="C146" s="51">
        <v>6400</v>
      </c>
      <c r="D146" s="52"/>
      <c r="E146" s="53">
        <v>4.7428572518484904</v>
      </c>
    </row>
    <row r="147" spans="1:5">
      <c r="A147" s="48" t="s">
        <v>3</v>
      </c>
      <c r="B147" s="50" t="s">
        <v>357</v>
      </c>
      <c r="C147" s="51">
        <v>6300</v>
      </c>
      <c r="D147" s="52"/>
      <c r="E147" s="53">
        <v>11.838889227973</v>
      </c>
    </row>
    <row r="148" spans="1:5">
      <c r="A148" s="48" t="s">
        <v>3</v>
      </c>
      <c r="B148" s="50" t="s">
        <v>152</v>
      </c>
      <c r="C148" s="51">
        <v>6300</v>
      </c>
      <c r="D148" s="52"/>
      <c r="E148" s="53">
        <v>9.2810524388363493</v>
      </c>
    </row>
    <row r="149" spans="1:5">
      <c r="A149" s="48" t="s">
        <v>3</v>
      </c>
      <c r="B149" s="50" t="s">
        <v>124</v>
      </c>
      <c r="C149" s="51">
        <v>6200</v>
      </c>
      <c r="D149" s="52"/>
      <c r="E149" s="53">
        <v>10.799999660915701</v>
      </c>
    </row>
    <row r="150" spans="1:5">
      <c r="A150" s="48" t="s">
        <v>3</v>
      </c>
      <c r="B150" s="50" t="s">
        <v>126</v>
      </c>
      <c r="C150" s="51">
        <v>6200</v>
      </c>
      <c r="D150" s="52"/>
      <c r="E150" s="53">
        <v>10.5583330790201</v>
      </c>
    </row>
    <row r="151" spans="1:5">
      <c r="A151" s="48" t="s">
        <v>3</v>
      </c>
      <c r="B151" s="50" t="s">
        <v>358</v>
      </c>
      <c r="C151" s="51">
        <v>6100</v>
      </c>
      <c r="D151" s="52"/>
      <c r="E151" s="53">
        <v>9.7312498092651296</v>
      </c>
    </row>
    <row r="152" spans="1:5">
      <c r="A152" s="48" t="s">
        <v>3</v>
      </c>
      <c r="B152" s="50" t="s">
        <v>359</v>
      </c>
      <c r="C152" s="51">
        <v>6100</v>
      </c>
      <c r="D152" s="52"/>
      <c r="E152" s="53">
        <v>14.4615384615384</v>
      </c>
    </row>
    <row r="153" spans="1:5">
      <c r="A153" s="48" t="s">
        <v>3</v>
      </c>
      <c r="B153" s="50" t="s">
        <v>360</v>
      </c>
      <c r="C153" s="51">
        <v>6000</v>
      </c>
      <c r="D153" s="52"/>
      <c r="E153" s="53">
        <v>9.9736842105263097</v>
      </c>
    </row>
    <row r="154" spans="1:5">
      <c r="A154" s="48" t="s">
        <v>3</v>
      </c>
      <c r="B154" s="50" t="s">
        <v>361</v>
      </c>
      <c r="C154" s="51">
        <v>5900</v>
      </c>
      <c r="D154" s="52"/>
      <c r="E154" s="53">
        <v>11.421428135463101</v>
      </c>
    </row>
    <row r="155" spans="1:5">
      <c r="A155" s="48" t="s">
        <v>3</v>
      </c>
      <c r="B155" s="50" t="s">
        <v>122</v>
      </c>
      <c r="C155" s="51">
        <v>5900</v>
      </c>
      <c r="D155" s="52"/>
      <c r="E155" s="53">
        <v>12.0066670735677</v>
      </c>
    </row>
    <row r="156" spans="1:5">
      <c r="A156" s="48" t="s">
        <v>3</v>
      </c>
      <c r="B156" s="50" t="s">
        <v>362</v>
      </c>
      <c r="C156" s="51">
        <v>5900</v>
      </c>
      <c r="D156" s="52"/>
      <c r="E156" s="53">
        <v>8.5416666666666607</v>
      </c>
    </row>
    <row r="157" spans="1:5">
      <c r="A157" s="48" t="s">
        <v>3</v>
      </c>
      <c r="B157" s="50" t="s">
        <v>139</v>
      </c>
      <c r="C157" s="51">
        <v>5800</v>
      </c>
      <c r="D157" s="52"/>
      <c r="E157" s="53">
        <v>8.7647058823529402</v>
      </c>
    </row>
    <row r="158" spans="1:5">
      <c r="A158" s="48" t="s">
        <v>3</v>
      </c>
      <c r="B158" s="50" t="s">
        <v>363</v>
      </c>
      <c r="C158" s="51">
        <v>5700</v>
      </c>
      <c r="D158" s="52" t="s">
        <v>75</v>
      </c>
      <c r="E158" s="53">
        <v>9.5722223917643205</v>
      </c>
    </row>
    <row r="159" spans="1:5">
      <c r="A159" s="48" t="s">
        <v>3</v>
      </c>
      <c r="B159" s="50" t="s">
        <v>136</v>
      </c>
      <c r="C159" s="51">
        <v>5600</v>
      </c>
      <c r="D159" s="52"/>
      <c r="E159" s="53">
        <v>9.5882352941176396</v>
      </c>
    </row>
    <row r="160" spans="1:5">
      <c r="A160" s="48" t="s">
        <v>3</v>
      </c>
      <c r="B160" s="50" t="s">
        <v>133</v>
      </c>
      <c r="C160" s="51">
        <v>5500</v>
      </c>
      <c r="D160" s="52"/>
      <c r="E160" s="53">
        <v>7.56470624138327</v>
      </c>
    </row>
    <row r="161" spans="1:5">
      <c r="A161" s="48" t="s">
        <v>3</v>
      </c>
      <c r="B161" s="50" t="s">
        <v>364</v>
      </c>
      <c r="C161" s="51">
        <v>5500</v>
      </c>
      <c r="D161" s="52" t="s">
        <v>351</v>
      </c>
      <c r="E161" s="53"/>
    </row>
    <row r="162" spans="1:5">
      <c r="A162" s="48" t="s">
        <v>3</v>
      </c>
      <c r="B162" s="50" t="s">
        <v>365</v>
      </c>
      <c r="C162" s="51">
        <v>5500</v>
      </c>
      <c r="D162" s="52"/>
      <c r="E162" s="53">
        <v>10.699999809265099</v>
      </c>
    </row>
    <row r="163" spans="1:5">
      <c r="A163" s="48" t="s">
        <v>3</v>
      </c>
      <c r="B163" s="50" t="s">
        <v>366</v>
      </c>
      <c r="C163" s="51">
        <v>5400</v>
      </c>
      <c r="D163" s="52"/>
      <c r="E163" s="53"/>
    </row>
    <row r="164" spans="1:5">
      <c r="A164" s="48" t="s">
        <v>3</v>
      </c>
      <c r="B164" s="50" t="s">
        <v>367</v>
      </c>
      <c r="C164" s="51">
        <v>5400</v>
      </c>
      <c r="D164" s="52"/>
      <c r="E164" s="53">
        <v>7.5176472383386903</v>
      </c>
    </row>
    <row r="165" spans="1:5">
      <c r="A165" s="48" t="s">
        <v>3</v>
      </c>
      <c r="B165" s="50" t="s">
        <v>162</v>
      </c>
      <c r="C165" s="51">
        <v>5400</v>
      </c>
      <c r="D165" s="52"/>
      <c r="E165" s="53">
        <v>4.6500000000000004</v>
      </c>
    </row>
    <row r="166" spans="1:5">
      <c r="A166" s="48" t="s">
        <v>3</v>
      </c>
      <c r="B166" s="50" t="s">
        <v>129</v>
      </c>
      <c r="C166" s="51">
        <v>5300</v>
      </c>
      <c r="D166" s="52" t="s">
        <v>75</v>
      </c>
      <c r="E166" s="53">
        <v>4.6312499046325604</v>
      </c>
    </row>
    <row r="167" spans="1:5">
      <c r="A167" s="48" t="s">
        <v>3</v>
      </c>
      <c r="B167" s="50" t="s">
        <v>142</v>
      </c>
      <c r="C167" s="51">
        <v>5300</v>
      </c>
      <c r="D167" s="52"/>
      <c r="E167" s="53">
        <v>6.4625000953674299</v>
      </c>
    </row>
    <row r="168" spans="1:5">
      <c r="A168" s="48" t="s">
        <v>3</v>
      </c>
      <c r="B168" s="50" t="s">
        <v>149</v>
      </c>
      <c r="C168" s="51">
        <v>5300</v>
      </c>
      <c r="D168" s="52"/>
      <c r="E168" s="53">
        <v>5.5999999046325604</v>
      </c>
    </row>
    <row r="169" spans="1:5">
      <c r="A169" s="48" t="s">
        <v>3</v>
      </c>
      <c r="B169" s="50" t="s">
        <v>127</v>
      </c>
      <c r="C169" s="51">
        <v>5200</v>
      </c>
      <c r="D169" s="52"/>
      <c r="E169" s="53">
        <v>9.5222218831380196</v>
      </c>
    </row>
    <row r="170" spans="1:5">
      <c r="A170" s="48" t="s">
        <v>3</v>
      </c>
      <c r="B170" s="50" t="s">
        <v>368</v>
      </c>
      <c r="C170" s="51">
        <v>5200</v>
      </c>
      <c r="D170" s="52"/>
      <c r="E170" s="53">
        <v>5.2058823529411704</v>
      </c>
    </row>
    <row r="171" spans="1:5">
      <c r="A171" s="48" t="s">
        <v>3</v>
      </c>
      <c r="B171" s="50" t="s">
        <v>110</v>
      </c>
      <c r="C171" s="51">
        <v>5200</v>
      </c>
      <c r="D171" s="52"/>
      <c r="E171" s="53">
        <v>7.3874998092651296</v>
      </c>
    </row>
    <row r="172" spans="1:5">
      <c r="A172" s="48" t="s">
        <v>3</v>
      </c>
      <c r="B172" s="50" t="s">
        <v>128</v>
      </c>
      <c r="C172" s="51">
        <v>5100</v>
      </c>
      <c r="D172" s="52"/>
      <c r="E172" s="53">
        <v>4.2333331637912304</v>
      </c>
    </row>
    <row r="173" spans="1:5">
      <c r="A173" s="48" t="s">
        <v>3</v>
      </c>
      <c r="B173" s="50" t="s">
        <v>161</v>
      </c>
      <c r="C173" s="51">
        <v>5100</v>
      </c>
      <c r="D173" s="52"/>
      <c r="E173" s="53">
        <v>5.65625</v>
      </c>
    </row>
    <row r="174" spans="1:5">
      <c r="A174" s="48" t="s">
        <v>3</v>
      </c>
      <c r="B174" s="50" t="s">
        <v>369</v>
      </c>
      <c r="C174" s="51">
        <v>5000</v>
      </c>
      <c r="D174" s="52"/>
      <c r="E174" s="53"/>
    </row>
    <row r="175" spans="1:5">
      <c r="A175" s="48" t="s">
        <v>3</v>
      </c>
      <c r="B175" s="50" t="s">
        <v>370</v>
      </c>
      <c r="C175" s="51">
        <v>5000</v>
      </c>
      <c r="D175" s="52"/>
      <c r="E175" s="53">
        <v>3.9846153259277299</v>
      </c>
    </row>
    <row r="176" spans="1:5">
      <c r="A176" s="48" t="s">
        <v>3</v>
      </c>
      <c r="B176" s="50" t="s">
        <v>371</v>
      </c>
      <c r="C176" s="51">
        <v>5000</v>
      </c>
      <c r="D176" s="52"/>
      <c r="E176" s="53"/>
    </row>
    <row r="177" spans="1:5">
      <c r="A177" s="48" t="s">
        <v>3</v>
      </c>
      <c r="B177" s="50" t="s">
        <v>131</v>
      </c>
      <c r="C177" s="51">
        <v>5000</v>
      </c>
      <c r="D177" s="52" t="s">
        <v>75</v>
      </c>
      <c r="E177" s="53">
        <v>5.67333323160807</v>
      </c>
    </row>
    <row r="178" spans="1:5">
      <c r="A178" s="48" t="s">
        <v>3</v>
      </c>
      <c r="B178" s="50" t="s">
        <v>372</v>
      </c>
      <c r="C178" s="51">
        <v>5000</v>
      </c>
      <c r="D178" s="52"/>
      <c r="E178" s="53"/>
    </row>
    <row r="179" spans="1:5">
      <c r="A179" s="48" t="s">
        <v>3</v>
      </c>
      <c r="B179" s="50" t="s">
        <v>373</v>
      </c>
      <c r="C179" s="51">
        <v>5000</v>
      </c>
      <c r="D179" s="52"/>
      <c r="E179" s="53">
        <v>5.3235294117647003</v>
      </c>
    </row>
    <row r="180" spans="1:5">
      <c r="A180" s="48" t="s">
        <v>3</v>
      </c>
      <c r="B180" s="50" t="s">
        <v>141</v>
      </c>
      <c r="C180" s="51">
        <v>4900</v>
      </c>
      <c r="D180" s="52"/>
      <c r="E180" s="53">
        <v>1.96875</v>
      </c>
    </row>
    <row r="181" spans="1:5">
      <c r="A181" s="48" t="s">
        <v>3</v>
      </c>
      <c r="B181" s="50" t="s">
        <v>374</v>
      </c>
      <c r="C181" s="51">
        <v>4900</v>
      </c>
      <c r="D181" s="52"/>
      <c r="E181" s="53"/>
    </row>
    <row r="182" spans="1:5">
      <c r="A182" s="48" t="s">
        <v>3</v>
      </c>
      <c r="B182" s="50" t="s">
        <v>375</v>
      </c>
      <c r="C182" s="51">
        <v>4900</v>
      </c>
      <c r="D182" s="52"/>
      <c r="E182" s="53"/>
    </row>
    <row r="183" spans="1:5">
      <c r="A183" s="48" t="s">
        <v>3</v>
      </c>
      <c r="B183" s="50" t="s">
        <v>153</v>
      </c>
      <c r="C183" s="51">
        <v>4900</v>
      </c>
      <c r="D183" s="52"/>
      <c r="E183" s="53">
        <v>1.7153845566969601</v>
      </c>
    </row>
    <row r="184" spans="1:5">
      <c r="A184" s="48" t="s">
        <v>3</v>
      </c>
      <c r="B184" s="50" t="s">
        <v>146</v>
      </c>
      <c r="C184" s="51">
        <v>4900</v>
      </c>
      <c r="D184" s="52"/>
      <c r="E184" s="53">
        <v>2.7666667302449501</v>
      </c>
    </row>
    <row r="185" spans="1:5">
      <c r="A185" s="48" t="s">
        <v>3</v>
      </c>
      <c r="B185" s="50" t="s">
        <v>167</v>
      </c>
      <c r="C185" s="51">
        <v>4800</v>
      </c>
      <c r="D185" s="52"/>
      <c r="E185" s="53">
        <v>1.86249995231628</v>
      </c>
    </row>
    <row r="186" spans="1:5">
      <c r="A186" s="48" t="s">
        <v>3</v>
      </c>
      <c r="B186" s="50" t="s">
        <v>376</v>
      </c>
      <c r="C186" s="51">
        <v>4800</v>
      </c>
      <c r="D186" s="52"/>
      <c r="E186" s="53">
        <v>3.5400001525878899</v>
      </c>
    </row>
    <row r="187" spans="1:5">
      <c r="A187" s="48" t="s">
        <v>3</v>
      </c>
      <c r="B187" s="50" t="s">
        <v>169</v>
      </c>
      <c r="C187" s="51">
        <v>4800</v>
      </c>
      <c r="D187" s="52"/>
      <c r="E187" s="53">
        <v>1.8799999237060501</v>
      </c>
    </row>
    <row r="188" spans="1:5">
      <c r="A188" s="48" t="s">
        <v>3</v>
      </c>
      <c r="B188" s="50" t="s">
        <v>377</v>
      </c>
      <c r="C188" s="51">
        <v>4800</v>
      </c>
      <c r="D188" s="52" t="s">
        <v>351</v>
      </c>
      <c r="E188" s="53">
        <v>2.6600001017252599</v>
      </c>
    </row>
    <row r="189" spans="1:5">
      <c r="A189" s="48" t="s">
        <v>3</v>
      </c>
      <c r="B189" s="50" t="s">
        <v>150</v>
      </c>
      <c r="C189" s="51">
        <v>4800</v>
      </c>
      <c r="D189" s="52"/>
      <c r="E189" s="53">
        <v>3.11999994913737</v>
      </c>
    </row>
    <row r="190" spans="1:5">
      <c r="A190" s="48" t="s">
        <v>3</v>
      </c>
      <c r="B190" s="50" t="s">
        <v>378</v>
      </c>
      <c r="C190" s="51">
        <v>4800</v>
      </c>
      <c r="D190" s="52"/>
      <c r="E190" s="53"/>
    </row>
    <row r="191" spans="1:5">
      <c r="A191" s="48" t="s">
        <v>3</v>
      </c>
      <c r="B191" s="50" t="s">
        <v>151</v>
      </c>
      <c r="C191" s="51">
        <v>4800</v>
      </c>
      <c r="D191" s="52" t="s">
        <v>351</v>
      </c>
      <c r="E191" s="53">
        <v>4.7874999046325604</v>
      </c>
    </row>
    <row r="192" spans="1:5">
      <c r="A192" s="48" t="s">
        <v>3</v>
      </c>
      <c r="B192" s="50" t="s">
        <v>155</v>
      </c>
      <c r="C192" s="51">
        <v>4700</v>
      </c>
      <c r="D192" s="52"/>
      <c r="E192" s="53">
        <v>2.7000001271565699</v>
      </c>
    </row>
    <row r="193" spans="1:5">
      <c r="A193" s="48" t="s">
        <v>3</v>
      </c>
      <c r="B193" s="50" t="s">
        <v>379</v>
      </c>
      <c r="C193" s="51">
        <v>4700</v>
      </c>
      <c r="D193" s="52"/>
      <c r="E193" s="53">
        <v>1.6428571428571399</v>
      </c>
    </row>
    <row r="194" spans="1:5">
      <c r="A194" s="48" t="s">
        <v>3</v>
      </c>
      <c r="B194" s="50" t="s">
        <v>380</v>
      </c>
      <c r="C194" s="51">
        <v>4700</v>
      </c>
      <c r="D194" s="52" t="s">
        <v>351</v>
      </c>
      <c r="E194" s="53">
        <v>3.80555555555555</v>
      </c>
    </row>
    <row r="195" spans="1:5">
      <c r="A195" s="48" t="s">
        <v>3</v>
      </c>
      <c r="B195" s="50" t="s">
        <v>157</v>
      </c>
      <c r="C195" s="51">
        <v>4700</v>
      </c>
      <c r="D195" s="52" t="s">
        <v>477</v>
      </c>
      <c r="E195" s="53">
        <v>0.98571429933820398</v>
      </c>
    </row>
    <row r="196" spans="1:5">
      <c r="A196" s="48" t="s">
        <v>3</v>
      </c>
      <c r="B196" s="50" t="s">
        <v>381</v>
      </c>
      <c r="C196" s="51">
        <v>4700</v>
      </c>
      <c r="D196" s="52"/>
      <c r="E196" s="53"/>
    </row>
    <row r="197" spans="1:5">
      <c r="A197" s="48" t="s">
        <v>3</v>
      </c>
      <c r="B197" s="50" t="s">
        <v>156</v>
      </c>
      <c r="C197" s="51">
        <v>4600</v>
      </c>
      <c r="D197" s="52"/>
      <c r="E197" s="53">
        <v>0.71249997615814198</v>
      </c>
    </row>
    <row r="198" spans="1:5">
      <c r="A198" s="48" t="s">
        <v>3</v>
      </c>
      <c r="B198" s="50" t="s">
        <v>382</v>
      </c>
      <c r="C198" s="51">
        <v>4600</v>
      </c>
      <c r="D198" s="52"/>
      <c r="E198" s="53">
        <v>3.6900001525878898</v>
      </c>
    </row>
    <row r="199" spans="1:5">
      <c r="A199" s="48" t="s">
        <v>3</v>
      </c>
      <c r="B199" s="50" t="s">
        <v>383</v>
      </c>
      <c r="C199" s="51">
        <v>4500</v>
      </c>
      <c r="D199" s="52"/>
      <c r="E199" s="53">
        <v>1.56666670905219</v>
      </c>
    </row>
    <row r="200" spans="1:5">
      <c r="A200" s="48" t="s">
        <v>3</v>
      </c>
      <c r="B200" s="50" t="s">
        <v>384</v>
      </c>
      <c r="C200" s="51">
        <v>4500</v>
      </c>
      <c r="D200" s="52"/>
      <c r="E200" s="53">
        <v>5.0777778625488201</v>
      </c>
    </row>
    <row r="201" spans="1:5">
      <c r="A201" s="48" t="s">
        <v>3</v>
      </c>
      <c r="B201" s="50" t="s">
        <v>385</v>
      </c>
      <c r="C201" s="51">
        <v>4500</v>
      </c>
      <c r="D201" s="52"/>
      <c r="E201" s="53">
        <v>1.6</v>
      </c>
    </row>
    <row r="202" spans="1:5">
      <c r="A202" s="48" t="s">
        <v>3</v>
      </c>
      <c r="B202" s="50" t="s">
        <v>386</v>
      </c>
      <c r="C202" s="51">
        <v>4500</v>
      </c>
      <c r="D202" s="52"/>
      <c r="E202" s="53">
        <v>0</v>
      </c>
    </row>
    <row r="203" spans="1:5">
      <c r="A203" s="48" t="s">
        <v>3</v>
      </c>
      <c r="B203" s="50" t="s">
        <v>387</v>
      </c>
      <c r="C203" s="51">
        <v>4400</v>
      </c>
      <c r="D203" s="52"/>
      <c r="E203" s="53">
        <v>0.88000001907348602</v>
      </c>
    </row>
    <row r="204" spans="1:5">
      <c r="A204" s="48" t="s">
        <v>3</v>
      </c>
      <c r="B204" s="50" t="s">
        <v>164</v>
      </c>
      <c r="C204" s="51">
        <v>4400</v>
      </c>
      <c r="D204" s="52"/>
      <c r="E204" s="53">
        <v>1.6727272380481999</v>
      </c>
    </row>
    <row r="205" spans="1:5">
      <c r="A205" s="48" t="s">
        <v>3</v>
      </c>
      <c r="B205" s="50" t="s">
        <v>388</v>
      </c>
      <c r="C205" s="51">
        <v>4400</v>
      </c>
      <c r="D205" s="52"/>
      <c r="E205" s="53">
        <v>4.9499998092651296</v>
      </c>
    </row>
    <row r="206" spans="1:5">
      <c r="A206" s="48" t="s">
        <v>3</v>
      </c>
      <c r="B206" s="50" t="s">
        <v>130</v>
      </c>
      <c r="C206" s="51">
        <v>4400</v>
      </c>
      <c r="D206" s="52"/>
      <c r="E206" s="53">
        <v>5.2333332697550397</v>
      </c>
    </row>
    <row r="207" spans="1:5">
      <c r="A207" s="48" t="s">
        <v>3</v>
      </c>
      <c r="B207" s="50" t="s">
        <v>389</v>
      </c>
      <c r="C207" s="51">
        <v>4400</v>
      </c>
      <c r="D207" s="52"/>
      <c r="E207" s="53">
        <v>1</v>
      </c>
    </row>
    <row r="208" spans="1:5">
      <c r="A208" s="48" t="s">
        <v>3</v>
      </c>
      <c r="B208" s="50" t="s">
        <v>390</v>
      </c>
      <c r="C208" s="51">
        <v>4400</v>
      </c>
      <c r="D208" s="52"/>
      <c r="E208" s="53">
        <v>0.26666667064030902</v>
      </c>
    </row>
    <row r="209" spans="1:5">
      <c r="A209" s="48" t="s">
        <v>3</v>
      </c>
      <c r="B209" s="50" t="s">
        <v>391</v>
      </c>
      <c r="C209" s="51">
        <v>4400</v>
      </c>
      <c r="D209" s="52"/>
      <c r="E209" s="53">
        <v>3.4000001387162602</v>
      </c>
    </row>
    <row r="210" spans="1:5">
      <c r="A210" s="48" t="s">
        <v>3</v>
      </c>
      <c r="B210" s="50" t="s">
        <v>392</v>
      </c>
      <c r="C210" s="51">
        <v>4400</v>
      </c>
      <c r="D210" s="52" t="s">
        <v>351</v>
      </c>
      <c r="E210" s="53"/>
    </row>
    <row r="211" spans="1:5">
      <c r="A211" s="48" t="s">
        <v>3</v>
      </c>
      <c r="B211" s="50" t="s">
        <v>393</v>
      </c>
      <c r="C211" s="51">
        <v>4300</v>
      </c>
      <c r="D211" s="52"/>
      <c r="E211" s="53"/>
    </row>
    <row r="212" spans="1:5">
      <c r="A212" s="48" t="s">
        <v>3</v>
      </c>
      <c r="B212" s="50" t="s">
        <v>394</v>
      </c>
      <c r="C212" s="51">
        <v>4300</v>
      </c>
      <c r="D212" s="52"/>
      <c r="E212" s="53"/>
    </row>
    <row r="213" spans="1:5">
      <c r="A213" s="48" t="s">
        <v>3</v>
      </c>
      <c r="B213" s="50" t="s">
        <v>147</v>
      </c>
      <c r="C213" s="51">
        <v>4300</v>
      </c>
      <c r="D213" s="52"/>
      <c r="E213" s="53">
        <v>2.8785713740757499</v>
      </c>
    </row>
    <row r="214" spans="1:5">
      <c r="A214" s="48" t="s">
        <v>3</v>
      </c>
      <c r="B214" s="50" t="s">
        <v>395</v>
      </c>
      <c r="C214" s="51">
        <v>4300</v>
      </c>
      <c r="D214" s="52" t="s">
        <v>351</v>
      </c>
      <c r="E214" s="53">
        <v>4.4166666666666599</v>
      </c>
    </row>
    <row r="215" spans="1:5">
      <c r="A215" s="48" t="s">
        <v>3</v>
      </c>
      <c r="B215" s="50" t="s">
        <v>396</v>
      </c>
      <c r="C215" s="51">
        <v>4300</v>
      </c>
      <c r="D215" s="52"/>
      <c r="E215" s="53"/>
    </row>
    <row r="216" spans="1:5">
      <c r="A216" s="48" t="s">
        <v>3</v>
      </c>
      <c r="B216" s="50" t="s">
        <v>397</v>
      </c>
      <c r="C216" s="51">
        <v>4300</v>
      </c>
      <c r="D216" s="52" t="s">
        <v>75</v>
      </c>
      <c r="E216" s="53"/>
    </row>
    <row r="217" spans="1:5">
      <c r="A217" s="48" t="s">
        <v>3</v>
      </c>
      <c r="B217" s="50" t="s">
        <v>398</v>
      </c>
      <c r="C217" s="51">
        <v>4300</v>
      </c>
      <c r="D217" s="52" t="s">
        <v>75</v>
      </c>
      <c r="E217" s="53">
        <v>0.14444443914625299</v>
      </c>
    </row>
    <row r="218" spans="1:5">
      <c r="A218" s="48" t="s">
        <v>3</v>
      </c>
      <c r="B218" s="50" t="s">
        <v>399</v>
      </c>
      <c r="C218" s="51">
        <v>4300</v>
      </c>
      <c r="D218" s="52"/>
      <c r="E218" s="53"/>
    </row>
    <row r="219" spans="1:5">
      <c r="A219" s="48" t="s">
        <v>3</v>
      </c>
      <c r="B219" s="50" t="s">
        <v>145</v>
      </c>
      <c r="C219" s="51">
        <v>4300</v>
      </c>
      <c r="D219" s="52"/>
      <c r="E219" s="53">
        <v>0.83999996185302706</v>
      </c>
    </row>
    <row r="220" spans="1:5">
      <c r="A220" s="48" t="s">
        <v>3</v>
      </c>
      <c r="B220" s="50" t="s">
        <v>400</v>
      </c>
      <c r="C220" s="51">
        <v>4200</v>
      </c>
      <c r="D220" s="52"/>
      <c r="E220" s="53">
        <v>5.2333332697550397</v>
      </c>
    </row>
    <row r="221" spans="1:5">
      <c r="A221" s="48" t="s">
        <v>3</v>
      </c>
      <c r="B221" s="50" t="s">
        <v>172</v>
      </c>
      <c r="C221" s="51">
        <v>4200</v>
      </c>
      <c r="D221" s="52"/>
      <c r="E221" s="53">
        <v>0</v>
      </c>
    </row>
    <row r="222" spans="1:5">
      <c r="A222" s="48" t="s">
        <v>3</v>
      </c>
      <c r="B222" s="50" t="s">
        <v>401</v>
      </c>
      <c r="C222" s="51">
        <v>4200</v>
      </c>
      <c r="D222" s="52"/>
      <c r="E222" s="53">
        <v>1.20000004768371</v>
      </c>
    </row>
    <row r="223" spans="1:5">
      <c r="A223" s="48" t="s">
        <v>3</v>
      </c>
      <c r="B223" s="50" t="s">
        <v>132</v>
      </c>
      <c r="C223" s="51">
        <v>4200</v>
      </c>
      <c r="D223" s="52"/>
      <c r="E223" s="53">
        <v>5.8857143947056301</v>
      </c>
    </row>
    <row r="224" spans="1:5">
      <c r="A224" s="48" t="s">
        <v>3</v>
      </c>
      <c r="B224" s="50" t="s">
        <v>402</v>
      </c>
      <c r="C224" s="51">
        <v>4200</v>
      </c>
      <c r="D224" s="52"/>
      <c r="E224" s="53">
        <v>1.7083333333333299</v>
      </c>
    </row>
    <row r="225" spans="1:7">
      <c r="A225" s="48" t="s">
        <v>3</v>
      </c>
      <c r="B225" s="50" t="s">
        <v>403</v>
      </c>
      <c r="C225" s="51">
        <v>4200</v>
      </c>
      <c r="D225" s="52"/>
      <c r="E225" s="53"/>
    </row>
    <row r="226" spans="1:7">
      <c r="A226" s="48" t="s">
        <v>3</v>
      </c>
      <c r="B226" s="50" t="s">
        <v>168</v>
      </c>
      <c r="C226" s="51">
        <v>4200</v>
      </c>
      <c r="D226" s="52" t="s">
        <v>351</v>
      </c>
      <c r="E226" s="53">
        <v>0.40000000596046398</v>
      </c>
    </row>
    <row r="227" spans="1:7">
      <c r="A227" s="48" t="s">
        <v>3</v>
      </c>
      <c r="B227" s="50" t="s">
        <v>404</v>
      </c>
      <c r="C227" s="51">
        <v>4200</v>
      </c>
      <c r="D227" s="52"/>
      <c r="E227" s="53">
        <v>0</v>
      </c>
    </row>
    <row r="228" spans="1:7">
      <c r="A228" s="48" t="s">
        <v>3</v>
      </c>
      <c r="B228" s="50" t="s">
        <v>405</v>
      </c>
      <c r="C228" s="51">
        <v>4200</v>
      </c>
      <c r="D228" s="52"/>
      <c r="E228" s="53"/>
    </row>
    <row r="229" spans="1:7">
      <c r="A229" s="48" t="s">
        <v>3</v>
      </c>
      <c r="B229" s="50" t="s">
        <v>406</v>
      </c>
      <c r="C229" s="51">
        <v>4100</v>
      </c>
      <c r="D229" s="52"/>
      <c r="E229" s="53">
        <v>1.13333336512247</v>
      </c>
    </row>
    <row r="230" spans="1:7">
      <c r="A230" s="48" t="s">
        <v>3</v>
      </c>
      <c r="B230" s="50" t="s">
        <v>407</v>
      </c>
      <c r="C230" s="51">
        <v>4100</v>
      </c>
      <c r="D230" s="52"/>
      <c r="E230" s="53">
        <v>2.70000004768371</v>
      </c>
    </row>
    <row r="231" spans="1:7">
      <c r="A231" s="48" t="s">
        <v>3</v>
      </c>
      <c r="B231" s="50" t="s">
        <v>408</v>
      </c>
      <c r="C231" s="51">
        <v>4100</v>
      </c>
      <c r="D231" s="52"/>
      <c r="E231" s="53">
        <v>2.5166667302449501</v>
      </c>
    </row>
    <row r="232" spans="1:7">
      <c r="A232" s="48" t="s">
        <v>3</v>
      </c>
      <c r="B232" s="50" t="s">
        <v>409</v>
      </c>
      <c r="C232" s="51">
        <v>4100</v>
      </c>
      <c r="D232" s="52"/>
      <c r="E232" s="53"/>
    </row>
    <row r="233" spans="1:7">
      <c r="A233" s="48" t="s">
        <v>3</v>
      </c>
      <c r="B233" s="50" t="s">
        <v>154</v>
      </c>
      <c r="C233" s="51">
        <v>4100</v>
      </c>
      <c r="D233" s="52"/>
      <c r="E233" s="53">
        <v>2.6111111111111098</v>
      </c>
    </row>
    <row r="234" spans="1:7">
      <c r="A234" s="48" t="s">
        <v>3</v>
      </c>
      <c r="B234" s="50" t="s">
        <v>410</v>
      </c>
      <c r="C234" s="51">
        <v>4100</v>
      </c>
      <c r="D234" s="52"/>
      <c r="E234" s="53">
        <v>0</v>
      </c>
    </row>
    <row r="235" spans="1:7">
      <c r="A235" s="48" t="s">
        <v>3</v>
      </c>
      <c r="B235" s="50" t="s">
        <v>411</v>
      </c>
      <c r="C235" s="51">
        <v>4000</v>
      </c>
      <c r="D235" s="52"/>
      <c r="E235" s="53"/>
      <c r="G235" s="53" t="s">
        <v>411</v>
      </c>
    </row>
    <row r="236" spans="1:7">
      <c r="A236" s="48" t="s">
        <v>3</v>
      </c>
      <c r="B236" s="50" t="s">
        <v>412</v>
      </c>
      <c r="C236" s="51">
        <v>4000</v>
      </c>
      <c r="D236" s="52"/>
      <c r="E236" s="53">
        <v>3.0333334604898998</v>
      </c>
    </row>
    <row r="237" spans="1:7">
      <c r="A237" s="48" t="s">
        <v>3</v>
      </c>
      <c r="B237" s="50" t="s">
        <v>413</v>
      </c>
      <c r="C237" s="51">
        <v>4000</v>
      </c>
      <c r="D237" s="52"/>
      <c r="E237" s="53"/>
    </row>
    <row r="238" spans="1:7">
      <c r="A238" s="48" t="s">
        <v>3</v>
      </c>
      <c r="B238" s="50" t="s">
        <v>414</v>
      </c>
      <c r="C238" s="51">
        <v>4000</v>
      </c>
      <c r="D238" s="52"/>
      <c r="E238" s="53"/>
    </row>
    <row r="239" spans="1:7">
      <c r="A239" s="48" t="s">
        <v>3</v>
      </c>
      <c r="B239" s="50" t="s">
        <v>415</v>
      </c>
      <c r="C239" s="51">
        <v>4000</v>
      </c>
      <c r="D239" s="52"/>
      <c r="E239" s="53">
        <v>0.69999998807907104</v>
      </c>
    </row>
    <row r="240" spans="1:7">
      <c r="A240" s="48" t="s">
        <v>3</v>
      </c>
      <c r="B240" s="50" t="s">
        <v>138</v>
      </c>
      <c r="C240" s="51">
        <v>4000</v>
      </c>
      <c r="D240" s="52"/>
      <c r="E240" s="53">
        <v>8.0625</v>
      </c>
    </row>
    <row r="241" spans="1:7">
      <c r="A241" s="48" t="s">
        <v>3</v>
      </c>
      <c r="B241" s="50" t="s">
        <v>416</v>
      </c>
      <c r="C241" s="51">
        <v>4000</v>
      </c>
      <c r="D241" s="52"/>
      <c r="E241" s="53"/>
    </row>
    <row r="242" spans="1:7">
      <c r="A242" s="48" t="s">
        <v>3</v>
      </c>
      <c r="B242" s="50" t="s">
        <v>417</v>
      </c>
      <c r="C242" s="51">
        <v>4000</v>
      </c>
      <c r="D242" s="52" t="s">
        <v>75</v>
      </c>
      <c r="E242" s="53"/>
    </row>
    <row r="243" spans="1:7">
      <c r="A243" s="48" t="s">
        <v>3</v>
      </c>
      <c r="B243" s="50" t="s">
        <v>418</v>
      </c>
      <c r="C243" s="51">
        <v>4000</v>
      </c>
      <c r="D243" s="52"/>
      <c r="E243" s="53"/>
    </row>
    <row r="244" spans="1:7">
      <c r="A244" s="48" t="s">
        <v>3</v>
      </c>
      <c r="B244" s="50" t="s">
        <v>419</v>
      </c>
      <c r="C244" s="51">
        <v>4000</v>
      </c>
      <c r="D244" s="52"/>
      <c r="E244" s="53">
        <v>0.37999999523162797</v>
      </c>
    </row>
    <row r="245" spans="1:7">
      <c r="A245" s="48" t="s">
        <v>3</v>
      </c>
      <c r="B245" s="50" t="s">
        <v>420</v>
      </c>
      <c r="C245" s="51">
        <v>4000</v>
      </c>
      <c r="D245" s="52"/>
      <c r="E245" s="53">
        <v>2.0399999618530198</v>
      </c>
    </row>
    <row r="246" spans="1:7" s="18" customFormat="1">
      <c r="A246" s="48" t="s">
        <v>3</v>
      </c>
      <c r="B246" s="50" t="s">
        <v>421</v>
      </c>
      <c r="C246" s="51">
        <v>4000</v>
      </c>
      <c r="D246" s="52"/>
      <c r="E246" s="53">
        <v>0.628571442195347</v>
      </c>
      <c r="G246" s="53" t="s">
        <v>421</v>
      </c>
    </row>
    <row r="247" spans="1:7">
      <c r="A247" s="48" t="s">
        <v>3</v>
      </c>
      <c r="B247" s="50" t="s">
        <v>422</v>
      </c>
      <c r="C247" s="51">
        <v>4000</v>
      </c>
      <c r="D247" s="52"/>
      <c r="E247" s="53"/>
    </row>
    <row r="248" spans="1:7">
      <c r="A248" s="48" t="s">
        <v>3</v>
      </c>
      <c r="B248" s="50" t="s">
        <v>423</v>
      </c>
      <c r="C248" s="51">
        <v>4000</v>
      </c>
      <c r="D248" s="52"/>
      <c r="E248" s="53">
        <v>2.2200000762939398</v>
      </c>
    </row>
    <row r="249" spans="1:7">
      <c r="A249" s="48" t="s">
        <v>3</v>
      </c>
      <c r="B249" s="50" t="s">
        <v>424</v>
      </c>
      <c r="C249" s="51">
        <v>4000</v>
      </c>
      <c r="D249" s="52"/>
      <c r="E249" s="53"/>
    </row>
    <row r="250" spans="1:7">
      <c r="A250" s="48" t="s">
        <v>3</v>
      </c>
      <c r="B250" s="50" t="s">
        <v>425</v>
      </c>
      <c r="C250" s="51">
        <v>4000</v>
      </c>
      <c r="D250" s="52" t="s">
        <v>75</v>
      </c>
      <c r="E250" s="53">
        <v>4.8999998910086404</v>
      </c>
    </row>
    <row r="251" spans="1:7">
      <c r="A251" s="48" t="s">
        <v>3</v>
      </c>
      <c r="B251" s="50" t="s">
        <v>426</v>
      </c>
      <c r="C251" s="51">
        <v>4000</v>
      </c>
      <c r="D251" s="52"/>
      <c r="E251" s="53"/>
    </row>
    <row r="252" spans="1:7">
      <c r="A252" s="48" t="s">
        <v>3</v>
      </c>
      <c r="B252" s="50" t="s">
        <v>427</v>
      </c>
      <c r="C252" s="51">
        <v>4000</v>
      </c>
      <c r="D252" s="52"/>
      <c r="E252" s="53"/>
    </row>
    <row r="253" spans="1:7">
      <c r="A253" s="48" t="s">
        <v>3</v>
      </c>
      <c r="B253" s="50" t="s">
        <v>428</v>
      </c>
      <c r="C253" s="51">
        <v>4000</v>
      </c>
      <c r="D253" s="52"/>
      <c r="E253" s="53"/>
    </row>
    <row r="254" spans="1:7">
      <c r="A254" s="48" t="s">
        <v>3</v>
      </c>
      <c r="B254" s="50" t="s">
        <v>429</v>
      </c>
      <c r="C254" s="51">
        <v>4000</v>
      </c>
      <c r="D254" s="52"/>
      <c r="E254" s="53">
        <v>3.9000000953674299</v>
      </c>
    </row>
    <row r="255" spans="1:7">
      <c r="A255" s="48" t="s">
        <v>3</v>
      </c>
      <c r="B255" s="50" t="s">
        <v>430</v>
      </c>
      <c r="C255" s="51">
        <v>4000</v>
      </c>
      <c r="D255" s="52"/>
      <c r="E255" s="53"/>
    </row>
    <row r="256" spans="1:7">
      <c r="A256" s="48" t="s">
        <v>3</v>
      </c>
      <c r="B256" s="50" t="s">
        <v>431</v>
      </c>
      <c r="C256" s="51">
        <v>4000</v>
      </c>
      <c r="D256" s="52" t="s">
        <v>75</v>
      </c>
      <c r="E256" s="53">
        <v>1.3999999761581401</v>
      </c>
    </row>
    <row r="257" spans="1:8">
      <c r="A257" s="48" t="s">
        <v>3</v>
      </c>
      <c r="B257" s="50" t="s">
        <v>432</v>
      </c>
      <c r="C257" s="51">
        <v>4000</v>
      </c>
      <c r="D257" s="52"/>
      <c r="E257" s="53">
        <v>8.8999996185302699</v>
      </c>
    </row>
    <row r="258" spans="1:8">
      <c r="A258" s="48" t="s">
        <v>3</v>
      </c>
      <c r="B258" s="50" t="s">
        <v>433</v>
      </c>
      <c r="C258" s="51">
        <v>4000</v>
      </c>
      <c r="D258" s="52"/>
      <c r="E258" s="53">
        <v>2.20000004768371</v>
      </c>
    </row>
    <row r="259" spans="1:8">
      <c r="A259" s="48" t="s">
        <v>3</v>
      </c>
      <c r="B259" s="50" t="s">
        <v>170</v>
      </c>
      <c r="C259" s="51">
        <v>4000</v>
      </c>
      <c r="D259" s="52"/>
      <c r="E259" s="53">
        <v>1.2250000238418499</v>
      </c>
      <c r="G259" s="53" t="s">
        <v>170</v>
      </c>
      <c r="H259" s="53"/>
    </row>
    <row r="260" spans="1:8">
      <c r="A260" s="48" t="s">
        <v>3</v>
      </c>
      <c r="B260" s="50" t="s">
        <v>434</v>
      </c>
      <c r="C260" s="51">
        <v>4000</v>
      </c>
      <c r="D260" s="52"/>
      <c r="E260" s="53"/>
    </row>
    <row r="261" spans="1:8">
      <c r="A261" s="48" t="s">
        <v>3</v>
      </c>
      <c r="B261" s="50" t="s">
        <v>159</v>
      </c>
      <c r="C261" s="51">
        <v>4000</v>
      </c>
      <c r="D261" s="52"/>
      <c r="E261" s="53">
        <v>0.47777779897054001</v>
      </c>
    </row>
    <row r="262" spans="1:8">
      <c r="A262" s="48" t="s">
        <v>3</v>
      </c>
      <c r="B262" s="50" t="s">
        <v>163</v>
      </c>
      <c r="C262" s="51">
        <v>4000</v>
      </c>
      <c r="D262" s="52" t="s">
        <v>75</v>
      </c>
      <c r="E262" s="53">
        <v>4.9857145036969799</v>
      </c>
    </row>
    <row r="263" spans="1:8">
      <c r="A263" s="48" t="s">
        <v>3</v>
      </c>
      <c r="B263" s="50" t="s">
        <v>435</v>
      </c>
      <c r="C263" s="51">
        <v>4000</v>
      </c>
      <c r="D263" s="52" t="s">
        <v>351</v>
      </c>
      <c r="E263" s="53"/>
    </row>
    <row r="264" spans="1:8">
      <c r="A264" s="48" t="s">
        <v>3</v>
      </c>
      <c r="B264" s="50" t="s">
        <v>436</v>
      </c>
      <c r="C264" s="51">
        <v>4000</v>
      </c>
      <c r="D264" s="52"/>
      <c r="E264" s="53"/>
    </row>
    <row r="265" spans="1:8">
      <c r="A265" s="48" t="s">
        <v>3</v>
      </c>
      <c r="B265" s="50" t="s">
        <v>437</v>
      </c>
      <c r="C265" s="51">
        <v>4000</v>
      </c>
      <c r="D265" s="52"/>
      <c r="E265" s="53"/>
    </row>
    <row r="266" spans="1:8">
      <c r="A266" s="48" t="s">
        <v>3</v>
      </c>
      <c r="B266" s="50" t="s">
        <v>166</v>
      </c>
      <c r="C266" s="51">
        <v>4000</v>
      </c>
      <c r="D266" s="52"/>
      <c r="E266" s="53">
        <v>1.29999995231628</v>
      </c>
    </row>
    <row r="267" spans="1:8">
      <c r="A267" s="48" t="s">
        <v>3</v>
      </c>
      <c r="B267" s="50" t="s">
        <v>438</v>
      </c>
      <c r="C267" s="51">
        <v>4000</v>
      </c>
      <c r="D267" s="52"/>
      <c r="E267" s="53"/>
    </row>
    <row r="268" spans="1:8">
      <c r="A268" s="48" t="s">
        <v>3</v>
      </c>
      <c r="B268" s="50" t="s">
        <v>439</v>
      </c>
      <c r="C268" s="51">
        <v>4000</v>
      </c>
      <c r="D268" s="52"/>
      <c r="E268" s="53"/>
    </row>
    <row r="269" spans="1:8">
      <c r="A269" s="48" t="s">
        <v>3</v>
      </c>
      <c r="B269" s="50" t="s">
        <v>171</v>
      </c>
      <c r="C269" s="51">
        <v>4000</v>
      </c>
      <c r="D269" s="52"/>
      <c r="E269" s="53">
        <v>0.83749997615814198</v>
      </c>
    </row>
    <row r="270" spans="1:8">
      <c r="A270" s="48" t="s">
        <v>3</v>
      </c>
      <c r="B270" s="50" t="s">
        <v>440</v>
      </c>
      <c r="C270" s="51">
        <v>4000</v>
      </c>
      <c r="D270" s="52"/>
      <c r="E270" s="53"/>
    </row>
    <row r="271" spans="1:8">
      <c r="A271" s="48" t="s">
        <v>3</v>
      </c>
      <c r="B271" s="50" t="s">
        <v>441</v>
      </c>
      <c r="C271" s="51">
        <v>4000</v>
      </c>
      <c r="D271" s="52" t="s">
        <v>75</v>
      </c>
      <c r="E271" s="53">
        <v>0.68571431296212304</v>
      </c>
    </row>
    <row r="272" spans="1:8">
      <c r="A272" s="48" t="s">
        <v>3</v>
      </c>
      <c r="B272" s="50" t="s">
        <v>442</v>
      </c>
      <c r="C272" s="51">
        <v>4000</v>
      </c>
      <c r="D272" s="52"/>
      <c r="E272" s="53">
        <v>1.29999995231628</v>
      </c>
    </row>
    <row r="273" spans="1:5">
      <c r="A273" s="48" t="s">
        <v>3</v>
      </c>
      <c r="B273" s="50" t="s">
        <v>443</v>
      </c>
      <c r="C273" s="51">
        <v>4000</v>
      </c>
      <c r="D273" s="52"/>
      <c r="E273" s="53">
        <v>3</v>
      </c>
    </row>
    <row r="274" spans="1:5">
      <c r="A274" s="48" t="s">
        <v>3</v>
      </c>
      <c r="B274" s="50" t="s">
        <v>444</v>
      </c>
      <c r="C274" s="51">
        <v>4000</v>
      </c>
      <c r="D274" s="52"/>
      <c r="E274" s="53">
        <v>1.6176470588235199</v>
      </c>
    </row>
    <row r="275" spans="1:5">
      <c r="A275" s="48" t="s">
        <v>3</v>
      </c>
      <c r="B275" s="50" t="s">
        <v>445</v>
      </c>
      <c r="C275" s="51">
        <v>4000</v>
      </c>
      <c r="D275" s="52"/>
      <c r="E275" s="53"/>
    </row>
    <row r="276" spans="1:5">
      <c r="A276" s="48" t="s">
        <v>3</v>
      </c>
      <c r="B276" s="50" t="s">
        <v>446</v>
      </c>
      <c r="C276" s="51">
        <v>4000</v>
      </c>
      <c r="D276" s="52"/>
      <c r="E276" s="53"/>
    </row>
    <row r="277" spans="1:5">
      <c r="A277" s="48" t="s">
        <v>3</v>
      </c>
      <c r="B277" s="50" t="s">
        <v>175</v>
      </c>
      <c r="C277" s="51">
        <v>4000</v>
      </c>
      <c r="D277" s="52"/>
      <c r="E277" s="53">
        <v>0.56666668256123798</v>
      </c>
    </row>
    <row r="278" spans="1:5">
      <c r="A278" s="48" t="s">
        <v>3</v>
      </c>
      <c r="B278" s="50" t="s">
        <v>447</v>
      </c>
      <c r="C278" s="51">
        <v>4000</v>
      </c>
      <c r="D278" s="52"/>
      <c r="E278" s="53">
        <v>2.01250004768371</v>
      </c>
    </row>
    <row r="279" spans="1:5">
      <c r="A279" s="48" t="s">
        <v>3</v>
      </c>
      <c r="B279" s="50" t="s">
        <v>448</v>
      </c>
      <c r="C279" s="51">
        <v>4000</v>
      </c>
      <c r="D279" s="52"/>
      <c r="E279" s="53">
        <v>0.5</v>
      </c>
    </row>
    <row r="280" spans="1:5">
      <c r="A280" s="48" t="s">
        <v>3</v>
      </c>
      <c r="B280" s="50" t="s">
        <v>449</v>
      </c>
      <c r="C280" s="51">
        <v>4000</v>
      </c>
      <c r="D280" s="52" t="s">
        <v>75</v>
      </c>
      <c r="E280" s="53"/>
    </row>
    <row r="281" spans="1:5">
      <c r="A281" s="48" t="s">
        <v>3</v>
      </c>
      <c r="B281" s="50" t="s">
        <v>450</v>
      </c>
      <c r="C281" s="51">
        <v>4000</v>
      </c>
      <c r="D281" s="52"/>
      <c r="E281" s="53"/>
    </row>
    <row r="282" spans="1:5">
      <c r="A282" s="48" t="s">
        <v>3</v>
      </c>
      <c r="B282" s="50" t="s">
        <v>451</v>
      </c>
      <c r="C282" s="51">
        <v>4000</v>
      </c>
      <c r="D282" s="52" t="s">
        <v>75</v>
      </c>
      <c r="E282" s="53">
        <v>4.7833334604899003</v>
      </c>
    </row>
    <row r="283" spans="1:5">
      <c r="A283" s="48" t="s">
        <v>3</v>
      </c>
      <c r="B283" s="50" t="s">
        <v>452</v>
      </c>
      <c r="C283" s="51">
        <v>4000</v>
      </c>
      <c r="D283" s="52"/>
      <c r="E283" s="53"/>
    </row>
    <row r="284" spans="1:5">
      <c r="A284" s="48" t="s">
        <v>3</v>
      </c>
      <c r="B284" s="50" t="s">
        <v>453</v>
      </c>
      <c r="C284" s="51">
        <v>4000</v>
      </c>
      <c r="D284" s="52"/>
      <c r="E284" s="53">
        <v>0.57777775658501496</v>
      </c>
    </row>
    <row r="285" spans="1:5">
      <c r="A285" s="48" t="s">
        <v>3</v>
      </c>
      <c r="B285" s="50" t="s">
        <v>454</v>
      </c>
      <c r="C285" s="51">
        <v>4000</v>
      </c>
      <c r="D285" s="52"/>
      <c r="E285" s="53">
        <v>0.36666667461395203</v>
      </c>
    </row>
    <row r="286" spans="1:5">
      <c r="A286" s="48" t="s">
        <v>3</v>
      </c>
      <c r="B286" s="50" t="s">
        <v>455</v>
      </c>
      <c r="C286" s="51">
        <v>4000</v>
      </c>
      <c r="D286" s="52"/>
      <c r="E286" s="53"/>
    </row>
    <row r="287" spans="1:5">
      <c r="A287" s="48" t="s">
        <v>3</v>
      </c>
      <c r="B287" s="50" t="s">
        <v>456</v>
      </c>
      <c r="C287" s="51">
        <v>4000</v>
      </c>
      <c r="D287" s="52"/>
      <c r="E287" s="53"/>
    </row>
    <row r="288" spans="1:5">
      <c r="A288" s="48" t="s">
        <v>3</v>
      </c>
      <c r="B288" s="50" t="s">
        <v>457</v>
      </c>
      <c r="C288" s="51">
        <v>4000</v>
      </c>
      <c r="D288" s="52"/>
      <c r="E288" s="53">
        <v>1.3999999761581401</v>
      </c>
    </row>
    <row r="289" spans="1:5">
      <c r="A289" s="48" t="s">
        <v>3</v>
      </c>
      <c r="B289" s="50" t="s">
        <v>458</v>
      </c>
      <c r="C289" s="51">
        <v>4000</v>
      </c>
      <c r="D289" s="52"/>
      <c r="E289" s="53">
        <v>0.96666669845580999</v>
      </c>
    </row>
    <row r="290" spans="1:5">
      <c r="A290" s="48" t="s">
        <v>3</v>
      </c>
      <c r="B290" s="50" t="s">
        <v>459</v>
      </c>
      <c r="C290" s="51">
        <v>4000</v>
      </c>
      <c r="D290" s="52"/>
      <c r="E290" s="53">
        <v>4.7588236191693403</v>
      </c>
    </row>
    <row r="291" spans="1:5">
      <c r="A291" s="48" t="s">
        <v>3</v>
      </c>
      <c r="B291" s="50" t="s">
        <v>460</v>
      </c>
      <c r="C291" s="51">
        <v>4000</v>
      </c>
      <c r="D291" s="52"/>
      <c r="E291" s="53"/>
    </row>
    <row r="292" spans="1:5">
      <c r="A292" s="48" t="s">
        <v>3</v>
      </c>
      <c r="B292" s="50" t="s">
        <v>461</v>
      </c>
      <c r="C292" s="51">
        <v>4000</v>
      </c>
      <c r="D292" s="52"/>
      <c r="E292" s="53"/>
    </row>
    <row r="293" spans="1:5">
      <c r="A293" s="48" t="s">
        <v>3</v>
      </c>
      <c r="B293" s="50" t="s">
        <v>462</v>
      </c>
      <c r="C293" s="51">
        <v>4000</v>
      </c>
      <c r="D293" s="52"/>
      <c r="E293" s="53"/>
    </row>
    <row r="294" spans="1:5">
      <c r="A294" s="48" t="s">
        <v>3</v>
      </c>
      <c r="B294" s="50" t="s">
        <v>463</v>
      </c>
      <c r="C294" s="51">
        <v>4000</v>
      </c>
      <c r="D294" s="52" t="s">
        <v>75</v>
      </c>
      <c r="E294" s="53"/>
    </row>
    <row r="295" spans="1:5">
      <c r="A295" s="48" t="s">
        <v>3</v>
      </c>
      <c r="B295" s="50" t="s">
        <v>464</v>
      </c>
      <c r="C295" s="51">
        <v>4000</v>
      </c>
      <c r="D295" s="52" t="s">
        <v>75</v>
      </c>
      <c r="E295" s="53"/>
    </row>
    <row r="296" spans="1:5">
      <c r="A296" s="48" t="s">
        <v>3</v>
      </c>
      <c r="B296" s="50" t="s">
        <v>465</v>
      </c>
      <c r="C296" s="51">
        <v>4000</v>
      </c>
      <c r="D296" s="52"/>
      <c r="E296" s="53">
        <v>3.1500000953674299</v>
      </c>
    </row>
    <row r="297" spans="1:5">
      <c r="A297" s="48" t="s">
        <v>3</v>
      </c>
      <c r="B297" s="50" t="s">
        <v>165</v>
      </c>
      <c r="C297" s="51">
        <v>4000</v>
      </c>
      <c r="D297" s="52"/>
      <c r="E297" s="53">
        <v>0.46666665871938001</v>
      </c>
    </row>
    <row r="298" spans="1:5">
      <c r="A298" s="48" t="s">
        <v>3</v>
      </c>
      <c r="B298" s="50" t="s">
        <v>466</v>
      </c>
      <c r="C298" s="51">
        <v>4000</v>
      </c>
      <c r="D298" s="52"/>
      <c r="E298" s="53">
        <v>3.3941176919376099</v>
      </c>
    </row>
    <row r="299" spans="1:5">
      <c r="A299" s="48" t="s">
        <v>3</v>
      </c>
      <c r="B299" s="50" t="s">
        <v>467</v>
      </c>
      <c r="C299" s="51">
        <v>4000</v>
      </c>
      <c r="D299" s="52"/>
      <c r="E299" s="53">
        <v>5.9307691133939304</v>
      </c>
    </row>
    <row r="300" spans="1:5">
      <c r="A300" s="48" t="s">
        <v>3</v>
      </c>
      <c r="B300" s="50" t="s">
        <v>468</v>
      </c>
      <c r="C300" s="51">
        <v>4000</v>
      </c>
      <c r="D300" s="52"/>
      <c r="E300" s="53">
        <v>0</v>
      </c>
    </row>
    <row r="301" spans="1:5">
      <c r="A301" s="48" t="s">
        <v>3</v>
      </c>
      <c r="B301" s="50" t="s">
        <v>469</v>
      </c>
      <c r="C301" s="51">
        <v>4000</v>
      </c>
      <c r="D301" s="52"/>
      <c r="E301" s="53"/>
    </row>
    <row r="302" spans="1:5">
      <c r="A302" s="48" t="s">
        <v>3</v>
      </c>
      <c r="B302" s="50" t="s">
        <v>470</v>
      </c>
      <c r="C302" s="51">
        <v>4000</v>
      </c>
      <c r="D302" s="52"/>
      <c r="E302" s="53"/>
    </row>
    <row r="303" spans="1:5">
      <c r="A303" s="48" t="s">
        <v>3</v>
      </c>
      <c r="B303" s="50" t="s">
        <v>471</v>
      </c>
      <c r="C303" s="51">
        <v>4000</v>
      </c>
      <c r="D303" s="52"/>
      <c r="E303" s="53"/>
    </row>
    <row r="304" spans="1:5">
      <c r="A304" s="48" t="s">
        <v>3</v>
      </c>
      <c r="B304" s="50" t="s">
        <v>472</v>
      </c>
      <c r="C304" s="51">
        <v>4000</v>
      </c>
      <c r="D304" s="52"/>
      <c r="E304" s="53">
        <v>0.30588234172147799</v>
      </c>
    </row>
    <row r="305" spans="1:5">
      <c r="A305" s="48" t="s">
        <v>3</v>
      </c>
      <c r="B305" s="50" t="s">
        <v>473</v>
      </c>
      <c r="C305" s="51">
        <v>4000</v>
      </c>
      <c r="D305" s="52" t="s">
        <v>476</v>
      </c>
      <c r="E305" s="53"/>
    </row>
    <row r="306" spans="1:5">
      <c r="A306" s="48" t="s">
        <v>3</v>
      </c>
      <c r="B306" s="50" t="s">
        <v>474</v>
      </c>
      <c r="C306" s="51">
        <v>4000</v>
      </c>
      <c r="D306" s="52"/>
      <c r="E306" s="53"/>
    </row>
    <row r="307" spans="1:5">
      <c r="A307" s="48" t="s">
        <v>3</v>
      </c>
      <c r="B307" s="50" t="s">
        <v>475</v>
      </c>
      <c r="C307" s="51">
        <v>4000</v>
      </c>
      <c r="D307" s="52" t="s">
        <v>75</v>
      </c>
      <c r="E307" s="53">
        <v>0</v>
      </c>
    </row>
    <row r="308" spans="1:5">
      <c r="A308" s="48" t="s">
        <v>36</v>
      </c>
      <c r="B308" s="50" t="s">
        <v>38</v>
      </c>
      <c r="C308" s="51">
        <v>8000</v>
      </c>
      <c r="D308" s="52"/>
      <c r="E308" s="53">
        <v>11.5199996948242</v>
      </c>
    </row>
    <row r="309" spans="1:5">
      <c r="A309" s="48" t="s">
        <v>36</v>
      </c>
      <c r="B309" s="50" t="s">
        <v>759</v>
      </c>
      <c r="C309" s="51">
        <v>6800</v>
      </c>
      <c r="D309" s="52"/>
      <c r="E309" s="53">
        <v>7.45555538601345</v>
      </c>
    </row>
    <row r="310" spans="1:5">
      <c r="A310" s="48" t="s">
        <v>36</v>
      </c>
      <c r="B310" s="50" t="s">
        <v>196</v>
      </c>
      <c r="C310" s="51">
        <v>6400</v>
      </c>
      <c r="D310" s="52"/>
      <c r="E310" s="53">
        <v>8.2941176470588207</v>
      </c>
    </row>
    <row r="311" spans="1:5">
      <c r="A311" s="48" t="s">
        <v>36</v>
      </c>
      <c r="B311" s="50" t="s">
        <v>106</v>
      </c>
      <c r="C311" s="51">
        <v>6300</v>
      </c>
      <c r="D311" s="52" t="s">
        <v>75</v>
      </c>
      <c r="E311" s="53">
        <v>6.5176472383386903</v>
      </c>
    </row>
    <row r="312" spans="1:5">
      <c r="A312" s="48" t="s">
        <v>36</v>
      </c>
      <c r="B312" s="50" t="s">
        <v>104</v>
      </c>
      <c r="C312" s="51">
        <v>6200</v>
      </c>
      <c r="D312" s="52"/>
      <c r="E312" s="53">
        <v>10.194117826573899</v>
      </c>
    </row>
    <row r="313" spans="1:5">
      <c r="A313" s="48" t="s">
        <v>36</v>
      </c>
      <c r="B313" s="50" t="s">
        <v>760</v>
      </c>
      <c r="C313" s="51">
        <v>6000</v>
      </c>
      <c r="D313" s="52"/>
      <c r="E313" s="53">
        <v>9.6611107720269001</v>
      </c>
    </row>
    <row r="314" spans="1:5">
      <c r="A314" s="48" t="s">
        <v>36</v>
      </c>
      <c r="B314" s="50" t="s">
        <v>115</v>
      </c>
      <c r="C314" s="51">
        <v>5900</v>
      </c>
      <c r="D314" s="52"/>
      <c r="E314" s="53">
        <v>10.205882352941099</v>
      </c>
    </row>
    <row r="315" spans="1:5">
      <c r="A315" s="48" t="s">
        <v>36</v>
      </c>
      <c r="B315" s="50" t="s">
        <v>37</v>
      </c>
      <c r="C315" s="51">
        <v>5800</v>
      </c>
      <c r="D315" s="52" t="s">
        <v>476</v>
      </c>
      <c r="E315" s="53">
        <v>11.4333333333333</v>
      </c>
    </row>
    <row r="316" spans="1:5">
      <c r="A316" s="48" t="s">
        <v>36</v>
      </c>
      <c r="B316" s="50" t="s">
        <v>112</v>
      </c>
      <c r="C316" s="51">
        <v>5600</v>
      </c>
      <c r="D316" s="52"/>
      <c r="E316" s="53">
        <v>8.1176470588235201</v>
      </c>
    </row>
    <row r="317" spans="1:5">
      <c r="A317" s="48" t="s">
        <v>36</v>
      </c>
      <c r="B317" s="50" t="s">
        <v>116</v>
      </c>
      <c r="C317" s="51">
        <v>5500</v>
      </c>
      <c r="D317" s="52"/>
      <c r="E317" s="53">
        <v>7.9387497901916504</v>
      </c>
    </row>
    <row r="318" spans="1:5">
      <c r="A318" s="48" t="s">
        <v>36</v>
      </c>
      <c r="B318" s="50" t="s">
        <v>761</v>
      </c>
      <c r="C318" s="51">
        <v>5400</v>
      </c>
      <c r="D318" s="52" t="s">
        <v>75</v>
      </c>
      <c r="E318" s="53"/>
    </row>
    <row r="319" spans="1:5">
      <c r="A319" s="48" t="s">
        <v>36</v>
      </c>
      <c r="B319" s="50" t="s">
        <v>762</v>
      </c>
      <c r="C319" s="51">
        <v>5300</v>
      </c>
      <c r="D319" s="52"/>
      <c r="E319" s="53">
        <v>5.9083334604899003</v>
      </c>
    </row>
    <row r="320" spans="1:5">
      <c r="A320" s="48" t="s">
        <v>36</v>
      </c>
      <c r="B320" s="50" t="s">
        <v>179</v>
      </c>
      <c r="C320" s="51">
        <v>5200</v>
      </c>
      <c r="D320" s="52"/>
      <c r="E320" s="53">
        <v>6.7166667514377103</v>
      </c>
    </row>
    <row r="321" spans="1:5">
      <c r="A321" s="48" t="s">
        <v>36</v>
      </c>
      <c r="B321" s="50" t="s">
        <v>101</v>
      </c>
      <c r="C321" s="51">
        <v>5100</v>
      </c>
      <c r="D321" s="52"/>
      <c r="E321" s="53">
        <v>9.0375003814697195</v>
      </c>
    </row>
    <row r="322" spans="1:5">
      <c r="A322" s="48" t="s">
        <v>36</v>
      </c>
      <c r="B322" s="50" t="s">
        <v>113</v>
      </c>
      <c r="C322" s="51">
        <v>5000</v>
      </c>
      <c r="D322" s="52" t="s">
        <v>75</v>
      </c>
      <c r="E322" s="53">
        <v>4.1000001089913498</v>
      </c>
    </row>
    <row r="323" spans="1:5">
      <c r="A323" s="48" t="s">
        <v>36</v>
      </c>
      <c r="B323" s="50" t="s">
        <v>763</v>
      </c>
      <c r="C323" s="51">
        <v>5000</v>
      </c>
      <c r="D323" s="52"/>
      <c r="E323" s="53">
        <v>2.9230769230769198</v>
      </c>
    </row>
    <row r="324" spans="1:5">
      <c r="A324" s="48" t="s">
        <v>36</v>
      </c>
      <c r="B324" s="50" t="s">
        <v>176</v>
      </c>
      <c r="C324" s="51">
        <v>4900</v>
      </c>
      <c r="D324" s="52" t="s">
        <v>476</v>
      </c>
      <c r="E324" s="53">
        <v>5.3125</v>
      </c>
    </row>
    <row r="325" spans="1:5">
      <c r="A325" s="48" t="s">
        <v>36</v>
      </c>
      <c r="B325" s="50" t="s">
        <v>182</v>
      </c>
      <c r="C325" s="51">
        <v>4900</v>
      </c>
      <c r="D325" s="52"/>
      <c r="E325" s="53">
        <v>3.3933334350585902</v>
      </c>
    </row>
    <row r="326" spans="1:5">
      <c r="A326" s="48" t="s">
        <v>36</v>
      </c>
      <c r="B326" s="50" t="s">
        <v>189</v>
      </c>
      <c r="C326" s="51">
        <v>4900</v>
      </c>
      <c r="D326" s="52"/>
      <c r="E326" s="53">
        <v>4.8250001271565699</v>
      </c>
    </row>
    <row r="327" spans="1:5">
      <c r="A327" s="48" t="s">
        <v>36</v>
      </c>
      <c r="B327" s="50" t="s">
        <v>103</v>
      </c>
      <c r="C327" s="51">
        <v>4900</v>
      </c>
      <c r="D327" s="52"/>
      <c r="E327" s="53">
        <v>7.6076924250675999</v>
      </c>
    </row>
    <row r="328" spans="1:5">
      <c r="A328" s="48" t="s">
        <v>36</v>
      </c>
      <c r="B328" s="50" t="s">
        <v>764</v>
      </c>
      <c r="C328" s="51">
        <v>4800</v>
      </c>
      <c r="D328" s="52"/>
      <c r="E328" s="53">
        <v>5.0823530309340503</v>
      </c>
    </row>
    <row r="329" spans="1:5">
      <c r="A329" s="48" t="s">
        <v>36</v>
      </c>
      <c r="B329" s="50" t="s">
        <v>178</v>
      </c>
      <c r="C329" s="51">
        <v>4800</v>
      </c>
      <c r="D329" s="52"/>
      <c r="E329" s="53">
        <v>3.7111112806532098</v>
      </c>
    </row>
    <row r="330" spans="1:5">
      <c r="A330" s="48" t="s">
        <v>36</v>
      </c>
      <c r="B330" s="50" t="s">
        <v>191</v>
      </c>
      <c r="C330" s="51">
        <v>4800</v>
      </c>
      <c r="D330" s="52" t="s">
        <v>75</v>
      </c>
      <c r="E330" s="53">
        <v>3.7615385789137599</v>
      </c>
    </row>
    <row r="331" spans="1:5">
      <c r="A331" s="48" t="s">
        <v>36</v>
      </c>
      <c r="B331" s="50" t="s">
        <v>765</v>
      </c>
      <c r="C331" s="51">
        <v>4800</v>
      </c>
      <c r="D331" s="52"/>
      <c r="E331" s="53">
        <v>4.3250001271565699</v>
      </c>
    </row>
    <row r="332" spans="1:5">
      <c r="A332" s="48" t="s">
        <v>36</v>
      </c>
      <c r="B332" s="50" t="s">
        <v>107</v>
      </c>
      <c r="C332" s="51">
        <v>4800</v>
      </c>
      <c r="D332" s="52"/>
      <c r="E332" s="53">
        <v>5.4571429661342004</v>
      </c>
    </row>
    <row r="333" spans="1:5">
      <c r="A333" s="48" t="s">
        <v>36</v>
      </c>
      <c r="B333" s="50" t="s">
        <v>766</v>
      </c>
      <c r="C333" s="51">
        <v>4700</v>
      </c>
      <c r="D333" s="52"/>
      <c r="E333" s="53">
        <v>6.1000002347505999</v>
      </c>
    </row>
    <row r="334" spans="1:5">
      <c r="A334" s="48" t="s">
        <v>36</v>
      </c>
      <c r="B334" s="50" t="s">
        <v>184</v>
      </c>
      <c r="C334" s="51">
        <v>4700</v>
      </c>
      <c r="D334" s="52"/>
      <c r="E334" s="53">
        <v>3.86666666666666</v>
      </c>
    </row>
    <row r="335" spans="1:5">
      <c r="A335" s="48" t="s">
        <v>36</v>
      </c>
      <c r="B335" s="50" t="s">
        <v>185</v>
      </c>
      <c r="C335" s="51">
        <v>4700</v>
      </c>
      <c r="D335" s="52"/>
      <c r="E335" s="53">
        <v>3.2800000508626299</v>
      </c>
    </row>
    <row r="336" spans="1:5">
      <c r="A336" s="48" t="s">
        <v>36</v>
      </c>
      <c r="B336" s="50" t="s">
        <v>114</v>
      </c>
      <c r="C336" s="51">
        <v>4600</v>
      </c>
      <c r="D336" s="52"/>
      <c r="E336" s="53">
        <v>6.6133331298828102</v>
      </c>
    </row>
    <row r="337" spans="1:5">
      <c r="A337" s="48" t="s">
        <v>36</v>
      </c>
      <c r="B337" s="50" t="s">
        <v>767</v>
      </c>
      <c r="C337" s="51">
        <v>4600</v>
      </c>
      <c r="D337" s="52"/>
      <c r="E337" s="53">
        <v>2</v>
      </c>
    </row>
    <row r="338" spans="1:5">
      <c r="A338" s="48" t="s">
        <v>36</v>
      </c>
      <c r="B338" s="50" t="s">
        <v>768</v>
      </c>
      <c r="C338" s="51">
        <v>4600</v>
      </c>
      <c r="D338" s="52"/>
      <c r="E338" s="53">
        <v>5.3499999046325604</v>
      </c>
    </row>
    <row r="339" spans="1:5">
      <c r="A339" s="48" t="s">
        <v>36</v>
      </c>
      <c r="B339" s="50" t="s">
        <v>186</v>
      </c>
      <c r="C339" s="51">
        <v>4600</v>
      </c>
      <c r="D339" s="52"/>
      <c r="E339" s="53">
        <v>3.0428570338657899</v>
      </c>
    </row>
    <row r="340" spans="1:5">
      <c r="A340" s="48" t="s">
        <v>36</v>
      </c>
      <c r="B340" s="50" t="s">
        <v>769</v>
      </c>
      <c r="C340" s="51">
        <v>4500</v>
      </c>
      <c r="D340" s="52"/>
      <c r="E340" s="53">
        <v>2.4333333969116202</v>
      </c>
    </row>
    <row r="341" spans="1:5">
      <c r="A341" s="48" t="s">
        <v>36</v>
      </c>
      <c r="B341" s="50" t="s">
        <v>197</v>
      </c>
      <c r="C341" s="51">
        <v>4500</v>
      </c>
      <c r="D341" s="52"/>
      <c r="E341" s="53">
        <v>2.6600001017252599</v>
      </c>
    </row>
    <row r="342" spans="1:5">
      <c r="A342" s="48" t="s">
        <v>36</v>
      </c>
      <c r="B342" s="50" t="s">
        <v>181</v>
      </c>
      <c r="C342" s="51">
        <v>4500</v>
      </c>
      <c r="D342" s="52"/>
      <c r="E342" s="53">
        <v>2.2437500953674299</v>
      </c>
    </row>
    <row r="343" spans="1:5">
      <c r="A343" s="48" t="s">
        <v>36</v>
      </c>
      <c r="B343" s="50" t="s">
        <v>770</v>
      </c>
      <c r="C343" s="51">
        <v>4500</v>
      </c>
      <c r="D343" s="52"/>
      <c r="E343" s="53"/>
    </row>
    <row r="344" spans="1:5">
      <c r="A344" s="48" t="s">
        <v>36</v>
      </c>
      <c r="B344" s="50" t="s">
        <v>771</v>
      </c>
      <c r="C344" s="51">
        <v>4500</v>
      </c>
      <c r="D344" s="52"/>
      <c r="E344" s="53">
        <v>1.9750000635782801</v>
      </c>
    </row>
    <row r="345" spans="1:5">
      <c r="A345" s="48" t="s">
        <v>36</v>
      </c>
      <c r="B345" s="50" t="s">
        <v>200</v>
      </c>
      <c r="C345" s="51">
        <v>4500</v>
      </c>
      <c r="D345" s="52"/>
      <c r="E345" s="53">
        <v>1.5923077509953401</v>
      </c>
    </row>
    <row r="346" spans="1:5">
      <c r="A346" s="48" t="s">
        <v>36</v>
      </c>
      <c r="B346" s="50" t="s">
        <v>772</v>
      </c>
      <c r="C346" s="51">
        <v>4400</v>
      </c>
      <c r="D346" s="52"/>
      <c r="E346" s="53"/>
    </row>
    <row r="347" spans="1:5">
      <c r="A347" s="48" t="s">
        <v>36</v>
      </c>
      <c r="B347" s="50" t="s">
        <v>773</v>
      </c>
      <c r="C347" s="51">
        <v>4400</v>
      </c>
      <c r="D347" s="52"/>
      <c r="E347" s="53">
        <v>1.06666670905219</v>
      </c>
    </row>
    <row r="348" spans="1:5">
      <c r="A348" s="48" t="s">
        <v>36</v>
      </c>
      <c r="B348" s="50" t="s">
        <v>774</v>
      </c>
      <c r="C348" s="51">
        <v>4400</v>
      </c>
      <c r="D348" s="52"/>
      <c r="E348" s="53"/>
    </row>
    <row r="349" spans="1:5">
      <c r="A349" s="48" t="s">
        <v>36</v>
      </c>
      <c r="B349" s="50" t="s">
        <v>192</v>
      </c>
      <c r="C349" s="51">
        <v>4400</v>
      </c>
      <c r="D349" s="52"/>
      <c r="E349" s="53">
        <v>1.75714288439069</v>
      </c>
    </row>
    <row r="350" spans="1:5">
      <c r="A350" s="48" t="s">
        <v>36</v>
      </c>
      <c r="B350" s="50" t="s">
        <v>183</v>
      </c>
      <c r="C350" s="51">
        <v>4400</v>
      </c>
      <c r="D350" s="52"/>
      <c r="E350" s="53">
        <v>2.9833332697550401</v>
      </c>
    </row>
    <row r="351" spans="1:5">
      <c r="A351" s="48" t="s">
        <v>36</v>
      </c>
      <c r="B351" s="50" t="s">
        <v>775</v>
      </c>
      <c r="C351" s="51">
        <v>4400</v>
      </c>
      <c r="D351" s="52"/>
      <c r="E351" s="53">
        <v>3.5222223069932701</v>
      </c>
    </row>
    <row r="352" spans="1:5">
      <c r="A352" s="48" t="s">
        <v>36</v>
      </c>
      <c r="B352" s="50" t="s">
        <v>776</v>
      </c>
      <c r="C352" s="51">
        <v>4400</v>
      </c>
      <c r="D352" s="52"/>
      <c r="E352" s="53">
        <v>0.91818185286088405</v>
      </c>
    </row>
    <row r="353" spans="1:5">
      <c r="A353" s="48" t="s">
        <v>36</v>
      </c>
      <c r="B353" s="50" t="s">
        <v>777</v>
      </c>
      <c r="C353" s="51">
        <v>4400</v>
      </c>
      <c r="D353" s="52"/>
      <c r="E353" s="53"/>
    </row>
    <row r="354" spans="1:5">
      <c r="A354" s="48" t="s">
        <v>36</v>
      </c>
      <c r="B354" s="50" t="s">
        <v>778</v>
      </c>
      <c r="C354" s="51">
        <v>4400</v>
      </c>
      <c r="D354" s="52"/>
      <c r="E354" s="53">
        <v>5.5</v>
      </c>
    </row>
    <row r="355" spans="1:5">
      <c r="A355" s="48" t="s">
        <v>36</v>
      </c>
      <c r="B355" s="50" t="s">
        <v>779</v>
      </c>
      <c r="C355" s="51">
        <v>4300</v>
      </c>
      <c r="D355" s="52"/>
      <c r="E355" s="53">
        <v>3.2000001271565699</v>
      </c>
    </row>
    <row r="356" spans="1:5">
      <c r="A356" s="48" t="s">
        <v>36</v>
      </c>
      <c r="B356" s="50" t="s">
        <v>780</v>
      </c>
      <c r="C356" s="51">
        <v>4300</v>
      </c>
      <c r="D356" s="52"/>
      <c r="E356" s="53">
        <v>2.7857142857142798</v>
      </c>
    </row>
    <row r="357" spans="1:5">
      <c r="A357" s="48" t="s">
        <v>36</v>
      </c>
      <c r="B357" s="50" t="s">
        <v>781</v>
      </c>
      <c r="C357" s="51">
        <v>4300</v>
      </c>
      <c r="D357" s="52"/>
      <c r="E357" s="53">
        <v>2.4874999523162802</v>
      </c>
    </row>
    <row r="358" spans="1:5">
      <c r="A358" s="48" t="s">
        <v>36</v>
      </c>
      <c r="B358" s="50" t="s">
        <v>188</v>
      </c>
      <c r="C358" s="51">
        <v>4300</v>
      </c>
      <c r="D358" s="52"/>
      <c r="E358" s="53">
        <v>3.2538460951585</v>
      </c>
    </row>
    <row r="359" spans="1:5">
      <c r="A359" s="48" t="s">
        <v>36</v>
      </c>
      <c r="B359" s="50" t="s">
        <v>782</v>
      </c>
      <c r="C359" s="51">
        <v>4300</v>
      </c>
      <c r="D359" s="52"/>
      <c r="E359" s="53">
        <v>4.0499998728434203</v>
      </c>
    </row>
    <row r="360" spans="1:5">
      <c r="A360" s="48" t="s">
        <v>36</v>
      </c>
      <c r="B360" s="50" t="s">
        <v>783</v>
      </c>
      <c r="C360" s="51">
        <v>4300</v>
      </c>
      <c r="D360" s="52" t="s">
        <v>75</v>
      </c>
      <c r="E360" s="53">
        <v>2.84545447609641</v>
      </c>
    </row>
    <row r="361" spans="1:5">
      <c r="A361" s="48" t="s">
        <v>36</v>
      </c>
      <c r="B361" s="50" t="s">
        <v>190</v>
      </c>
      <c r="C361" s="51">
        <v>4300</v>
      </c>
      <c r="D361" s="52"/>
      <c r="E361" s="53">
        <v>2.5</v>
      </c>
    </row>
    <row r="362" spans="1:5">
      <c r="A362" s="48" t="s">
        <v>36</v>
      </c>
      <c r="B362" s="50" t="s">
        <v>180</v>
      </c>
      <c r="C362" s="51">
        <v>4300</v>
      </c>
      <c r="D362" s="52"/>
      <c r="E362" s="53">
        <v>4.0571428026471796</v>
      </c>
    </row>
    <row r="363" spans="1:5">
      <c r="A363" s="48" t="s">
        <v>36</v>
      </c>
      <c r="B363" s="50" t="s">
        <v>784</v>
      </c>
      <c r="C363" s="51">
        <v>4300</v>
      </c>
      <c r="D363" s="52"/>
      <c r="E363" s="53">
        <v>1.3399999618530201</v>
      </c>
    </row>
    <row r="364" spans="1:5">
      <c r="A364" s="48" t="s">
        <v>36</v>
      </c>
      <c r="B364" s="50" t="s">
        <v>785</v>
      </c>
      <c r="C364" s="51">
        <v>4300</v>
      </c>
      <c r="D364" s="52"/>
      <c r="E364" s="53">
        <v>2.4</v>
      </c>
    </row>
    <row r="365" spans="1:5">
      <c r="A365" s="48" t="s">
        <v>36</v>
      </c>
      <c r="B365" s="50" t="s">
        <v>786</v>
      </c>
      <c r="C365" s="51">
        <v>4300</v>
      </c>
      <c r="D365" s="52"/>
      <c r="E365" s="53">
        <v>5.0583333969116202</v>
      </c>
    </row>
    <row r="366" spans="1:5">
      <c r="A366" s="48" t="s">
        <v>36</v>
      </c>
      <c r="B366" s="50" t="s">
        <v>193</v>
      </c>
      <c r="C366" s="51">
        <v>4300</v>
      </c>
      <c r="D366" s="52"/>
      <c r="E366" s="53">
        <v>2.4384615971491801</v>
      </c>
    </row>
    <row r="367" spans="1:5">
      <c r="A367" s="48" t="s">
        <v>36</v>
      </c>
      <c r="B367" s="50" t="s">
        <v>787</v>
      </c>
      <c r="C367" s="51">
        <v>4300</v>
      </c>
      <c r="D367" s="52" t="s">
        <v>351</v>
      </c>
      <c r="E367" s="53">
        <v>5.1416667302449497</v>
      </c>
    </row>
    <row r="368" spans="1:5">
      <c r="A368" s="48" t="s">
        <v>36</v>
      </c>
      <c r="B368" s="50" t="s">
        <v>788</v>
      </c>
      <c r="C368" s="51">
        <v>4300</v>
      </c>
      <c r="D368" s="52"/>
      <c r="E368" s="53">
        <v>0.85000002384185702</v>
      </c>
    </row>
    <row r="369" spans="1:5">
      <c r="A369" s="48" t="s">
        <v>36</v>
      </c>
      <c r="B369" s="50" t="s">
        <v>789</v>
      </c>
      <c r="C369" s="51">
        <v>4300</v>
      </c>
      <c r="D369" s="52"/>
      <c r="E369" s="53">
        <v>0</v>
      </c>
    </row>
    <row r="370" spans="1:5">
      <c r="A370" s="48" t="s">
        <v>36</v>
      </c>
      <c r="B370" s="50" t="s">
        <v>790</v>
      </c>
      <c r="C370" s="51">
        <v>4300</v>
      </c>
      <c r="D370" s="52" t="s">
        <v>75</v>
      </c>
      <c r="E370" s="53">
        <v>0.34999999403953502</v>
      </c>
    </row>
    <row r="371" spans="1:5">
      <c r="A371" s="48" t="s">
        <v>36</v>
      </c>
      <c r="B371" s="50" t="s">
        <v>791</v>
      </c>
      <c r="C371" s="51">
        <v>4200</v>
      </c>
      <c r="D371" s="52" t="s">
        <v>75</v>
      </c>
      <c r="E371" s="53">
        <v>1.6818181818181801</v>
      </c>
    </row>
    <row r="372" spans="1:5">
      <c r="A372" s="48" t="s">
        <v>36</v>
      </c>
      <c r="B372" s="50" t="s">
        <v>792</v>
      </c>
      <c r="C372" s="51">
        <v>4200</v>
      </c>
      <c r="D372" s="52"/>
      <c r="E372" s="53">
        <v>2.3200000762939399</v>
      </c>
    </row>
    <row r="373" spans="1:5">
      <c r="A373" s="48" t="s">
        <v>36</v>
      </c>
      <c r="B373" s="50" t="s">
        <v>793</v>
      </c>
      <c r="C373" s="51">
        <v>4200</v>
      </c>
      <c r="D373" s="52"/>
      <c r="E373" s="53">
        <v>4.4375</v>
      </c>
    </row>
    <row r="374" spans="1:5">
      <c r="A374" s="48" t="s">
        <v>36</v>
      </c>
      <c r="B374" s="50" t="s">
        <v>794</v>
      </c>
      <c r="C374" s="51">
        <v>4200</v>
      </c>
      <c r="D374" s="52"/>
      <c r="E374" s="53">
        <v>1.6214286259242401</v>
      </c>
    </row>
    <row r="375" spans="1:5">
      <c r="A375" s="48" t="s">
        <v>36</v>
      </c>
      <c r="B375" s="50" t="s">
        <v>795</v>
      </c>
      <c r="C375" s="51">
        <v>4200</v>
      </c>
      <c r="D375" s="52" t="s">
        <v>75</v>
      </c>
      <c r="E375" s="53">
        <v>1.1571429116385299</v>
      </c>
    </row>
    <row r="376" spans="1:5">
      <c r="A376" s="48" t="s">
        <v>36</v>
      </c>
      <c r="B376" s="50" t="s">
        <v>796</v>
      </c>
      <c r="C376" s="51">
        <v>4200</v>
      </c>
      <c r="D376" s="52"/>
      <c r="E376" s="53"/>
    </row>
    <row r="377" spans="1:5">
      <c r="A377" s="48" t="s">
        <v>36</v>
      </c>
      <c r="B377" s="50" t="s">
        <v>797</v>
      </c>
      <c r="C377" s="51">
        <v>4200</v>
      </c>
      <c r="D377" s="52"/>
      <c r="E377" s="53">
        <v>2.15</v>
      </c>
    </row>
    <row r="378" spans="1:5">
      <c r="A378" s="48" t="s">
        <v>36</v>
      </c>
      <c r="B378" s="50" t="s">
        <v>798</v>
      </c>
      <c r="C378" s="51">
        <v>4200</v>
      </c>
      <c r="D378" s="52"/>
      <c r="E378" s="53">
        <v>0.42500001192092801</v>
      </c>
    </row>
    <row r="379" spans="1:5">
      <c r="A379" s="48" t="s">
        <v>36</v>
      </c>
      <c r="B379" s="50" t="s">
        <v>799</v>
      </c>
      <c r="C379" s="51">
        <v>4200</v>
      </c>
      <c r="D379" s="52"/>
      <c r="E379" s="53">
        <v>1.1777778201633</v>
      </c>
    </row>
    <row r="380" spans="1:5">
      <c r="A380" s="48" t="s">
        <v>36</v>
      </c>
      <c r="B380" s="50" t="s">
        <v>800</v>
      </c>
      <c r="C380" s="51">
        <v>4200</v>
      </c>
      <c r="D380" s="52"/>
      <c r="E380" s="53">
        <v>2.8071428026471801</v>
      </c>
    </row>
    <row r="381" spans="1:5">
      <c r="A381" s="48" t="s">
        <v>36</v>
      </c>
      <c r="B381" s="50" t="s">
        <v>801</v>
      </c>
      <c r="C381" s="51">
        <v>4200</v>
      </c>
      <c r="D381" s="52"/>
      <c r="E381" s="53">
        <v>2.2000000000000002</v>
      </c>
    </row>
    <row r="382" spans="1:5">
      <c r="A382" s="48" t="s">
        <v>36</v>
      </c>
      <c r="B382" s="50" t="s">
        <v>802</v>
      </c>
      <c r="C382" s="51">
        <v>4200</v>
      </c>
      <c r="D382" s="52"/>
      <c r="E382" s="53">
        <v>0.82857145581926595</v>
      </c>
    </row>
    <row r="383" spans="1:5">
      <c r="A383" s="48" t="s">
        <v>36</v>
      </c>
      <c r="B383" s="50" t="s">
        <v>803</v>
      </c>
      <c r="C383" s="51">
        <v>4200</v>
      </c>
      <c r="D383" s="52" t="s">
        <v>75</v>
      </c>
      <c r="E383" s="53">
        <v>1.5999999576144699</v>
      </c>
    </row>
    <row r="384" spans="1:5">
      <c r="A384" s="48" t="s">
        <v>36</v>
      </c>
      <c r="B384" s="50" t="s">
        <v>804</v>
      </c>
      <c r="C384" s="51">
        <v>4200</v>
      </c>
      <c r="D384" s="52"/>
      <c r="E384" s="53">
        <v>0.93999996185302703</v>
      </c>
    </row>
    <row r="385" spans="1:5">
      <c r="A385" s="48" t="s">
        <v>36</v>
      </c>
      <c r="B385" s="50" t="s">
        <v>805</v>
      </c>
      <c r="C385" s="51">
        <v>4200</v>
      </c>
      <c r="D385" s="52"/>
      <c r="E385" s="53">
        <v>0</v>
      </c>
    </row>
    <row r="386" spans="1:5">
      <c r="A386" s="48" t="s">
        <v>36</v>
      </c>
      <c r="B386" s="50" t="s">
        <v>806</v>
      </c>
      <c r="C386" s="51">
        <v>4200</v>
      </c>
      <c r="D386" s="52"/>
      <c r="E386" s="53">
        <v>4.3461538461538396</v>
      </c>
    </row>
    <row r="387" spans="1:5">
      <c r="A387" s="48" t="s">
        <v>36</v>
      </c>
      <c r="B387" s="50" t="s">
        <v>807</v>
      </c>
      <c r="C387" s="51">
        <v>4200</v>
      </c>
      <c r="D387" s="52"/>
      <c r="E387" s="53">
        <v>0.40000000596046398</v>
      </c>
    </row>
    <row r="388" spans="1:5">
      <c r="A388" s="48" t="s">
        <v>36</v>
      </c>
      <c r="B388" s="50" t="s">
        <v>808</v>
      </c>
      <c r="C388" s="51">
        <v>4200</v>
      </c>
      <c r="D388" s="52"/>
      <c r="E388" s="53">
        <v>2.4750000635782801</v>
      </c>
    </row>
    <row r="389" spans="1:5">
      <c r="A389" s="48" t="s">
        <v>36</v>
      </c>
      <c r="B389" s="50" t="s">
        <v>198</v>
      </c>
      <c r="C389" s="51">
        <v>4100</v>
      </c>
      <c r="D389" s="52"/>
      <c r="E389" s="53">
        <v>2.1875</v>
      </c>
    </row>
    <row r="390" spans="1:5">
      <c r="A390" s="48" t="s">
        <v>36</v>
      </c>
      <c r="B390" s="50" t="s">
        <v>809</v>
      </c>
      <c r="C390" s="51">
        <v>4100</v>
      </c>
      <c r="D390" s="52"/>
      <c r="E390" s="53">
        <v>1.1000000238418499</v>
      </c>
    </row>
    <row r="391" spans="1:5">
      <c r="A391" s="48" t="s">
        <v>36</v>
      </c>
      <c r="B391" s="50" t="s">
        <v>194</v>
      </c>
      <c r="C391" s="51">
        <v>4100</v>
      </c>
      <c r="D391" s="52"/>
      <c r="E391" s="53">
        <v>1.3916667302449499</v>
      </c>
    </row>
    <row r="392" spans="1:5">
      <c r="A392" s="48" t="s">
        <v>36</v>
      </c>
      <c r="B392" s="50" t="s">
        <v>810</v>
      </c>
      <c r="C392" s="51">
        <v>4100</v>
      </c>
      <c r="D392" s="52"/>
      <c r="E392" s="53">
        <v>1.36249995231628</v>
      </c>
    </row>
    <row r="393" spans="1:5">
      <c r="A393" s="48" t="s">
        <v>36</v>
      </c>
      <c r="B393" s="50" t="s">
        <v>811</v>
      </c>
      <c r="C393" s="51">
        <v>4100</v>
      </c>
      <c r="D393" s="52"/>
      <c r="E393" s="53"/>
    </row>
    <row r="394" spans="1:5">
      <c r="A394" s="48" t="s">
        <v>36</v>
      </c>
      <c r="B394" s="50" t="s">
        <v>812</v>
      </c>
      <c r="C394" s="51">
        <v>4100</v>
      </c>
      <c r="D394" s="52"/>
      <c r="E394" s="53"/>
    </row>
    <row r="395" spans="1:5">
      <c r="A395" s="48" t="s">
        <v>36</v>
      </c>
      <c r="B395" s="50" t="s">
        <v>813</v>
      </c>
      <c r="C395" s="51">
        <v>4100</v>
      </c>
      <c r="D395" s="52" t="s">
        <v>75</v>
      </c>
      <c r="E395" s="53">
        <v>1.43333339691162</v>
      </c>
    </row>
    <row r="396" spans="1:5">
      <c r="A396" s="48" t="s">
        <v>36</v>
      </c>
      <c r="B396" s="50" t="s">
        <v>814</v>
      </c>
      <c r="C396" s="51">
        <v>4100</v>
      </c>
      <c r="D396" s="52"/>
      <c r="E396" s="53">
        <v>0</v>
      </c>
    </row>
    <row r="397" spans="1:5">
      <c r="A397" s="48" t="s">
        <v>36</v>
      </c>
      <c r="B397" s="50" t="s">
        <v>815</v>
      </c>
      <c r="C397" s="51">
        <v>4100</v>
      </c>
      <c r="D397" s="52"/>
      <c r="E397" s="53"/>
    </row>
    <row r="398" spans="1:5">
      <c r="A398" s="48" t="s">
        <v>36</v>
      </c>
      <c r="B398" s="50" t="s">
        <v>816</v>
      </c>
      <c r="C398" s="51">
        <v>4100</v>
      </c>
      <c r="D398" s="52"/>
      <c r="E398" s="53">
        <v>2.9058824426987502</v>
      </c>
    </row>
    <row r="399" spans="1:5">
      <c r="A399" s="48" t="s">
        <v>36</v>
      </c>
      <c r="B399" s="50" t="s">
        <v>199</v>
      </c>
      <c r="C399" s="51">
        <v>4100</v>
      </c>
      <c r="D399" s="52"/>
      <c r="E399" s="53">
        <v>4.4142856597900302</v>
      </c>
    </row>
    <row r="400" spans="1:5">
      <c r="A400" s="48" t="s">
        <v>36</v>
      </c>
      <c r="B400" s="50" t="s">
        <v>817</v>
      </c>
      <c r="C400" s="51">
        <v>4100</v>
      </c>
      <c r="D400" s="52"/>
      <c r="E400" s="53">
        <v>0</v>
      </c>
    </row>
    <row r="401" spans="1:5">
      <c r="A401" s="48" t="s">
        <v>36</v>
      </c>
      <c r="B401" s="50" t="s">
        <v>818</v>
      </c>
      <c r="C401" s="51">
        <v>4100</v>
      </c>
      <c r="D401" s="52"/>
      <c r="E401" s="53">
        <v>2.07692307692307</v>
      </c>
    </row>
    <row r="402" spans="1:5">
      <c r="A402" s="48" t="s">
        <v>36</v>
      </c>
      <c r="B402" s="50" t="s">
        <v>819</v>
      </c>
      <c r="C402" s="51">
        <v>4100</v>
      </c>
      <c r="D402" s="52"/>
      <c r="E402" s="53">
        <v>0.83999996185302706</v>
      </c>
    </row>
    <row r="403" spans="1:5">
      <c r="A403" s="48" t="s">
        <v>36</v>
      </c>
      <c r="B403" s="50" t="s">
        <v>820</v>
      </c>
      <c r="C403" s="51">
        <v>4100</v>
      </c>
      <c r="D403" s="52"/>
      <c r="E403" s="53">
        <v>0.43333331743876102</v>
      </c>
    </row>
    <row r="404" spans="1:5">
      <c r="A404" s="48" t="s">
        <v>36</v>
      </c>
      <c r="B404" s="50" t="s">
        <v>821</v>
      </c>
      <c r="C404" s="51">
        <v>4100</v>
      </c>
      <c r="D404" s="52"/>
      <c r="E404" s="53">
        <v>2.2857142857142798</v>
      </c>
    </row>
    <row r="405" spans="1:5">
      <c r="A405" s="48" t="s">
        <v>36</v>
      </c>
      <c r="B405" s="50" t="s">
        <v>822</v>
      </c>
      <c r="C405" s="51">
        <v>4100</v>
      </c>
      <c r="D405" s="52"/>
      <c r="E405" s="53">
        <v>1.75</v>
      </c>
    </row>
    <row r="406" spans="1:5">
      <c r="A406" s="48" t="s">
        <v>36</v>
      </c>
      <c r="B406" s="50" t="s">
        <v>823</v>
      </c>
      <c r="C406" s="51">
        <v>4100</v>
      </c>
      <c r="D406" s="52"/>
      <c r="E406" s="53">
        <v>1.2666666507720901</v>
      </c>
    </row>
    <row r="407" spans="1:5">
      <c r="A407" s="48" t="s">
        <v>36</v>
      </c>
      <c r="B407" s="50" t="s">
        <v>824</v>
      </c>
      <c r="C407" s="51">
        <v>4100</v>
      </c>
      <c r="D407" s="52"/>
      <c r="E407" s="53">
        <v>2.52999992370605</v>
      </c>
    </row>
    <row r="408" spans="1:5">
      <c r="A408" s="48" t="s">
        <v>36</v>
      </c>
      <c r="B408" s="50" t="s">
        <v>825</v>
      </c>
      <c r="C408" s="51">
        <v>4000</v>
      </c>
      <c r="D408" s="52"/>
      <c r="E408" s="53"/>
    </row>
    <row r="409" spans="1:5">
      <c r="A409" s="48" t="s">
        <v>36</v>
      </c>
      <c r="B409" s="50" t="s">
        <v>826</v>
      </c>
      <c r="C409" s="51">
        <v>4000</v>
      </c>
      <c r="D409" s="52"/>
      <c r="E409" s="53"/>
    </row>
    <row r="410" spans="1:5">
      <c r="A410" s="48" t="s">
        <v>36</v>
      </c>
      <c r="B410" s="50" t="s">
        <v>827</v>
      </c>
      <c r="C410" s="51">
        <v>4000</v>
      </c>
      <c r="D410" s="52"/>
      <c r="E410" s="53"/>
    </row>
    <row r="411" spans="1:5">
      <c r="A411" s="48" t="s">
        <v>36</v>
      </c>
      <c r="B411" s="50" t="s">
        <v>828</v>
      </c>
      <c r="C411" s="51">
        <v>4000</v>
      </c>
      <c r="D411" s="52"/>
      <c r="E411" s="53">
        <v>0</v>
      </c>
    </row>
    <row r="412" spans="1:5">
      <c r="A412" s="48" t="s">
        <v>36</v>
      </c>
      <c r="B412" s="50" t="s">
        <v>829</v>
      </c>
      <c r="C412" s="51">
        <v>4000</v>
      </c>
      <c r="D412" s="52"/>
      <c r="E412" s="53"/>
    </row>
    <row r="413" spans="1:5">
      <c r="A413" s="48" t="s">
        <v>36</v>
      </c>
      <c r="B413" s="50" t="s">
        <v>830</v>
      </c>
      <c r="C413" s="51">
        <v>4000</v>
      </c>
      <c r="D413" s="52"/>
      <c r="E413" s="53">
        <v>3.0499999523162802</v>
      </c>
    </row>
    <row r="414" spans="1:5">
      <c r="A414" s="48" t="s">
        <v>36</v>
      </c>
      <c r="B414" s="50" t="s">
        <v>831</v>
      </c>
      <c r="C414" s="51">
        <v>4000</v>
      </c>
      <c r="D414" s="52"/>
      <c r="E414" s="53">
        <v>0</v>
      </c>
    </row>
    <row r="415" spans="1:5">
      <c r="A415" s="48" t="s">
        <v>36</v>
      </c>
      <c r="B415" s="50" t="s">
        <v>832</v>
      </c>
      <c r="C415" s="51">
        <v>4000</v>
      </c>
      <c r="D415" s="52"/>
      <c r="E415" s="53"/>
    </row>
    <row r="416" spans="1:5">
      <c r="A416" s="48" t="s">
        <v>36</v>
      </c>
      <c r="B416" s="50" t="s">
        <v>833</v>
      </c>
      <c r="C416" s="51">
        <v>4000</v>
      </c>
      <c r="D416" s="52"/>
      <c r="E416" s="53">
        <v>2.0600000381469701</v>
      </c>
    </row>
    <row r="417" spans="1:5">
      <c r="A417" s="48" t="s">
        <v>36</v>
      </c>
      <c r="B417" s="50" t="s">
        <v>834</v>
      </c>
      <c r="C417" s="51">
        <v>4000</v>
      </c>
      <c r="D417" s="52"/>
      <c r="E417" s="53">
        <v>0</v>
      </c>
    </row>
    <row r="418" spans="1:5">
      <c r="A418" s="48" t="s">
        <v>36</v>
      </c>
      <c r="B418" s="50" t="s">
        <v>835</v>
      </c>
      <c r="C418" s="51">
        <v>4000</v>
      </c>
      <c r="D418" s="52"/>
      <c r="E418" s="53"/>
    </row>
    <row r="419" spans="1:5">
      <c r="A419" s="48" t="s">
        <v>36</v>
      </c>
      <c r="B419" s="50" t="s">
        <v>836</v>
      </c>
      <c r="C419" s="51">
        <v>4000</v>
      </c>
      <c r="D419" s="52"/>
      <c r="E419" s="53"/>
    </row>
    <row r="420" spans="1:5">
      <c r="A420" s="48" t="s">
        <v>36</v>
      </c>
      <c r="B420" s="50" t="s">
        <v>837</v>
      </c>
      <c r="C420" s="51">
        <v>4000</v>
      </c>
      <c r="D420" s="52" t="s">
        <v>75</v>
      </c>
      <c r="E420" s="53"/>
    </row>
    <row r="421" spans="1:5">
      <c r="A421" s="48" t="s">
        <v>36</v>
      </c>
      <c r="B421" s="50" t="s">
        <v>838</v>
      </c>
      <c r="C421" s="51">
        <v>4000</v>
      </c>
      <c r="D421" s="52"/>
      <c r="E421" s="53"/>
    </row>
    <row r="422" spans="1:5">
      <c r="A422" s="48" t="s">
        <v>36</v>
      </c>
      <c r="B422" s="50" t="s">
        <v>839</v>
      </c>
      <c r="C422" s="51">
        <v>4000</v>
      </c>
      <c r="D422" s="52" t="s">
        <v>75</v>
      </c>
      <c r="E422" s="53"/>
    </row>
    <row r="423" spans="1:5">
      <c r="A423" s="48" t="s">
        <v>36</v>
      </c>
      <c r="B423" s="50" t="s">
        <v>840</v>
      </c>
      <c r="C423" s="51">
        <v>4000</v>
      </c>
      <c r="D423" s="52"/>
      <c r="E423" s="53"/>
    </row>
    <row r="424" spans="1:5">
      <c r="A424" s="48" t="s">
        <v>36</v>
      </c>
      <c r="B424" s="50" t="s">
        <v>841</v>
      </c>
      <c r="C424" s="51">
        <v>4000</v>
      </c>
      <c r="D424" s="52"/>
      <c r="E424" s="53">
        <v>7.1999998092651296</v>
      </c>
    </row>
    <row r="425" spans="1:5">
      <c r="A425" s="48" t="s">
        <v>36</v>
      </c>
      <c r="B425" s="50" t="s">
        <v>842</v>
      </c>
      <c r="C425" s="51">
        <v>4000</v>
      </c>
      <c r="D425" s="52"/>
      <c r="E425" s="53"/>
    </row>
    <row r="426" spans="1:5">
      <c r="A426" s="48" t="s">
        <v>36</v>
      </c>
      <c r="B426" s="50" t="s">
        <v>843</v>
      </c>
      <c r="C426" s="51">
        <v>4000</v>
      </c>
      <c r="D426" s="52" t="s">
        <v>75</v>
      </c>
      <c r="E426" s="53"/>
    </row>
    <row r="427" spans="1:5">
      <c r="A427" s="48" t="s">
        <v>36</v>
      </c>
      <c r="B427" s="50" t="s">
        <v>844</v>
      </c>
      <c r="C427" s="51">
        <v>4000</v>
      </c>
      <c r="D427" s="52"/>
      <c r="E427" s="53">
        <v>0</v>
      </c>
    </row>
    <row r="428" spans="1:5">
      <c r="A428" s="48" t="s">
        <v>36</v>
      </c>
      <c r="B428" s="50" t="s">
        <v>845</v>
      </c>
      <c r="C428" s="51">
        <v>4000</v>
      </c>
      <c r="D428" s="52"/>
      <c r="E428" s="53"/>
    </row>
    <row r="429" spans="1:5">
      <c r="A429" s="48" t="s">
        <v>36</v>
      </c>
      <c r="B429" s="50" t="s">
        <v>846</v>
      </c>
      <c r="C429" s="51">
        <v>4000</v>
      </c>
      <c r="D429" s="52"/>
      <c r="E429" s="53"/>
    </row>
    <row r="430" spans="1:5">
      <c r="A430" s="48" t="s">
        <v>36</v>
      </c>
      <c r="B430" s="50" t="s">
        <v>847</v>
      </c>
      <c r="C430" s="51">
        <v>4000</v>
      </c>
      <c r="D430" s="52" t="s">
        <v>351</v>
      </c>
      <c r="E430" s="53">
        <v>0</v>
      </c>
    </row>
    <row r="431" spans="1:5">
      <c r="A431" s="48" t="s">
        <v>36</v>
      </c>
      <c r="B431" s="50" t="s">
        <v>848</v>
      </c>
      <c r="C431" s="51">
        <v>4000</v>
      </c>
      <c r="D431" s="52"/>
      <c r="E431" s="53"/>
    </row>
    <row r="432" spans="1:5">
      <c r="A432" s="48" t="s">
        <v>36</v>
      </c>
      <c r="B432" s="50" t="s">
        <v>849</v>
      </c>
      <c r="C432" s="51">
        <v>4000</v>
      </c>
      <c r="D432" s="52"/>
      <c r="E432" s="53"/>
    </row>
    <row r="433" spans="1:5">
      <c r="A433" s="48" t="s">
        <v>36</v>
      </c>
      <c r="B433" s="50" t="s">
        <v>850</v>
      </c>
      <c r="C433" s="51">
        <v>4000</v>
      </c>
      <c r="D433" s="52"/>
      <c r="E433" s="53"/>
    </row>
    <row r="434" spans="1:5">
      <c r="A434" s="48" t="s">
        <v>36</v>
      </c>
      <c r="B434" s="50" t="s">
        <v>851</v>
      </c>
      <c r="C434" s="51">
        <v>4000</v>
      </c>
      <c r="D434" s="52"/>
      <c r="E434" s="53"/>
    </row>
    <row r="435" spans="1:5">
      <c r="A435" s="48" t="s">
        <v>36</v>
      </c>
      <c r="B435" s="50" t="s">
        <v>852</v>
      </c>
      <c r="C435" s="51">
        <v>4000</v>
      </c>
      <c r="D435" s="52"/>
      <c r="E435" s="53"/>
    </row>
    <row r="436" spans="1:5">
      <c r="A436" s="48" t="s">
        <v>36</v>
      </c>
      <c r="B436" s="50" t="s">
        <v>853</v>
      </c>
      <c r="C436" s="51">
        <v>4000</v>
      </c>
      <c r="D436" s="52" t="s">
        <v>75</v>
      </c>
      <c r="E436" s="53"/>
    </row>
    <row r="437" spans="1:5">
      <c r="A437" s="48" t="s">
        <v>36</v>
      </c>
      <c r="B437" s="50" t="s">
        <v>854</v>
      </c>
      <c r="C437" s="51">
        <v>4000</v>
      </c>
      <c r="D437" s="52"/>
      <c r="E437" s="53"/>
    </row>
    <row r="438" spans="1:5">
      <c r="A438" s="48" t="s">
        <v>36</v>
      </c>
      <c r="B438" s="50" t="s">
        <v>855</v>
      </c>
      <c r="C438" s="51">
        <v>4000</v>
      </c>
      <c r="D438" s="52" t="s">
        <v>75</v>
      </c>
      <c r="E438" s="53"/>
    </row>
    <row r="439" spans="1:5">
      <c r="A439" s="48" t="s">
        <v>36</v>
      </c>
      <c r="B439" s="50" t="s">
        <v>856</v>
      </c>
      <c r="C439" s="51">
        <v>4000</v>
      </c>
      <c r="D439" s="52"/>
      <c r="E439" s="53"/>
    </row>
    <row r="440" spans="1:5">
      <c r="A440" s="48" t="s">
        <v>36</v>
      </c>
      <c r="B440" s="50" t="s">
        <v>857</v>
      </c>
      <c r="C440" s="51">
        <v>4000</v>
      </c>
      <c r="D440" s="52"/>
      <c r="E440" s="53">
        <v>0</v>
      </c>
    </row>
    <row r="441" spans="1:5">
      <c r="A441" s="48" t="s">
        <v>36</v>
      </c>
      <c r="B441" s="50" t="s">
        <v>858</v>
      </c>
      <c r="C441" s="51">
        <v>4000</v>
      </c>
      <c r="D441" s="52"/>
      <c r="E441" s="53"/>
    </row>
    <row r="442" spans="1:5">
      <c r="A442" s="48" t="s">
        <v>36</v>
      </c>
      <c r="B442" s="50" t="s">
        <v>859</v>
      </c>
      <c r="C442" s="51">
        <v>4000</v>
      </c>
      <c r="D442" s="52"/>
      <c r="E442" s="53">
        <v>0</v>
      </c>
    </row>
    <row r="443" spans="1:5">
      <c r="A443" s="48" t="s">
        <v>36</v>
      </c>
      <c r="B443" s="50" t="s">
        <v>860</v>
      </c>
      <c r="C443" s="51">
        <v>4000</v>
      </c>
      <c r="D443" s="52"/>
      <c r="E443" s="53">
        <v>0</v>
      </c>
    </row>
    <row r="444" spans="1:5">
      <c r="A444" s="48" t="s">
        <v>36</v>
      </c>
      <c r="B444" s="50" t="s">
        <v>861</v>
      </c>
      <c r="C444" s="51">
        <v>4000</v>
      </c>
      <c r="D444" s="52"/>
      <c r="E444" s="53"/>
    </row>
    <row r="445" spans="1:5">
      <c r="A445" s="48" t="s">
        <v>36</v>
      </c>
      <c r="B445" s="50" t="s">
        <v>862</v>
      </c>
      <c r="C445" s="51">
        <v>4000</v>
      </c>
      <c r="D445" s="52"/>
      <c r="E445" s="53"/>
    </row>
    <row r="446" spans="1:5">
      <c r="A446" s="48" t="s">
        <v>36</v>
      </c>
      <c r="B446" s="50" t="s">
        <v>863</v>
      </c>
      <c r="C446" s="51">
        <v>4000</v>
      </c>
      <c r="D446" s="52"/>
      <c r="E446" s="53">
        <v>0.51999998092651301</v>
      </c>
    </row>
    <row r="447" spans="1:5">
      <c r="A447" s="48" t="s">
        <v>36</v>
      </c>
      <c r="B447" s="50" t="s">
        <v>864</v>
      </c>
      <c r="C447" s="51">
        <v>4000</v>
      </c>
      <c r="D447" s="52"/>
      <c r="E447" s="53">
        <v>0</v>
      </c>
    </row>
    <row r="448" spans="1:5">
      <c r="A448" s="48" t="s">
        <v>36</v>
      </c>
      <c r="B448" s="50" t="s">
        <v>865</v>
      </c>
      <c r="C448" s="51">
        <v>4000</v>
      </c>
      <c r="D448" s="52"/>
      <c r="E448" s="53">
        <v>0</v>
      </c>
    </row>
    <row r="449" spans="1:5">
      <c r="A449" s="48" t="s">
        <v>36</v>
      </c>
      <c r="B449" s="50" t="s">
        <v>866</v>
      </c>
      <c r="C449" s="51">
        <v>4000</v>
      </c>
      <c r="D449" s="52"/>
      <c r="E449" s="53">
        <v>0</v>
      </c>
    </row>
    <row r="450" spans="1:5">
      <c r="A450" s="48" t="s">
        <v>36</v>
      </c>
      <c r="B450" s="50" t="s">
        <v>867</v>
      </c>
      <c r="C450" s="51">
        <v>4000</v>
      </c>
      <c r="D450" s="52"/>
      <c r="E450" s="53">
        <v>1.4888888465033601</v>
      </c>
    </row>
    <row r="451" spans="1:5">
      <c r="A451" s="48" t="s">
        <v>36</v>
      </c>
      <c r="B451" s="50" t="s">
        <v>868</v>
      </c>
      <c r="C451" s="51">
        <v>4000</v>
      </c>
      <c r="D451" s="52"/>
      <c r="E451" s="53"/>
    </row>
    <row r="452" spans="1:5">
      <c r="A452" s="48" t="s">
        <v>36</v>
      </c>
      <c r="B452" s="50" t="s">
        <v>869</v>
      </c>
      <c r="C452" s="51">
        <v>4000</v>
      </c>
      <c r="D452" s="52"/>
      <c r="E452" s="53"/>
    </row>
    <row r="453" spans="1:5">
      <c r="A453" s="48" t="s">
        <v>36</v>
      </c>
      <c r="B453" s="50" t="s">
        <v>870</v>
      </c>
      <c r="C453" s="51">
        <v>4000</v>
      </c>
      <c r="D453" s="52"/>
      <c r="E453" s="53">
        <v>0</v>
      </c>
    </row>
    <row r="454" spans="1:5">
      <c r="A454" s="48" t="s">
        <v>36</v>
      </c>
      <c r="B454" s="50" t="s">
        <v>871</v>
      </c>
      <c r="C454" s="51">
        <v>4000</v>
      </c>
      <c r="D454" s="52"/>
      <c r="E454" s="53"/>
    </row>
    <row r="455" spans="1:5">
      <c r="A455" s="48" t="s">
        <v>36</v>
      </c>
      <c r="B455" s="50" t="s">
        <v>872</v>
      </c>
      <c r="C455" s="51">
        <v>4000</v>
      </c>
      <c r="D455" s="52" t="s">
        <v>75</v>
      </c>
      <c r="E455" s="53">
        <v>0.27500000596046398</v>
      </c>
    </row>
    <row r="456" spans="1:5">
      <c r="A456" s="48" t="s">
        <v>36</v>
      </c>
      <c r="B456" s="50" t="s">
        <v>873</v>
      </c>
      <c r="C456" s="51">
        <v>4000</v>
      </c>
      <c r="D456" s="52"/>
      <c r="E456" s="53"/>
    </row>
    <row r="457" spans="1:5">
      <c r="A457" s="48" t="s">
        <v>36</v>
      </c>
      <c r="B457" s="50" t="s">
        <v>874</v>
      </c>
      <c r="C457" s="51">
        <v>4000</v>
      </c>
      <c r="D457" s="52" t="s">
        <v>75</v>
      </c>
      <c r="E457" s="53"/>
    </row>
    <row r="458" spans="1:5">
      <c r="A458" s="48" t="s">
        <v>36</v>
      </c>
      <c r="B458" s="50" t="s">
        <v>875</v>
      </c>
      <c r="C458" s="51">
        <v>4000</v>
      </c>
      <c r="D458" s="52" t="s">
        <v>75</v>
      </c>
      <c r="E458" s="53"/>
    </row>
    <row r="459" spans="1:5">
      <c r="A459" s="48" t="s">
        <v>36</v>
      </c>
      <c r="B459" s="50" t="s">
        <v>876</v>
      </c>
      <c r="C459" s="51">
        <v>4000</v>
      </c>
      <c r="D459" s="52" t="s">
        <v>351</v>
      </c>
      <c r="E459" s="53"/>
    </row>
    <row r="460" spans="1:5">
      <c r="A460" s="48" t="s">
        <v>36</v>
      </c>
      <c r="B460" s="50" t="s">
        <v>877</v>
      </c>
      <c r="C460" s="51">
        <v>4000</v>
      </c>
      <c r="D460" s="52"/>
      <c r="E460" s="53"/>
    </row>
    <row r="461" spans="1:5">
      <c r="A461" s="48" t="s">
        <v>36</v>
      </c>
      <c r="B461" s="50" t="s">
        <v>878</v>
      </c>
      <c r="C461" s="51">
        <v>4000</v>
      </c>
      <c r="D461" s="52"/>
      <c r="E461" s="53"/>
    </row>
    <row r="462" spans="1:5">
      <c r="A462" s="48" t="s">
        <v>36</v>
      </c>
      <c r="B462" s="50" t="s">
        <v>879</v>
      </c>
      <c r="C462" s="51">
        <v>4000</v>
      </c>
      <c r="D462" s="52"/>
      <c r="E462" s="53">
        <v>0</v>
      </c>
    </row>
    <row r="463" spans="1:5">
      <c r="A463" s="48" t="s">
        <v>36</v>
      </c>
      <c r="B463" s="50" t="s">
        <v>880</v>
      </c>
      <c r="C463" s="51">
        <v>4000</v>
      </c>
      <c r="D463" s="52" t="s">
        <v>75</v>
      </c>
      <c r="E463" s="53"/>
    </row>
    <row r="464" spans="1:5">
      <c r="A464" s="48" t="s">
        <v>36</v>
      </c>
      <c r="B464" s="50" t="s">
        <v>881</v>
      </c>
      <c r="C464" s="51">
        <v>4000</v>
      </c>
      <c r="D464" s="52"/>
      <c r="E464" s="53">
        <v>0.69999998807907104</v>
      </c>
    </row>
    <row r="465" spans="1:5">
      <c r="A465" s="48" t="s">
        <v>36</v>
      </c>
      <c r="B465" s="50" t="s">
        <v>882</v>
      </c>
      <c r="C465" s="51">
        <v>4000</v>
      </c>
      <c r="D465" s="52"/>
      <c r="E465" s="53"/>
    </row>
    <row r="466" spans="1:5">
      <c r="A466" s="48" t="s">
        <v>36</v>
      </c>
      <c r="B466" s="50" t="s">
        <v>883</v>
      </c>
      <c r="C466" s="51">
        <v>4000</v>
      </c>
      <c r="D466" s="52"/>
      <c r="E466" s="53"/>
    </row>
    <row r="467" spans="1:5">
      <c r="A467" s="48" t="s">
        <v>36</v>
      </c>
      <c r="B467" s="50" t="s">
        <v>884</v>
      </c>
      <c r="C467" s="51">
        <v>4000</v>
      </c>
      <c r="D467" s="52"/>
      <c r="E467" s="53"/>
    </row>
    <row r="468" spans="1:5">
      <c r="A468" s="48" t="s">
        <v>36</v>
      </c>
      <c r="B468" s="50" t="s">
        <v>885</v>
      </c>
      <c r="C468" s="51">
        <v>4000</v>
      </c>
      <c r="D468" s="52"/>
      <c r="E468" s="53">
        <v>0</v>
      </c>
    </row>
    <row r="469" spans="1:5">
      <c r="A469" s="48" t="s">
        <v>36</v>
      </c>
      <c r="B469" s="50" t="s">
        <v>886</v>
      </c>
      <c r="C469" s="51">
        <v>4000</v>
      </c>
      <c r="D469" s="52"/>
      <c r="E469" s="53">
        <v>2.8363637057217601</v>
      </c>
    </row>
    <row r="470" spans="1:5">
      <c r="A470" s="48" t="s">
        <v>36</v>
      </c>
      <c r="B470" s="50" t="s">
        <v>887</v>
      </c>
      <c r="C470" s="51">
        <v>4000</v>
      </c>
      <c r="D470" s="52"/>
      <c r="E470" s="53"/>
    </row>
    <row r="471" spans="1:5">
      <c r="A471" s="48" t="s">
        <v>36</v>
      </c>
      <c r="B471" s="50" t="s">
        <v>888</v>
      </c>
      <c r="C471" s="51">
        <v>4000</v>
      </c>
      <c r="D471" s="52"/>
      <c r="E471" s="53"/>
    </row>
    <row r="472" spans="1:5">
      <c r="A472" s="48" t="s">
        <v>36</v>
      </c>
      <c r="B472" s="50" t="s">
        <v>889</v>
      </c>
      <c r="C472" s="51">
        <v>4000</v>
      </c>
      <c r="D472" s="52"/>
      <c r="E472" s="53">
        <v>0</v>
      </c>
    </row>
    <row r="473" spans="1:5">
      <c r="A473" s="48" t="s">
        <v>36</v>
      </c>
      <c r="B473" s="50" t="s">
        <v>890</v>
      </c>
      <c r="C473" s="51">
        <v>4000</v>
      </c>
      <c r="D473" s="52"/>
      <c r="E473" s="53">
        <v>0</v>
      </c>
    </row>
    <row r="474" spans="1:5">
      <c r="A474" s="48" t="s">
        <v>36</v>
      </c>
      <c r="B474" s="50" t="s">
        <v>891</v>
      </c>
      <c r="C474" s="51">
        <v>4000</v>
      </c>
      <c r="D474" s="52"/>
      <c r="E474" s="53"/>
    </row>
    <row r="475" spans="1:5">
      <c r="A475" s="48" t="s">
        <v>36</v>
      </c>
      <c r="B475" s="50" t="s">
        <v>892</v>
      </c>
      <c r="C475" s="51">
        <v>4000</v>
      </c>
      <c r="D475" s="52"/>
      <c r="E475" s="53">
        <v>0</v>
      </c>
    </row>
    <row r="476" spans="1:5">
      <c r="A476" s="48" t="s">
        <v>36</v>
      </c>
      <c r="B476" s="50" t="s">
        <v>893</v>
      </c>
      <c r="C476" s="51">
        <v>4000</v>
      </c>
      <c r="D476" s="52" t="s">
        <v>75</v>
      </c>
      <c r="E476" s="53"/>
    </row>
    <row r="477" spans="1:5">
      <c r="A477" s="48" t="s">
        <v>36</v>
      </c>
      <c r="B477" s="50" t="s">
        <v>894</v>
      </c>
      <c r="C477" s="51">
        <v>4000</v>
      </c>
      <c r="D477" s="52" t="s">
        <v>75</v>
      </c>
      <c r="E477" s="53">
        <v>0</v>
      </c>
    </row>
    <row r="478" spans="1:5">
      <c r="A478" s="48" t="s">
        <v>36</v>
      </c>
      <c r="B478" s="50" t="s">
        <v>895</v>
      </c>
      <c r="C478" s="51">
        <v>4000</v>
      </c>
      <c r="D478" s="52"/>
      <c r="E478" s="53"/>
    </row>
    <row r="479" spans="1:5">
      <c r="A479" s="48" t="s">
        <v>36</v>
      </c>
      <c r="B479" s="50" t="s">
        <v>896</v>
      </c>
      <c r="C479" s="51">
        <v>4000</v>
      </c>
      <c r="D479" s="52"/>
      <c r="E479" s="53"/>
    </row>
    <row r="480" spans="1:5">
      <c r="A480" s="48" t="s">
        <v>36</v>
      </c>
      <c r="B480" s="50" t="s">
        <v>897</v>
      </c>
      <c r="C480" s="51">
        <v>4000</v>
      </c>
      <c r="D480" s="52"/>
      <c r="E480" s="53"/>
    </row>
    <row r="481" spans="1:5">
      <c r="A481" s="48" t="s">
        <v>36</v>
      </c>
      <c r="B481" s="50" t="s">
        <v>898</v>
      </c>
      <c r="C481" s="51">
        <v>4000</v>
      </c>
      <c r="D481" s="52"/>
      <c r="E481" s="53">
        <v>0</v>
      </c>
    </row>
    <row r="482" spans="1:5">
      <c r="A482" s="48" t="s">
        <v>36</v>
      </c>
      <c r="B482" s="50" t="s">
        <v>899</v>
      </c>
      <c r="C482" s="51">
        <v>4000</v>
      </c>
      <c r="D482" s="52"/>
      <c r="E482" s="53">
        <v>0</v>
      </c>
    </row>
    <row r="483" spans="1:5">
      <c r="A483" s="48" t="s">
        <v>36</v>
      </c>
      <c r="B483" s="50" t="s">
        <v>900</v>
      </c>
      <c r="C483" s="51">
        <v>4000</v>
      </c>
      <c r="D483" s="52"/>
      <c r="E483" s="53">
        <v>0.29999999205271399</v>
      </c>
    </row>
    <row r="484" spans="1:5">
      <c r="A484" s="48" t="s">
        <v>36</v>
      </c>
      <c r="B484" s="50" t="s">
        <v>901</v>
      </c>
      <c r="C484" s="51">
        <v>4000</v>
      </c>
      <c r="D484" s="52" t="s">
        <v>351</v>
      </c>
      <c r="E484" s="53"/>
    </row>
    <row r="485" spans="1:5">
      <c r="A485" s="48" t="s">
        <v>36</v>
      </c>
      <c r="B485" s="50" t="s">
        <v>902</v>
      </c>
      <c r="C485" s="51">
        <v>4000</v>
      </c>
      <c r="D485" s="52"/>
      <c r="E485" s="53">
        <v>0.90000001589457101</v>
      </c>
    </row>
    <row r="486" spans="1:5">
      <c r="A486" s="48" t="s">
        <v>31</v>
      </c>
      <c r="B486" s="50" t="s">
        <v>32</v>
      </c>
      <c r="C486" s="51">
        <v>9600</v>
      </c>
      <c r="D486" s="52"/>
      <c r="E486" s="53">
        <v>19.505882711971498</v>
      </c>
    </row>
    <row r="487" spans="1:5">
      <c r="A487" s="48" t="s">
        <v>31</v>
      </c>
      <c r="B487" s="50" t="s">
        <v>478</v>
      </c>
      <c r="C487" s="51">
        <v>9300</v>
      </c>
      <c r="D487" s="52" t="s">
        <v>351</v>
      </c>
      <c r="E487" s="53">
        <v>19.5388895670572</v>
      </c>
    </row>
    <row r="488" spans="1:5">
      <c r="A488" s="48" t="s">
        <v>31</v>
      </c>
      <c r="B488" s="50" t="s">
        <v>33</v>
      </c>
      <c r="C488" s="51">
        <v>9100</v>
      </c>
      <c r="D488" s="52"/>
      <c r="E488" s="53">
        <v>13.295000076293899</v>
      </c>
    </row>
    <row r="489" spans="1:5">
      <c r="A489" s="48" t="s">
        <v>31</v>
      </c>
      <c r="B489" s="50" t="s">
        <v>479</v>
      </c>
      <c r="C489" s="51">
        <v>9000</v>
      </c>
      <c r="D489" s="52"/>
      <c r="E489" s="53">
        <v>16.819999694824201</v>
      </c>
    </row>
    <row r="490" spans="1:5">
      <c r="A490" s="48" t="s">
        <v>31</v>
      </c>
      <c r="B490" s="50" t="s">
        <v>95</v>
      </c>
      <c r="C490" s="51">
        <v>8900</v>
      </c>
      <c r="D490" s="52"/>
      <c r="E490" s="53">
        <v>16.6315789473684</v>
      </c>
    </row>
    <row r="491" spans="1:5">
      <c r="A491" s="48" t="s">
        <v>31</v>
      </c>
      <c r="B491" s="50" t="s">
        <v>35</v>
      </c>
      <c r="C491" s="51">
        <v>8400</v>
      </c>
      <c r="D491" s="52"/>
      <c r="E491" s="53">
        <v>15.2444441053602</v>
      </c>
    </row>
    <row r="492" spans="1:5">
      <c r="A492" s="48" t="s">
        <v>31</v>
      </c>
      <c r="B492" s="50" t="s">
        <v>97</v>
      </c>
      <c r="C492" s="51">
        <v>7900</v>
      </c>
      <c r="D492" s="52"/>
      <c r="E492" s="53">
        <v>14.421052631578901</v>
      </c>
    </row>
    <row r="493" spans="1:5">
      <c r="A493" s="48" t="s">
        <v>31</v>
      </c>
      <c r="B493" s="50" t="s">
        <v>93</v>
      </c>
      <c r="C493" s="51">
        <v>7500</v>
      </c>
      <c r="D493" s="52"/>
      <c r="E493" s="53">
        <v>12.5823525821461</v>
      </c>
    </row>
    <row r="494" spans="1:5">
      <c r="A494" s="48" t="s">
        <v>31</v>
      </c>
      <c r="B494" s="50" t="s">
        <v>43</v>
      </c>
      <c r="C494" s="51">
        <v>7200</v>
      </c>
      <c r="D494" s="52"/>
      <c r="E494" s="53">
        <v>11.1733337402343</v>
      </c>
    </row>
    <row r="495" spans="1:5">
      <c r="A495" s="48" t="s">
        <v>31</v>
      </c>
      <c r="B495" s="50" t="s">
        <v>13</v>
      </c>
      <c r="C495" s="51">
        <v>7100</v>
      </c>
      <c r="D495" s="52"/>
      <c r="E495" s="53">
        <v>13.816666497124499</v>
      </c>
    </row>
    <row r="496" spans="1:5">
      <c r="A496" s="48" t="s">
        <v>31</v>
      </c>
      <c r="B496" s="50" t="s">
        <v>92</v>
      </c>
      <c r="C496" s="51">
        <v>7000</v>
      </c>
      <c r="D496" s="52"/>
      <c r="E496" s="53">
        <v>10.7769235464242</v>
      </c>
    </row>
    <row r="497" spans="1:5">
      <c r="A497" s="48" t="s">
        <v>31</v>
      </c>
      <c r="B497" s="50" t="s">
        <v>42</v>
      </c>
      <c r="C497" s="51">
        <v>7000</v>
      </c>
      <c r="D497" s="52"/>
      <c r="E497" s="53">
        <v>11.737500190734799</v>
      </c>
    </row>
    <row r="498" spans="1:5">
      <c r="A498" s="48" t="s">
        <v>31</v>
      </c>
      <c r="B498" s="50" t="s">
        <v>98</v>
      </c>
      <c r="C498" s="51">
        <v>6900</v>
      </c>
      <c r="D498" s="52"/>
      <c r="E498" s="53">
        <v>12.024999618530201</v>
      </c>
    </row>
    <row r="499" spans="1:5">
      <c r="A499" s="48" t="s">
        <v>31</v>
      </c>
      <c r="B499" s="50" t="s">
        <v>94</v>
      </c>
      <c r="C499" s="51">
        <v>6900</v>
      </c>
      <c r="D499" s="52"/>
      <c r="E499" s="53">
        <v>14.029411764705801</v>
      </c>
    </row>
    <row r="500" spans="1:5">
      <c r="A500" s="48" t="s">
        <v>31</v>
      </c>
      <c r="B500" s="50" t="s">
        <v>480</v>
      </c>
      <c r="C500" s="51">
        <v>6800</v>
      </c>
      <c r="D500" s="52"/>
      <c r="E500" s="53">
        <v>12.278947529039799</v>
      </c>
    </row>
    <row r="501" spans="1:5">
      <c r="A501" s="48" t="s">
        <v>31</v>
      </c>
      <c r="B501" s="50" t="s">
        <v>109</v>
      </c>
      <c r="C501" s="51">
        <v>6800</v>
      </c>
      <c r="D501" s="52"/>
      <c r="E501" s="53">
        <v>8.9692306518554599</v>
      </c>
    </row>
    <row r="502" spans="1:5">
      <c r="A502" s="48" t="s">
        <v>31</v>
      </c>
      <c r="B502" s="50" t="s">
        <v>207</v>
      </c>
      <c r="C502" s="51">
        <v>6700</v>
      </c>
      <c r="D502" s="52"/>
      <c r="E502" s="53">
        <v>8.2282355813419095</v>
      </c>
    </row>
    <row r="503" spans="1:5">
      <c r="A503" s="48" t="s">
        <v>31</v>
      </c>
      <c r="B503" s="50" t="s">
        <v>481</v>
      </c>
      <c r="C503" s="51">
        <v>6700</v>
      </c>
      <c r="D503" s="52" t="s">
        <v>75</v>
      </c>
      <c r="E503" s="53">
        <v>17.2969231238731</v>
      </c>
    </row>
    <row r="504" spans="1:5">
      <c r="A504" s="48" t="s">
        <v>31</v>
      </c>
      <c r="B504" s="50" t="s">
        <v>204</v>
      </c>
      <c r="C504" s="51">
        <v>6600</v>
      </c>
      <c r="D504" s="52"/>
      <c r="E504" s="53">
        <v>12.431249618530201</v>
      </c>
    </row>
    <row r="505" spans="1:5">
      <c r="A505" s="48" t="s">
        <v>31</v>
      </c>
      <c r="B505" s="50" t="s">
        <v>482</v>
      </c>
      <c r="C505" s="51">
        <v>6600</v>
      </c>
      <c r="D505" s="52"/>
      <c r="E505" s="53"/>
    </row>
    <row r="506" spans="1:5">
      <c r="A506" s="48" t="s">
        <v>31</v>
      </c>
      <c r="B506" s="50" t="s">
        <v>44</v>
      </c>
      <c r="C506" s="51">
        <v>6500</v>
      </c>
      <c r="D506" s="52"/>
      <c r="E506" s="53">
        <v>12.231249809265099</v>
      </c>
    </row>
    <row r="507" spans="1:5">
      <c r="A507" s="48" t="s">
        <v>31</v>
      </c>
      <c r="B507" s="50" t="s">
        <v>483</v>
      </c>
      <c r="C507" s="51">
        <v>6500</v>
      </c>
      <c r="D507" s="52"/>
      <c r="E507" s="53">
        <v>10.2388890584309</v>
      </c>
    </row>
    <row r="508" spans="1:5">
      <c r="A508" s="48" t="s">
        <v>31</v>
      </c>
      <c r="B508" s="50" t="s">
        <v>212</v>
      </c>
      <c r="C508" s="51">
        <v>6400</v>
      </c>
      <c r="D508" s="52"/>
      <c r="E508" s="53">
        <v>14.15</v>
      </c>
    </row>
    <row r="509" spans="1:5">
      <c r="A509" s="48" t="s">
        <v>31</v>
      </c>
      <c r="B509" s="50" t="s">
        <v>484</v>
      </c>
      <c r="C509" s="51">
        <v>6300</v>
      </c>
      <c r="D509" s="52"/>
      <c r="E509" s="53"/>
    </row>
    <row r="510" spans="1:5">
      <c r="A510" s="48" t="s">
        <v>31</v>
      </c>
      <c r="B510" s="50" t="s">
        <v>111</v>
      </c>
      <c r="C510" s="51">
        <v>6200</v>
      </c>
      <c r="D510" s="52"/>
      <c r="E510" s="53">
        <v>9.9823527616612999</v>
      </c>
    </row>
    <row r="511" spans="1:5">
      <c r="A511" s="48" t="s">
        <v>31</v>
      </c>
      <c r="B511" s="50" t="s">
        <v>108</v>
      </c>
      <c r="C511" s="51">
        <v>6200</v>
      </c>
      <c r="D511" s="52"/>
      <c r="E511" s="53">
        <v>11.288234935087299</v>
      </c>
    </row>
    <row r="512" spans="1:5">
      <c r="A512" s="48" t="s">
        <v>31</v>
      </c>
      <c r="B512" s="50" t="s">
        <v>485</v>
      </c>
      <c r="C512" s="51">
        <v>6100</v>
      </c>
      <c r="D512" s="52"/>
      <c r="E512" s="53">
        <v>8.6812496185302699</v>
      </c>
    </row>
    <row r="513" spans="1:5">
      <c r="A513" s="48" t="s">
        <v>31</v>
      </c>
      <c r="B513" s="50" t="s">
        <v>206</v>
      </c>
      <c r="C513" s="51">
        <v>6100</v>
      </c>
      <c r="D513" s="52"/>
      <c r="E513" s="53">
        <v>10.1466668446858</v>
      </c>
    </row>
    <row r="514" spans="1:5">
      <c r="A514" s="48" t="s">
        <v>31</v>
      </c>
      <c r="B514" s="50" t="s">
        <v>205</v>
      </c>
      <c r="C514" s="51">
        <v>6000</v>
      </c>
      <c r="D514" s="52" t="s">
        <v>75</v>
      </c>
      <c r="E514" s="53">
        <v>9.5823525821461395</v>
      </c>
    </row>
    <row r="515" spans="1:5">
      <c r="A515" s="48" t="s">
        <v>31</v>
      </c>
      <c r="B515" s="50" t="s">
        <v>486</v>
      </c>
      <c r="C515" s="51">
        <v>6000</v>
      </c>
      <c r="D515" s="52"/>
      <c r="E515" s="53"/>
    </row>
    <row r="516" spans="1:5">
      <c r="A516" s="48" t="s">
        <v>31</v>
      </c>
      <c r="B516" s="50" t="s">
        <v>487</v>
      </c>
      <c r="C516" s="51">
        <v>5900</v>
      </c>
      <c r="D516" s="52" t="s">
        <v>75</v>
      </c>
      <c r="E516" s="53">
        <v>10.9470591825597</v>
      </c>
    </row>
    <row r="517" spans="1:5">
      <c r="A517" s="48" t="s">
        <v>31</v>
      </c>
      <c r="B517" s="50" t="s">
        <v>221</v>
      </c>
      <c r="C517" s="51">
        <v>5800</v>
      </c>
      <c r="D517" s="52"/>
      <c r="E517" s="53">
        <v>6.3600001017252596</v>
      </c>
    </row>
    <row r="518" spans="1:5">
      <c r="A518" s="48" t="s">
        <v>31</v>
      </c>
      <c r="B518" s="50" t="s">
        <v>488</v>
      </c>
      <c r="C518" s="51">
        <v>5800</v>
      </c>
      <c r="D518" s="52"/>
      <c r="E518" s="53"/>
    </row>
    <row r="519" spans="1:5">
      <c r="A519" s="48" t="s">
        <v>31</v>
      </c>
      <c r="B519" s="50" t="s">
        <v>202</v>
      </c>
      <c r="C519" s="51">
        <v>5700</v>
      </c>
      <c r="D519" s="52" t="s">
        <v>75</v>
      </c>
      <c r="E519" s="53">
        <v>10.9588237089269</v>
      </c>
    </row>
    <row r="520" spans="1:5">
      <c r="A520" s="48" t="s">
        <v>31</v>
      </c>
      <c r="B520" s="50" t="s">
        <v>489</v>
      </c>
      <c r="C520" s="51">
        <v>5700</v>
      </c>
      <c r="D520" s="52"/>
      <c r="E520" s="53">
        <v>7.1750001907348597</v>
      </c>
    </row>
    <row r="521" spans="1:5">
      <c r="A521" s="48" t="s">
        <v>31</v>
      </c>
      <c r="B521" s="50" t="s">
        <v>208</v>
      </c>
      <c r="C521" s="51">
        <v>5600</v>
      </c>
      <c r="D521" s="52"/>
      <c r="E521" s="53">
        <v>9.7999998393811598</v>
      </c>
    </row>
    <row r="522" spans="1:5">
      <c r="A522" s="48" t="s">
        <v>31</v>
      </c>
      <c r="B522" s="50" t="s">
        <v>490</v>
      </c>
      <c r="C522" s="51">
        <v>5600</v>
      </c>
      <c r="D522" s="52"/>
      <c r="E522" s="53">
        <v>10</v>
      </c>
    </row>
    <row r="523" spans="1:5">
      <c r="A523" s="48" t="s">
        <v>31</v>
      </c>
      <c r="B523" s="50" t="s">
        <v>491</v>
      </c>
      <c r="C523" s="51">
        <v>5500</v>
      </c>
      <c r="D523" s="52"/>
      <c r="E523" s="53">
        <v>10.043749809265099</v>
      </c>
    </row>
    <row r="524" spans="1:5">
      <c r="A524" s="48" t="s">
        <v>31</v>
      </c>
      <c r="B524" s="50" t="s">
        <v>492</v>
      </c>
      <c r="C524" s="51">
        <v>5500</v>
      </c>
      <c r="D524" s="52"/>
      <c r="E524" s="53"/>
    </row>
    <row r="525" spans="1:5">
      <c r="A525" s="48" t="s">
        <v>31</v>
      </c>
      <c r="B525" s="50" t="s">
        <v>219</v>
      </c>
      <c r="C525" s="51">
        <v>5500</v>
      </c>
      <c r="D525" s="52" t="s">
        <v>75</v>
      </c>
      <c r="E525" s="53">
        <v>7.24117638083065</v>
      </c>
    </row>
    <row r="526" spans="1:5">
      <c r="A526" s="48" t="s">
        <v>31</v>
      </c>
      <c r="B526" s="50" t="s">
        <v>493</v>
      </c>
      <c r="C526" s="51">
        <v>5400</v>
      </c>
      <c r="D526" s="52"/>
      <c r="E526" s="53">
        <v>6.5611110263400603</v>
      </c>
    </row>
    <row r="527" spans="1:5">
      <c r="A527" s="48" t="s">
        <v>31</v>
      </c>
      <c r="B527" s="50" t="s">
        <v>99</v>
      </c>
      <c r="C527" s="51">
        <v>5400</v>
      </c>
      <c r="D527" s="52"/>
      <c r="E527" s="53">
        <v>10.558823529411701</v>
      </c>
    </row>
    <row r="528" spans="1:5">
      <c r="A528" s="48" t="s">
        <v>31</v>
      </c>
      <c r="B528" s="50" t="s">
        <v>494</v>
      </c>
      <c r="C528" s="51">
        <v>5300</v>
      </c>
      <c r="D528" s="52"/>
      <c r="E528" s="53"/>
    </row>
    <row r="529" spans="1:5">
      <c r="A529" s="48" t="s">
        <v>31</v>
      </c>
      <c r="B529" s="50" t="s">
        <v>495</v>
      </c>
      <c r="C529" s="51">
        <v>5300</v>
      </c>
      <c r="D529" s="52"/>
      <c r="E529" s="53">
        <v>9.0882352941176396</v>
      </c>
    </row>
    <row r="530" spans="1:5">
      <c r="A530" s="48" t="s">
        <v>31</v>
      </c>
      <c r="B530" s="50" t="s">
        <v>226</v>
      </c>
      <c r="C530" s="51">
        <v>5200</v>
      </c>
      <c r="D530" s="52"/>
      <c r="E530" s="53">
        <v>8.8400004069010407</v>
      </c>
    </row>
    <row r="531" spans="1:5">
      <c r="A531" s="48" t="s">
        <v>31</v>
      </c>
      <c r="B531" s="50" t="s">
        <v>243</v>
      </c>
      <c r="C531" s="51">
        <v>5200</v>
      </c>
      <c r="D531" s="52"/>
      <c r="E531" s="53">
        <v>6.9588237089269303</v>
      </c>
    </row>
    <row r="532" spans="1:5">
      <c r="A532" s="48" t="s">
        <v>31</v>
      </c>
      <c r="B532" s="50" t="s">
        <v>210</v>
      </c>
      <c r="C532" s="51">
        <v>5200</v>
      </c>
      <c r="D532" s="52"/>
      <c r="E532" s="53">
        <v>7.4235292322495399</v>
      </c>
    </row>
    <row r="533" spans="1:5">
      <c r="A533" s="48" t="s">
        <v>31</v>
      </c>
      <c r="B533" s="50" t="s">
        <v>201</v>
      </c>
      <c r="C533" s="51">
        <v>5100</v>
      </c>
      <c r="D533" s="52"/>
      <c r="E533" s="53">
        <v>11.4425001144409</v>
      </c>
    </row>
    <row r="534" spans="1:5">
      <c r="A534" s="48" t="s">
        <v>31</v>
      </c>
      <c r="B534" s="50" t="s">
        <v>496</v>
      </c>
      <c r="C534" s="51">
        <v>5100</v>
      </c>
      <c r="D534" s="52"/>
      <c r="E534" s="53"/>
    </row>
    <row r="535" spans="1:5">
      <c r="A535" s="48" t="s">
        <v>31</v>
      </c>
      <c r="B535" s="50" t="s">
        <v>235</v>
      </c>
      <c r="C535" s="51">
        <v>5100</v>
      </c>
      <c r="D535" s="52"/>
      <c r="E535" s="53">
        <v>4.6705883250516997</v>
      </c>
    </row>
    <row r="536" spans="1:5">
      <c r="A536" s="48" t="s">
        <v>31</v>
      </c>
      <c r="B536" s="50" t="s">
        <v>497</v>
      </c>
      <c r="C536" s="51">
        <v>5000</v>
      </c>
      <c r="D536" s="52" t="s">
        <v>75</v>
      </c>
      <c r="E536" s="53"/>
    </row>
    <row r="537" spans="1:5">
      <c r="A537" s="48" t="s">
        <v>31</v>
      </c>
      <c r="B537" s="50" t="s">
        <v>253</v>
      </c>
      <c r="C537" s="51">
        <v>5000</v>
      </c>
      <c r="D537" s="52"/>
      <c r="E537" s="53">
        <v>2.2357142312186098</v>
      </c>
    </row>
    <row r="538" spans="1:5">
      <c r="A538" s="48" t="s">
        <v>31</v>
      </c>
      <c r="B538" s="50" t="s">
        <v>498</v>
      </c>
      <c r="C538" s="51">
        <v>5000</v>
      </c>
      <c r="D538" s="52"/>
      <c r="E538" s="53"/>
    </row>
    <row r="539" spans="1:5">
      <c r="A539" s="48" t="s">
        <v>31</v>
      </c>
      <c r="B539" s="50" t="s">
        <v>499</v>
      </c>
      <c r="C539" s="51">
        <v>5000</v>
      </c>
      <c r="D539" s="52"/>
      <c r="E539" s="53">
        <v>8.7699996948242092</v>
      </c>
    </row>
    <row r="540" spans="1:5">
      <c r="A540" s="48" t="s">
        <v>31</v>
      </c>
      <c r="B540" s="50" t="s">
        <v>500</v>
      </c>
      <c r="C540" s="51">
        <v>4900</v>
      </c>
      <c r="D540" s="52" t="s">
        <v>476</v>
      </c>
      <c r="E540" s="53">
        <v>5.9625000953674299</v>
      </c>
    </row>
    <row r="541" spans="1:5">
      <c r="A541" s="48" t="s">
        <v>31</v>
      </c>
      <c r="B541" s="50" t="s">
        <v>237</v>
      </c>
      <c r="C541" s="51">
        <v>4900</v>
      </c>
      <c r="D541" s="52"/>
      <c r="E541" s="53">
        <v>4.7000000897575802</v>
      </c>
    </row>
    <row r="542" spans="1:5">
      <c r="A542" s="48" t="s">
        <v>31</v>
      </c>
      <c r="B542" s="50" t="s">
        <v>501</v>
      </c>
      <c r="C542" s="51">
        <v>4900</v>
      </c>
      <c r="D542" s="52"/>
      <c r="E542" s="53"/>
    </row>
    <row r="543" spans="1:5">
      <c r="A543" s="48" t="s">
        <v>31</v>
      </c>
      <c r="B543" s="50" t="s">
        <v>502</v>
      </c>
      <c r="C543" s="51">
        <v>4900</v>
      </c>
      <c r="D543" s="52"/>
      <c r="E543" s="53"/>
    </row>
    <row r="544" spans="1:5">
      <c r="A544" s="48" t="s">
        <v>31</v>
      </c>
      <c r="B544" s="50" t="s">
        <v>503</v>
      </c>
      <c r="C544" s="51">
        <v>4900</v>
      </c>
      <c r="D544" s="52"/>
      <c r="E544" s="53">
        <v>3.4400001525878898</v>
      </c>
    </row>
    <row r="545" spans="1:5">
      <c r="A545" s="48" t="s">
        <v>31</v>
      </c>
      <c r="B545" s="50" t="s">
        <v>211</v>
      </c>
      <c r="C545" s="51">
        <v>4900</v>
      </c>
      <c r="D545" s="52"/>
      <c r="E545" s="53">
        <v>6.6058825324563397</v>
      </c>
    </row>
    <row r="546" spans="1:5">
      <c r="A546" s="48" t="s">
        <v>31</v>
      </c>
      <c r="B546" s="50" t="s">
        <v>504</v>
      </c>
      <c r="C546" s="51">
        <v>4900</v>
      </c>
      <c r="D546" s="52"/>
      <c r="E546" s="53">
        <v>4.4117647058823497</v>
      </c>
    </row>
    <row r="547" spans="1:5">
      <c r="A547" s="48" t="s">
        <v>31</v>
      </c>
      <c r="B547" s="50" t="s">
        <v>216</v>
      </c>
      <c r="C547" s="51">
        <v>4800</v>
      </c>
      <c r="D547" s="52"/>
      <c r="E547" s="53">
        <v>4.5285715375627698</v>
      </c>
    </row>
    <row r="548" spans="1:5">
      <c r="A548" s="48" t="s">
        <v>31</v>
      </c>
      <c r="B548" s="50" t="s">
        <v>505</v>
      </c>
      <c r="C548" s="51">
        <v>4800</v>
      </c>
      <c r="D548" s="52"/>
      <c r="E548" s="53"/>
    </row>
    <row r="549" spans="1:5">
      <c r="A549" s="48" t="s">
        <v>31</v>
      </c>
      <c r="B549" s="50" t="s">
        <v>224</v>
      </c>
      <c r="C549" s="51">
        <v>4800</v>
      </c>
      <c r="D549" s="52"/>
      <c r="E549" s="53">
        <v>6.8799997965494697</v>
      </c>
    </row>
    <row r="550" spans="1:5">
      <c r="A550" s="48" t="s">
        <v>31</v>
      </c>
      <c r="B550" s="50" t="s">
        <v>506</v>
      </c>
      <c r="C550" s="51">
        <v>4800</v>
      </c>
      <c r="D550" s="52" t="s">
        <v>75</v>
      </c>
      <c r="E550" s="53">
        <v>6.5333333333333297</v>
      </c>
    </row>
    <row r="551" spans="1:5">
      <c r="A551" s="48" t="s">
        <v>31</v>
      </c>
      <c r="B551" s="50" t="s">
        <v>507</v>
      </c>
      <c r="C551" s="51">
        <v>4800</v>
      </c>
      <c r="D551" s="52"/>
      <c r="E551" s="53">
        <v>3.7538460951585</v>
      </c>
    </row>
    <row r="552" spans="1:5">
      <c r="A552" s="48" t="s">
        <v>31</v>
      </c>
      <c r="B552" s="50" t="s">
        <v>203</v>
      </c>
      <c r="C552" s="51">
        <v>4800</v>
      </c>
      <c r="D552" s="52"/>
      <c r="E552" s="53">
        <v>6.9473684210526301</v>
      </c>
    </row>
    <row r="553" spans="1:5">
      <c r="A553" s="48" t="s">
        <v>31</v>
      </c>
      <c r="B553" s="50" t="s">
        <v>508</v>
      </c>
      <c r="C553" s="51">
        <v>4800</v>
      </c>
      <c r="D553" s="52"/>
      <c r="E553" s="53"/>
    </row>
    <row r="554" spans="1:5">
      <c r="A554" s="48" t="s">
        <v>31</v>
      </c>
      <c r="B554" s="50" t="s">
        <v>509</v>
      </c>
      <c r="C554" s="51">
        <v>4700</v>
      </c>
      <c r="D554" s="52"/>
      <c r="E554" s="53">
        <v>3.1866666158040302</v>
      </c>
    </row>
    <row r="555" spans="1:5">
      <c r="A555" s="48" t="s">
        <v>31</v>
      </c>
      <c r="B555" s="50" t="s">
        <v>510</v>
      </c>
      <c r="C555" s="51">
        <v>4700</v>
      </c>
      <c r="D555" s="52"/>
      <c r="E555" s="53">
        <v>5.4615384615384599</v>
      </c>
    </row>
    <row r="556" spans="1:5">
      <c r="A556" s="48" t="s">
        <v>31</v>
      </c>
      <c r="B556" s="50" t="s">
        <v>511</v>
      </c>
      <c r="C556" s="51">
        <v>4700</v>
      </c>
      <c r="D556" s="52"/>
      <c r="E556" s="53">
        <v>6.8799997965494697</v>
      </c>
    </row>
    <row r="557" spans="1:5">
      <c r="A557" s="48" t="s">
        <v>31</v>
      </c>
      <c r="B557" s="50" t="s">
        <v>215</v>
      </c>
      <c r="C557" s="51">
        <v>4600</v>
      </c>
      <c r="D557" s="52" t="s">
        <v>351</v>
      </c>
      <c r="E557" s="53">
        <v>6.1099998474120998</v>
      </c>
    </row>
    <row r="558" spans="1:5">
      <c r="A558" s="48" t="s">
        <v>31</v>
      </c>
      <c r="B558" s="50" t="s">
        <v>209</v>
      </c>
      <c r="C558" s="51">
        <v>4600</v>
      </c>
      <c r="D558" s="52"/>
      <c r="E558" s="53">
        <v>6</v>
      </c>
    </row>
    <row r="559" spans="1:5">
      <c r="A559" s="48" t="s">
        <v>31</v>
      </c>
      <c r="B559" s="50" t="s">
        <v>512</v>
      </c>
      <c r="C559" s="51">
        <v>4600</v>
      </c>
      <c r="D559" s="52"/>
      <c r="E559" s="53">
        <v>3.0882352941176401</v>
      </c>
    </row>
    <row r="560" spans="1:5">
      <c r="A560" s="48" t="s">
        <v>31</v>
      </c>
      <c r="B560" s="50" t="s">
        <v>513</v>
      </c>
      <c r="C560" s="51">
        <v>4500</v>
      </c>
      <c r="D560" s="52"/>
      <c r="E560" s="53"/>
    </row>
    <row r="561" spans="1:5">
      <c r="A561" s="48" t="s">
        <v>31</v>
      </c>
      <c r="B561" s="50" t="s">
        <v>236</v>
      </c>
      <c r="C561" s="51">
        <v>4500</v>
      </c>
      <c r="D561" s="52" t="s">
        <v>75</v>
      </c>
      <c r="E561" s="53">
        <v>4.9157895539936201</v>
      </c>
    </row>
    <row r="562" spans="1:5">
      <c r="A562" s="48" t="s">
        <v>31</v>
      </c>
      <c r="B562" s="50" t="s">
        <v>220</v>
      </c>
      <c r="C562" s="51">
        <v>4500</v>
      </c>
      <c r="D562" s="52"/>
      <c r="E562" s="53">
        <v>6.1647060618680998</v>
      </c>
    </row>
    <row r="563" spans="1:5">
      <c r="A563" s="48" t="s">
        <v>31</v>
      </c>
      <c r="B563" s="50" t="s">
        <v>225</v>
      </c>
      <c r="C563" s="51">
        <v>4500</v>
      </c>
      <c r="D563" s="52"/>
      <c r="E563" s="53">
        <v>4.5</v>
      </c>
    </row>
    <row r="564" spans="1:5">
      <c r="A564" s="48" t="s">
        <v>31</v>
      </c>
      <c r="B564" s="50" t="s">
        <v>514</v>
      </c>
      <c r="C564" s="51">
        <v>4500</v>
      </c>
      <c r="D564" s="52"/>
      <c r="E564" s="53">
        <v>4.4499999455043202</v>
      </c>
    </row>
    <row r="565" spans="1:5">
      <c r="A565" s="48" t="s">
        <v>31</v>
      </c>
      <c r="B565" s="50" t="s">
        <v>515</v>
      </c>
      <c r="C565" s="51">
        <v>4500</v>
      </c>
      <c r="D565" s="52"/>
      <c r="E565" s="53">
        <v>2.8428570883614599</v>
      </c>
    </row>
    <row r="566" spans="1:5">
      <c r="A566" s="48" t="s">
        <v>31</v>
      </c>
      <c r="B566" s="50" t="s">
        <v>228</v>
      </c>
      <c r="C566" s="51">
        <v>4500</v>
      </c>
      <c r="D566" s="52"/>
      <c r="E566" s="53">
        <v>6.8214285714285703</v>
      </c>
    </row>
    <row r="567" spans="1:5">
      <c r="A567" s="48" t="s">
        <v>31</v>
      </c>
      <c r="B567" s="50" t="s">
        <v>516</v>
      </c>
      <c r="C567" s="51">
        <v>4500</v>
      </c>
      <c r="D567" s="52"/>
      <c r="E567" s="53">
        <v>3.1899999618530201</v>
      </c>
    </row>
    <row r="568" spans="1:5">
      <c r="A568" s="48" t="s">
        <v>31</v>
      </c>
      <c r="B568" s="50" t="s">
        <v>250</v>
      </c>
      <c r="C568" s="51">
        <v>4500</v>
      </c>
      <c r="D568" s="52"/>
      <c r="E568" s="53">
        <v>1.65</v>
      </c>
    </row>
    <row r="569" spans="1:5">
      <c r="A569" s="48" t="s">
        <v>31</v>
      </c>
      <c r="B569" s="50" t="s">
        <v>256</v>
      </c>
      <c r="C569" s="51">
        <v>4400</v>
      </c>
      <c r="D569" s="52"/>
      <c r="E569" s="53">
        <v>2.1076922783484799</v>
      </c>
    </row>
    <row r="570" spans="1:5">
      <c r="A570" s="48" t="s">
        <v>31</v>
      </c>
      <c r="B570" s="50" t="s">
        <v>517</v>
      </c>
      <c r="C570" s="51">
        <v>4400</v>
      </c>
      <c r="D570" s="52"/>
      <c r="E570" s="53">
        <v>3.9000000953674299</v>
      </c>
    </row>
    <row r="571" spans="1:5">
      <c r="A571" s="48" t="s">
        <v>31</v>
      </c>
      <c r="B571" s="50" t="s">
        <v>260</v>
      </c>
      <c r="C571" s="51">
        <v>4400</v>
      </c>
      <c r="D571" s="52"/>
      <c r="E571" s="53">
        <v>2.86666679382324</v>
      </c>
    </row>
    <row r="572" spans="1:5">
      <c r="A572" s="48" t="s">
        <v>31</v>
      </c>
      <c r="B572" s="50" t="s">
        <v>518</v>
      </c>
      <c r="C572" s="51">
        <v>4400</v>
      </c>
      <c r="D572" s="52"/>
      <c r="E572" s="53">
        <v>0.70000002934382499</v>
      </c>
    </row>
    <row r="573" spans="1:5">
      <c r="A573" s="48" t="s">
        <v>31</v>
      </c>
      <c r="B573" s="50" t="s">
        <v>222</v>
      </c>
      <c r="C573" s="51">
        <v>4400</v>
      </c>
      <c r="D573" s="52"/>
      <c r="E573" s="53">
        <v>4.1749998728434203</v>
      </c>
    </row>
    <row r="574" spans="1:5">
      <c r="A574" s="48" t="s">
        <v>31</v>
      </c>
      <c r="B574" s="50" t="s">
        <v>240</v>
      </c>
      <c r="C574" s="51">
        <v>4400</v>
      </c>
      <c r="D574" s="52"/>
      <c r="E574" s="53">
        <v>4.2199999491373701</v>
      </c>
    </row>
    <row r="575" spans="1:5">
      <c r="A575" s="48" t="s">
        <v>31</v>
      </c>
      <c r="B575" s="50" t="s">
        <v>259</v>
      </c>
      <c r="C575" s="51">
        <v>4300</v>
      </c>
      <c r="D575" s="52"/>
      <c r="E575" s="53">
        <v>1.7400000254313099</v>
      </c>
    </row>
    <row r="576" spans="1:5">
      <c r="A576" s="48" t="s">
        <v>31</v>
      </c>
      <c r="B576" s="50" t="s">
        <v>519</v>
      </c>
      <c r="C576" s="51">
        <v>4300</v>
      </c>
      <c r="D576" s="52"/>
      <c r="E576" s="53"/>
    </row>
    <row r="577" spans="1:5">
      <c r="A577" s="48" t="s">
        <v>31</v>
      </c>
      <c r="B577" s="50" t="s">
        <v>520</v>
      </c>
      <c r="C577" s="51">
        <v>4300</v>
      </c>
      <c r="D577" s="52"/>
      <c r="E577" s="53">
        <v>3.5357142857142798</v>
      </c>
    </row>
    <row r="578" spans="1:5">
      <c r="A578" s="48" t="s">
        <v>31</v>
      </c>
      <c r="B578" s="50" t="s">
        <v>233</v>
      </c>
      <c r="C578" s="51">
        <v>4300</v>
      </c>
      <c r="D578" s="52"/>
      <c r="E578" s="53">
        <v>3.0941175573012401</v>
      </c>
    </row>
    <row r="579" spans="1:5">
      <c r="A579" s="48" t="s">
        <v>31</v>
      </c>
      <c r="B579" s="50" t="s">
        <v>263</v>
      </c>
      <c r="C579" s="51">
        <v>4300</v>
      </c>
      <c r="D579" s="52"/>
      <c r="E579" s="53">
        <v>4.7888887193467804</v>
      </c>
    </row>
    <row r="580" spans="1:5">
      <c r="A580" s="48" t="s">
        <v>31</v>
      </c>
      <c r="B580" s="50" t="s">
        <v>521</v>
      </c>
      <c r="C580" s="51">
        <v>4300</v>
      </c>
      <c r="D580" s="52"/>
      <c r="E580" s="53">
        <v>3.73125004768371</v>
      </c>
    </row>
    <row r="581" spans="1:5">
      <c r="A581" s="48" t="s">
        <v>31</v>
      </c>
      <c r="B581" s="50" t="s">
        <v>248</v>
      </c>
      <c r="C581" s="51">
        <v>4300</v>
      </c>
      <c r="D581" s="52"/>
      <c r="E581" s="53">
        <v>2.32307698176457</v>
      </c>
    </row>
    <row r="582" spans="1:5">
      <c r="A582" s="48" t="s">
        <v>31</v>
      </c>
      <c r="B582" s="50" t="s">
        <v>522</v>
      </c>
      <c r="C582" s="51">
        <v>4300</v>
      </c>
      <c r="D582" s="52"/>
      <c r="E582" s="53">
        <v>3.35625004768371</v>
      </c>
    </row>
    <row r="583" spans="1:5">
      <c r="A583" s="48" t="s">
        <v>31</v>
      </c>
      <c r="B583" s="50" t="s">
        <v>254</v>
      </c>
      <c r="C583" s="51">
        <v>4300</v>
      </c>
      <c r="D583" s="52"/>
      <c r="E583" s="53">
        <v>5.31666660308837</v>
      </c>
    </row>
    <row r="584" spans="1:5">
      <c r="A584" s="48" t="s">
        <v>31</v>
      </c>
      <c r="B584" s="50" t="s">
        <v>523</v>
      </c>
      <c r="C584" s="51">
        <v>4200</v>
      </c>
      <c r="D584" s="52"/>
      <c r="E584" s="53"/>
    </row>
    <row r="585" spans="1:5">
      <c r="A585" s="48" t="s">
        <v>31</v>
      </c>
      <c r="B585" s="50" t="s">
        <v>524</v>
      </c>
      <c r="C585" s="51">
        <v>4200</v>
      </c>
      <c r="D585" s="52"/>
      <c r="E585" s="53">
        <v>7.4117647058823497</v>
      </c>
    </row>
    <row r="586" spans="1:5">
      <c r="A586" s="48" t="s">
        <v>31</v>
      </c>
      <c r="B586" s="50" t="s">
        <v>525</v>
      </c>
      <c r="C586" s="51">
        <v>4200</v>
      </c>
      <c r="D586" s="52"/>
      <c r="E586" s="53"/>
    </row>
    <row r="587" spans="1:5">
      <c r="A587" s="48" t="s">
        <v>31</v>
      </c>
      <c r="B587" s="50" t="s">
        <v>526</v>
      </c>
      <c r="C587" s="51">
        <v>4200</v>
      </c>
      <c r="D587" s="52"/>
      <c r="E587" s="53">
        <v>0.125</v>
      </c>
    </row>
    <row r="588" spans="1:5">
      <c r="A588" s="48" t="s">
        <v>31</v>
      </c>
      <c r="B588" s="50" t="s">
        <v>527</v>
      </c>
      <c r="C588" s="51">
        <v>4200</v>
      </c>
      <c r="D588" s="52"/>
      <c r="E588" s="53">
        <v>2.6636362942782301</v>
      </c>
    </row>
    <row r="589" spans="1:5">
      <c r="A589" s="48" t="s">
        <v>31</v>
      </c>
      <c r="B589" s="50" t="s">
        <v>528</v>
      </c>
      <c r="C589" s="51">
        <v>4200</v>
      </c>
      <c r="D589" s="52" t="s">
        <v>75</v>
      </c>
      <c r="E589" s="53">
        <v>1.4666666984558101</v>
      </c>
    </row>
    <row r="590" spans="1:5">
      <c r="A590" s="48" t="s">
        <v>31</v>
      </c>
      <c r="B590" s="50" t="s">
        <v>529</v>
      </c>
      <c r="C590" s="51">
        <v>4200</v>
      </c>
      <c r="D590" s="52"/>
      <c r="E590" s="53">
        <v>3.0235295015222801</v>
      </c>
    </row>
    <row r="591" spans="1:5">
      <c r="A591" s="48" t="s">
        <v>31</v>
      </c>
      <c r="B591" s="50" t="s">
        <v>530</v>
      </c>
      <c r="C591" s="51">
        <v>4200</v>
      </c>
      <c r="D591" s="52"/>
      <c r="E591" s="53">
        <v>7.7363634976473703</v>
      </c>
    </row>
    <row r="592" spans="1:5">
      <c r="A592" s="48" t="s">
        <v>31</v>
      </c>
      <c r="B592" s="50" t="s">
        <v>531</v>
      </c>
      <c r="C592" s="51">
        <v>4200</v>
      </c>
      <c r="D592" s="52"/>
      <c r="E592" s="53">
        <v>7.8000001907348597</v>
      </c>
    </row>
    <row r="593" spans="1:5">
      <c r="A593" s="48" t="s">
        <v>31</v>
      </c>
      <c r="B593" s="50" t="s">
        <v>532</v>
      </c>
      <c r="C593" s="51">
        <v>4200</v>
      </c>
      <c r="D593" s="52"/>
      <c r="E593" s="53"/>
    </row>
    <row r="594" spans="1:5">
      <c r="A594" s="48" t="s">
        <v>31</v>
      </c>
      <c r="B594" s="50" t="s">
        <v>533</v>
      </c>
      <c r="C594" s="51">
        <v>4200</v>
      </c>
      <c r="D594" s="52"/>
      <c r="E594" s="53">
        <v>8.9222225613064197</v>
      </c>
    </row>
    <row r="595" spans="1:5">
      <c r="A595" s="48" t="s">
        <v>31</v>
      </c>
      <c r="B595" s="50" t="s">
        <v>534</v>
      </c>
      <c r="C595" s="51">
        <v>4200</v>
      </c>
      <c r="D595" s="52"/>
      <c r="E595" s="53">
        <v>0.378571442195347</v>
      </c>
    </row>
    <row r="596" spans="1:5">
      <c r="A596" s="48" t="s">
        <v>31</v>
      </c>
      <c r="B596" s="50" t="s">
        <v>535</v>
      </c>
      <c r="C596" s="51">
        <v>4200</v>
      </c>
      <c r="D596" s="52"/>
      <c r="E596" s="53"/>
    </row>
    <row r="597" spans="1:5">
      <c r="A597" s="48" t="s">
        <v>31</v>
      </c>
      <c r="B597" s="50" t="s">
        <v>536</v>
      </c>
      <c r="C597" s="51">
        <v>4200</v>
      </c>
      <c r="D597" s="52"/>
      <c r="E597" s="53">
        <v>2.8083333969116202</v>
      </c>
    </row>
    <row r="598" spans="1:5">
      <c r="A598" s="48" t="s">
        <v>31</v>
      </c>
      <c r="B598" s="50" t="s">
        <v>537</v>
      </c>
      <c r="C598" s="51">
        <v>4200</v>
      </c>
      <c r="D598" s="52" t="s">
        <v>75</v>
      </c>
      <c r="E598" s="53">
        <v>2.2125000953674299</v>
      </c>
    </row>
    <row r="599" spans="1:5">
      <c r="A599" s="48" t="s">
        <v>31</v>
      </c>
      <c r="B599" s="50" t="s">
        <v>538</v>
      </c>
      <c r="C599" s="51">
        <v>4200</v>
      </c>
      <c r="D599" s="52" t="s">
        <v>75</v>
      </c>
      <c r="E599" s="53">
        <v>0.60000002384185702</v>
      </c>
    </row>
    <row r="600" spans="1:5">
      <c r="A600" s="48" t="s">
        <v>31</v>
      </c>
      <c r="B600" s="50" t="s">
        <v>539</v>
      </c>
      <c r="C600" s="51">
        <v>4200</v>
      </c>
      <c r="D600" s="52"/>
      <c r="E600" s="53">
        <v>6.0666664971245599</v>
      </c>
    </row>
    <row r="601" spans="1:5">
      <c r="A601" s="48" t="s">
        <v>31</v>
      </c>
      <c r="B601" s="50" t="s">
        <v>540</v>
      </c>
      <c r="C601" s="51">
        <v>4200</v>
      </c>
      <c r="D601" s="52"/>
      <c r="E601" s="53"/>
    </row>
    <row r="602" spans="1:5">
      <c r="A602" s="48" t="s">
        <v>31</v>
      </c>
      <c r="B602" s="50" t="s">
        <v>541</v>
      </c>
      <c r="C602" s="51">
        <v>4200</v>
      </c>
      <c r="D602" s="52"/>
      <c r="E602" s="53">
        <v>3.0166667302449501</v>
      </c>
    </row>
    <row r="603" spans="1:5">
      <c r="A603" s="48" t="s">
        <v>31</v>
      </c>
      <c r="B603" s="50" t="s">
        <v>542</v>
      </c>
      <c r="C603" s="51">
        <v>4100</v>
      </c>
      <c r="D603" s="52"/>
      <c r="E603" s="53"/>
    </row>
    <row r="604" spans="1:5">
      <c r="A604" s="48" t="s">
        <v>31</v>
      </c>
      <c r="B604" s="50" t="s">
        <v>543</v>
      </c>
      <c r="C604" s="51">
        <v>4100</v>
      </c>
      <c r="D604" s="52"/>
      <c r="E604" s="53"/>
    </row>
    <row r="605" spans="1:5">
      <c r="A605" s="48" t="s">
        <v>31</v>
      </c>
      <c r="B605" s="50" t="s">
        <v>544</v>
      </c>
      <c r="C605" s="51">
        <v>4100</v>
      </c>
      <c r="D605" s="52"/>
      <c r="E605" s="53"/>
    </row>
    <row r="606" spans="1:5">
      <c r="A606" s="48" t="s">
        <v>31</v>
      </c>
      <c r="B606" s="50" t="s">
        <v>545</v>
      </c>
      <c r="C606" s="51">
        <v>4100</v>
      </c>
      <c r="D606" s="52"/>
      <c r="E606" s="53">
        <v>4.1374998092651296</v>
      </c>
    </row>
    <row r="607" spans="1:5">
      <c r="A607" s="48" t="s">
        <v>31</v>
      </c>
      <c r="B607" s="50" t="s">
        <v>546</v>
      </c>
      <c r="C607" s="51">
        <v>4100</v>
      </c>
      <c r="D607" s="52"/>
      <c r="E607" s="53">
        <v>3.125</v>
      </c>
    </row>
    <row r="608" spans="1:5">
      <c r="A608" s="48" t="s">
        <v>31</v>
      </c>
      <c r="B608" s="50" t="s">
        <v>547</v>
      </c>
      <c r="C608" s="51">
        <v>4100</v>
      </c>
      <c r="D608" s="52" t="s">
        <v>75</v>
      </c>
      <c r="E608" s="53">
        <v>0.25</v>
      </c>
    </row>
    <row r="609" spans="1:5">
      <c r="A609" s="48" t="s">
        <v>31</v>
      </c>
      <c r="B609" s="50" t="s">
        <v>548</v>
      </c>
      <c r="C609" s="51">
        <v>4100</v>
      </c>
      <c r="D609" s="52"/>
      <c r="E609" s="53">
        <v>1.7666667302449499</v>
      </c>
    </row>
    <row r="610" spans="1:5">
      <c r="A610" s="48" t="s">
        <v>31</v>
      </c>
      <c r="B610" s="50" t="s">
        <v>549</v>
      </c>
      <c r="C610" s="51">
        <v>4100</v>
      </c>
      <c r="D610" s="52"/>
      <c r="E610" s="53">
        <v>3.71666653951009</v>
      </c>
    </row>
    <row r="611" spans="1:5">
      <c r="A611" s="48" t="s">
        <v>31</v>
      </c>
      <c r="B611" s="50" t="s">
        <v>550</v>
      </c>
      <c r="C611" s="51">
        <v>4100</v>
      </c>
      <c r="D611" s="52"/>
      <c r="E611" s="53">
        <v>3.81999994913736</v>
      </c>
    </row>
    <row r="612" spans="1:5">
      <c r="A612" s="48" t="s">
        <v>31</v>
      </c>
      <c r="B612" s="50" t="s">
        <v>242</v>
      </c>
      <c r="C612" s="51">
        <v>4100</v>
      </c>
      <c r="D612" s="52"/>
      <c r="E612" s="53">
        <v>2.0666666666666602</v>
      </c>
    </row>
    <row r="613" spans="1:5">
      <c r="A613" s="48" t="s">
        <v>31</v>
      </c>
      <c r="B613" s="50" t="s">
        <v>551</v>
      </c>
      <c r="C613" s="51">
        <v>4100</v>
      </c>
      <c r="D613" s="52"/>
      <c r="E613" s="53">
        <v>1.6588235742905499</v>
      </c>
    </row>
    <row r="614" spans="1:5">
      <c r="A614" s="48" t="s">
        <v>31</v>
      </c>
      <c r="B614" s="50" t="s">
        <v>552</v>
      </c>
      <c r="C614" s="51">
        <v>4100</v>
      </c>
      <c r="D614" s="52"/>
      <c r="E614" s="53">
        <v>2.5</v>
      </c>
    </row>
    <row r="615" spans="1:5">
      <c r="A615" s="48" t="s">
        <v>31</v>
      </c>
      <c r="B615" s="50" t="s">
        <v>553</v>
      </c>
      <c r="C615" s="51">
        <v>4100</v>
      </c>
      <c r="D615" s="52"/>
      <c r="E615" s="53"/>
    </row>
    <row r="616" spans="1:5">
      <c r="A616" s="48" t="s">
        <v>31</v>
      </c>
      <c r="B616" s="50" t="s">
        <v>554</v>
      </c>
      <c r="C616" s="51">
        <v>4100</v>
      </c>
      <c r="D616" s="52"/>
      <c r="E616" s="53"/>
    </row>
    <row r="617" spans="1:5">
      <c r="A617" s="48" t="s">
        <v>31</v>
      </c>
      <c r="B617" s="50" t="s">
        <v>555</v>
      </c>
      <c r="C617" s="51">
        <v>4100</v>
      </c>
      <c r="D617" s="52"/>
      <c r="E617" s="53"/>
    </row>
    <row r="618" spans="1:5">
      <c r="A618" s="48" t="s">
        <v>31</v>
      </c>
      <c r="B618" s="50" t="s">
        <v>556</v>
      </c>
      <c r="C618" s="51">
        <v>4100</v>
      </c>
      <c r="D618" s="52"/>
      <c r="E618" s="53"/>
    </row>
    <row r="619" spans="1:5">
      <c r="A619" s="48" t="s">
        <v>31</v>
      </c>
      <c r="B619" s="50" t="s">
        <v>557</v>
      </c>
      <c r="C619" s="51">
        <v>4100</v>
      </c>
      <c r="D619" s="52"/>
      <c r="E619" s="53"/>
    </row>
    <row r="620" spans="1:5">
      <c r="A620" s="48" t="s">
        <v>31</v>
      </c>
      <c r="B620" s="50" t="s">
        <v>558</v>
      </c>
      <c r="C620" s="51">
        <v>4100</v>
      </c>
      <c r="D620" s="52"/>
      <c r="E620" s="53"/>
    </row>
    <row r="621" spans="1:5">
      <c r="A621" s="48" t="s">
        <v>31</v>
      </c>
      <c r="B621" s="50" t="s">
        <v>559</v>
      </c>
      <c r="C621" s="51">
        <v>4100</v>
      </c>
      <c r="D621" s="52"/>
      <c r="E621" s="53">
        <v>1.72000007629394</v>
      </c>
    </row>
    <row r="622" spans="1:5">
      <c r="A622" s="48" t="s">
        <v>31</v>
      </c>
      <c r="B622" s="50" t="s">
        <v>238</v>
      </c>
      <c r="C622" s="51">
        <v>4100</v>
      </c>
      <c r="D622" s="52"/>
      <c r="E622" s="53">
        <v>3.78888871934678</v>
      </c>
    </row>
    <row r="623" spans="1:5">
      <c r="A623" s="48" t="s">
        <v>31</v>
      </c>
      <c r="B623" s="50" t="s">
        <v>560</v>
      </c>
      <c r="C623" s="51">
        <v>4100</v>
      </c>
      <c r="D623" s="52"/>
      <c r="E623" s="53">
        <v>2.1299999237060501</v>
      </c>
    </row>
    <row r="624" spans="1:5">
      <c r="A624" s="48" t="s">
        <v>31</v>
      </c>
      <c r="B624" s="50" t="s">
        <v>561</v>
      </c>
      <c r="C624" s="51">
        <v>4100</v>
      </c>
      <c r="D624" s="52"/>
      <c r="E624" s="53">
        <v>2.0999999046325599</v>
      </c>
    </row>
    <row r="625" spans="1:5">
      <c r="A625" s="48" t="s">
        <v>31</v>
      </c>
      <c r="B625" s="50" t="s">
        <v>562</v>
      </c>
      <c r="C625" s="51">
        <v>4100</v>
      </c>
      <c r="D625" s="52"/>
      <c r="E625" s="53">
        <v>1.39090910824862</v>
      </c>
    </row>
    <row r="626" spans="1:5">
      <c r="A626" s="48" t="s">
        <v>31</v>
      </c>
      <c r="B626" s="50" t="s">
        <v>563</v>
      </c>
      <c r="C626" s="51">
        <v>4100</v>
      </c>
      <c r="D626" s="52" t="s">
        <v>351</v>
      </c>
      <c r="E626" s="53">
        <v>1</v>
      </c>
    </row>
    <row r="627" spans="1:5">
      <c r="A627" s="48" t="s">
        <v>31</v>
      </c>
      <c r="B627" s="50" t="s">
        <v>564</v>
      </c>
      <c r="C627" s="51">
        <v>4100</v>
      </c>
      <c r="D627" s="52" t="s">
        <v>75</v>
      </c>
      <c r="E627" s="53">
        <v>2.4857142312186098</v>
      </c>
    </row>
    <row r="628" spans="1:5">
      <c r="A628" s="48" t="s">
        <v>31</v>
      </c>
      <c r="B628" s="50" t="s">
        <v>565</v>
      </c>
      <c r="C628" s="51">
        <v>4100</v>
      </c>
      <c r="D628" s="52"/>
      <c r="E628" s="53"/>
    </row>
    <row r="629" spans="1:5">
      <c r="A629" s="48" t="s">
        <v>31</v>
      </c>
      <c r="B629" s="50" t="s">
        <v>566</v>
      </c>
      <c r="C629" s="51">
        <v>4100</v>
      </c>
      <c r="D629" s="52"/>
      <c r="E629" s="53"/>
    </row>
    <row r="630" spans="1:5">
      <c r="A630" s="48" t="s">
        <v>31</v>
      </c>
      <c r="B630" s="50" t="s">
        <v>262</v>
      </c>
      <c r="C630" s="51">
        <v>4100</v>
      </c>
      <c r="D630" s="52"/>
      <c r="E630" s="53">
        <v>3.1600001017252599</v>
      </c>
    </row>
    <row r="631" spans="1:5">
      <c r="A631" s="48" t="s">
        <v>31</v>
      </c>
      <c r="B631" s="50" t="s">
        <v>567</v>
      </c>
      <c r="C631" s="51">
        <v>4100</v>
      </c>
      <c r="D631" s="52"/>
      <c r="E631" s="53"/>
    </row>
    <row r="632" spans="1:5">
      <c r="A632" s="48" t="s">
        <v>31</v>
      </c>
      <c r="B632" s="50" t="s">
        <v>568</v>
      </c>
      <c r="C632" s="51">
        <v>4100</v>
      </c>
      <c r="D632" s="52"/>
      <c r="E632" s="53"/>
    </row>
    <row r="633" spans="1:5">
      <c r="A633" s="48" t="s">
        <v>31</v>
      </c>
      <c r="B633" s="50" t="s">
        <v>569</v>
      </c>
      <c r="C633" s="51">
        <v>4100</v>
      </c>
      <c r="D633" s="52"/>
      <c r="E633" s="53">
        <v>0.45294116525089001</v>
      </c>
    </row>
    <row r="634" spans="1:5">
      <c r="A634" s="48" t="s">
        <v>31</v>
      </c>
      <c r="B634" s="50" t="s">
        <v>570</v>
      </c>
      <c r="C634" s="51">
        <v>4100</v>
      </c>
      <c r="D634" s="52" t="s">
        <v>75</v>
      </c>
      <c r="E634" s="53"/>
    </row>
    <row r="635" spans="1:5">
      <c r="A635" s="48" t="s">
        <v>31</v>
      </c>
      <c r="B635" s="50" t="s">
        <v>571</v>
      </c>
      <c r="C635" s="51">
        <v>4100</v>
      </c>
      <c r="D635" s="52"/>
      <c r="E635" s="53">
        <v>6.5500001907348597</v>
      </c>
    </row>
    <row r="636" spans="1:5">
      <c r="A636" s="48" t="s">
        <v>31</v>
      </c>
      <c r="B636" s="50" t="s">
        <v>572</v>
      </c>
      <c r="C636" s="51">
        <v>4100</v>
      </c>
      <c r="D636" s="52"/>
      <c r="E636" s="53">
        <v>0</v>
      </c>
    </row>
    <row r="637" spans="1:5">
      <c r="A637" s="48" t="s">
        <v>31</v>
      </c>
      <c r="B637" s="50" t="s">
        <v>573</v>
      </c>
      <c r="C637" s="51">
        <v>4100</v>
      </c>
      <c r="D637" s="52" t="s">
        <v>476</v>
      </c>
      <c r="E637" s="53">
        <v>0.20000000298023199</v>
      </c>
    </row>
    <row r="638" spans="1:5">
      <c r="A638" s="48" t="s">
        <v>31</v>
      </c>
      <c r="B638" s="50" t="s">
        <v>239</v>
      </c>
      <c r="C638" s="51">
        <v>4100</v>
      </c>
      <c r="D638" s="52"/>
      <c r="E638" s="53">
        <v>2.6117647956399299</v>
      </c>
    </row>
    <row r="639" spans="1:5">
      <c r="A639" s="48" t="s">
        <v>31</v>
      </c>
      <c r="B639" s="50" t="s">
        <v>252</v>
      </c>
      <c r="C639" s="51">
        <v>4100</v>
      </c>
      <c r="D639" s="52"/>
      <c r="E639" s="53">
        <v>1.73999996185302</v>
      </c>
    </row>
    <row r="640" spans="1:5">
      <c r="A640" s="48" t="s">
        <v>31</v>
      </c>
      <c r="B640" s="50" t="s">
        <v>257</v>
      </c>
      <c r="C640" s="51">
        <v>4100</v>
      </c>
      <c r="D640" s="52"/>
      <c r="E640" s="53">
        <v>2.22769223726712</v>
      </c>
    </row>
    <row r="641" spans="1:5">
      <c r="A641" s="48" t="s">
        <v>31</v>
      </c>
      <c r="B641" s="50" t="s">
        <v>574</v>
      </c>
      <c r="C641" s="51">
        <v>4100</v>
      </c>
      <c r="D641" s="52"/>
      <c r="E641" s="53"/>
    </row>
    <row r="642" spans="1:5">
      <c r="A642" s="48" t="s">
        <v>31</v>
      </c>
      <c r="B642" s="50" t="s">
        <v>575</v>
      </c>
      <c r="C642" s="51">
        <v>4100</v>
      </c>
      <c r="D642" s="52" t="s">
        <v>351</v>
      </c>
      <c r="E642" s="53">
        <v>2.4000000953674299</v>
      </c>
    </row>
    <row r="643" spans="1:5">
      <c r="A643" s="48" t="s">
        <v>31</v>
      </c>
      <c r="B643" s="50" t="s">
        <v>576</v>
      </c>
      <c r="C643" s="51">
        <v>4100</v>
      </c>
      <c r="D643" s="52" t="s">
        <v>75</v>
      </c>
      <c r="E643" s="53">
        <v>3.93076911339393</v>
      </c>
    </row>
    <row r="644" spans="1:5">
      <c r="A644" s="48" t="s">
        <v>31</v>
      </c>
      <c r="B644" s="50" t="s">
        <v>577</v>
      </c>
      <c r="C644" s="51">
        <v>4100</v>
      </c>
      <c r="D644" s="52"/>
      <c r="E644" s="53">
        <v>6.3900001525878896</v>
      </c>
    </row>
    <row r="645" spans="1:5">
      <c r="A645" s="48" t="s">
        <v>31</v>
      </c>
      <c r="B645" s="50" t="s">
        <v>578</v>
      </c>
      <c r="C645" s="51">
        <v>4100</v>
      </c>
      <c r="D645" s="52"/>
      <c r="E645" s="53">
        <v>5</v>
      </c>
    </row>
    <row r="646" spans="1:5">
      <c r="A646" s="48" t="s">
        <v>31</v>
      </c>
      <c r="B646" s="50" t="s">
        <v>579</v>
      </c>
      <c r="C646" s="51">
        <v>4100</v>
      </c>
      <c r="D646" s="52"/>
      <c r="E646" s="53"/>
    </row>
    <row r="647" spans="1:5">
      <c r="A647" s="48" t="s">
        <v>31</v>
      </c>
      <c r="B647" s="50" t="s">
        <v>580</v>
      </c>
      <c r="C647" s="51">
        <v>4100</v>
      </c>
      <c r="D647" s="52" t="s">
        <v>351</v>
      </c>
      <c r="E647" s="53">
        <v>2.7999998728434199</v>
      </c>
    </row>
    <row r="648" spans="1:5">
      <c r="A648" s="48" t="s">
        <v>31</v>
      </c>
      <c r="B648" s="50" t="s">
        <v>581</v>
      </c>
      <c r="C648" s="51">
        <v>4100</v>
      </c>
      <c r="D648" s="52"/>
      <c r="E648" s="53"/>
    </row>
    <row r="649" spans="1:5">
      <c r="A649" s="48" t="s">
        <v>31</v>
      </c>
      <c r="B649" s="50" t="s">
        <v>582</v>
      </c>
      <c r="C649" s="51">
        <v>4100</v>
      </c>
      <c r="D649" s="52"/>
      <c r="E649" s="53">
        <v>1.62307695242074</v>
      </c>
    </row>
    <row r="650" spans="1:5">
      <c r="A650" s="48" t="s">
        <v>31</v>
      </c>
      <c r="B650" s="50" t="s">
        <v>583</v>
      </c>
      <c r="C650" s="51">
        <v>4100</v>
      </c>
      <c r="D650" s="52"/>
      <c r="E650" s="53">
        <v>-0.2</v>
      </c>
    </row>
    <row r="651" spans="1:5">
      <c r="A651" s="48" t="s">
        <v>31</v>
      </c>
      <c r="B651" s="50" t="s">
        <v>584</v>
      </c>
      <c r="C651" s="51">
        <v>4100</v>
      </c>
      <c r="D651" s="52"/>
      <c r="E651" s="53"/>
    </row>
    <row r="652" spans="1:5">
      <c r="A652" s="48" t="s">
        <v>31</v>
      </c>
      <c r="B652" s="50" t="s">
        <v>585</v>
      </c>
      <c r="C652" s="51">
        <v>4100</v>
      </c>
      <c r="D652" s="52" t="s">
        <v>75</v>
      </c>
      <c r="E652" s="53"/>
    </row>
    <row r="653" spans="1:5">
      <c r="A653" s="48" t="s">
        <v>31</v>
      </c>
      <c r="B653" s="50" t="s">
        <v>586</v>
      </c>
      <c r="C653" s="51">
        <v>4100</v>
      </c>
      <c r="D653" s="52"/>
      <c r="E653" s="53"/>
    </row>
    <row r="654" spans="1:5">
      <c r="A654" s="48" t="s">
        <v>31</v>
      </c>
      <c r="B654" s="50" t="s">
        <v>244</v>
      </c>
      <c r="C654" s="51">
        <v>4100</v>
      </c>
      <c r="D654" s="52"/>
      <c r="E654" s="53">
        <v>5.06666660308837</v>
      </c>
    </row>
    <row r="655" spans="1:5">
      <c r="A655" s="48" t="s">
        <v>31</v>
      </c>
      <c r="B655" s="50" t="s">
        <v>587</v>
      </c>
      <c r="C655" s="51">
        <v>4100</v>
      </c>
      <c r="D655" s="52"/>
      <c r="E655" s="53">
        <v>2.77647063311408</v>
      </c>
    </row>
    <row r="656" spans="1:5">
      <c r="A656" s="48" t="s">
        <v>31</v>
      </c>
      <c r="B656" s="50" t="s">
        <v>588</v>
      </c>
      <c r="C656" s="51">
        <v>4000</v>
      </c>
      <c r="D656" s="52"/>
      <c r="E656" s="53">
        <v>0</v>
      </c>
    </row>
    <row r="657" spans="1:5">
      <c r="A657" s="48" t="s">
        <v>31</v>
      </c>
      <c r="B657" s="50" t="s">
        <v>589</v>
      </c>
      <c r="C657" s="51">
        <v>4000</v>
      </c>
      <c r="D657" s="52"/>
      <c r="E657" s="53"/>
    </row>
    <row r="658" spans="1:5">
      <c r="A658" s="48" t="s">
        <v>31</v>
      </c>
      <c r="B658" s="50" t="s">
        <v>590</v>
      </c>
      <c r="C658" s="51">
        <v>4000</v>
      </c>
      <c r="D658" s="52"/>
      <c r="E658" s="53">
        <v>0.40000001589457101</v>
      </c>
    </row>
    <row r="659" spans="1:5">
      <c r="A659" s="48" t="s">
        <v>31</v>
      </c>
      <c r="B659" s="50" t="s">
        <v>591</v>
      </c>
      <c r="C659" s="51">
        <v>4000</v>
      </c>
      <c r="D659" s="52"/>
      <c r="E659" s="53">
        <v>1.6764705882352899</v>
      </c>
    </row>
    <row r="660" spans="1:5">
      <c r="A660" s="48" t="s">
        <v>31</v>
      </c>
      <c r="B660" s="50" t="s">
        <v>592</v>
      </c>
      <c r="C660" s="51">
        <v>4000</v>
      </c>
      <c r="D660" s="52" t="s">
        <v>75</v>
      </c>
      <c r="E660" s="53"/>
    </row>
    <row r="661" spans="1:5">
      <c r="A661" s="48" t="s">
        <v>31</v>
      </c>
      <c r="B661" s="50" t="s">
        <v>255</v>
      </c>
      <c r="C661" s="51">
        <v>4000</v>
      </c>
      <c r="D661" s="52"/>
      <c r="E661" s="53">
        <v>3.0272726579145899</v>
      </c>
    </row>
    <row r="662" spans="1:5">
      <c r="A662" s="48" t="s">
        <v>31</v>
      </c>
      <c r="B662" s="50" t="s">
        <v>593</v>
      </c>
      <c r="C662" s="51">
        <v>4000</v>
      </c>
      <c r="D662" s="52"/>
      <c r="E662" s="53">
        <v>2.30000005449567</v>
      </c>
    </row>
    <row r="663" spans="1:5">
      <c r="A663" s="48" t="s">
        <v>31</v>
      </c>
      <c r="B663" s="50" t="s">
        <v>594</v>
      </c>
      <c r="C663" s="51">
        <v>4000</v>
      </c>
      <c r="D663" s="52"/>
      <c r="E663" s="53">
        <v>0</v>
      </c>
    </row>
    <row r="664" spans="1:5">
      <c r="A664" s="48" t="s">
        <v>31</v>
      </c>
      <c r="B664" s="50" t="s">
        <v>595</v>
      </c>
      <c r="C664" s="51">
        <v>4000</v>
      </c>
      <c r="D664" s="52"/>
      <c r="E664" s="53">
        <v>0.75</v>
      </c>
    </row>
    <row r="665" spans="1:5">
      <c r="A665" s="48" t="s">
        <v>31</v>
      </c>
      <c r="B665" s="50" t="s">
        <v>596</v>
      </c>
      <c r="C665" s="51">
        <v>4000</v>
      </c>
      <c r="D665" s="52" t="s">
        <v>75</v>
      </c>
      <c r="E665" s="53"/>
    </row>
    <row r="666" spans="1:5">
      <c r="A666" s="48" t="s">
        <v>31</v>
      </c>
      <c r="B666" s="50" t="s">
        <v>597</v>
      </c>
      <c r="C666" s="51">
        <v>4000</v>
      </c>
      <c r="D666" s="52"/>
      <c r="E666" s="53"/>
    </row>
    <row r="667" spans="1:5">
      <c r="A667" s="48" t="s">
        <v>31</v>
      </c>
      <c r="B667" s="50" t="s">
        <v>598</v>
      </c>
      <c r="C667" s="51">
        <v>4000</v>
      </c>
      <c r="D667" s="52"/>
      <c r="E667" s="53">
        <v>0.43333334392971401</v>
      </c>
    </row>
    <row r="668" spans="1:5">
      <c r="A668" s="48" t="s">
        <v>31</v>
      </c>
      <c r="B668" s="50" t="s">
        <v>599</v>
      </c>
      <c r="C668" s="51">
        <v>4000</v>
      </c>
      <c r="D668" s="52"/>
      <c r="E668" s="53">
        <v>1.7437499761581401</v>
      </c>
    </row>
    <row r="669" spans="1:5">
      <c r="A669" s="48" t="s">
        <v>31</v>
      </c>
      <c r="B669" s="50" t="s">
        <v>600</v>
      </c>
      <c r="C669" s="51">
        <v>4000</v>
      </c>
      <c r="D669" s="52"/>
      <c r="E669" s="53"/>
    </row>
    <row r="670" spans="1:5">
      <c r="A670" s="48" t="s">
        <v>31</v>
      </c>
      <c r="B670" s="50" t="s">
        <v>601</v>
      </c>
      <c r="C670" s="51">
        <v>4000</v>
      </c>
      <c r="D670" s="52"/>
      <c r="E670" s="53">
        <v>2.5</v>
      </c>
    </row>
    <row r="671" spans="1:5">
      <c r="A671" s="48" t="s">
        <v>31</v>
      </c>
      <c r="B671" s="50" t="s">
        <v>602</v>
      </c>
      <c r="C671" s="51">
        <v>4000</v>
      </c>
      <c r="D671" s="52"/>
      <c r="E671" s="53">
        <v>1.6000000238418499</v>
      </c>
    </row>
    <row r="672" spans="1:5">
      <c r="A672" s="48" t="s">
        <v>31</v>
      </c>
      <c r="B672" s="50" t="s">
        <v>603</v>
      </c>
      <c r="C672" s="51">
        <v>4000</v>
      </c>
      <c r="D672" s="52"/>
      <c r="E672" s="53"/>
    </row>
    <row r="673" spans="1:5">
      <c r="A673" s="48" t="s">
        <v>31</v>
      </c>
      <c r="B673" s="50" t="s">
        <v>604</v>
      </c>
      <c r="C673" s="51">
        <v>4000</v>
      </c>
      <c r="D673" s="52"/>
      <c r="E673" s="53"/>
    </row>
    <row r="674" spans="1:5">
      <c r="A674" s="48" t="s">
        <v>31</v>
      </c>
      <c r="B674" s="50" t="s">
        <v>605</v>
      </c>
      <c r="C674" s="51">
        <v>4000</v>
      </c>
      <c r="D674" s="52"/>
      <c r="E674" s="53"/>
    </row>
    <row r="675" spans="1:5">
      <c r="A675" s="48" t="s">
        <v>31</v>
      </c>
      <c r="B675" s="50" t="s">
        <v>606</v>
      </c>
      <c r="C675" s="51">
        <v>4000</v>
      </c>
      <c r="D675" s="52" t="s">
        <v>75</v>
      </c>
      <c r="E675" s="53">
        <v>1.29999995231628</v>
      </c>
    </row>
    <row r="676" spans="1:5">
      <c r="A676" s="48" t="s">
        <v>31</v>
      </c>
      <c r="B676" s="50" t="s">
        <v>607</v>
      </c>
      <c r="C676" s="51">
        <v>4000</v>
      </c>
      <c r="D676" s="52"/>
      <c r="E676" s="53">
        <v>4.1333334181043799</v>
      </c>
    </row>
    <row r="677" spans="1:5">
      <c r="A677" s="48" t="s">
        <v>31</v>
      </c>
      <c r="B677" s="50" t="s">
        <v>608</v>
      </c>
      <c r="C677" s="51">
        <v>4000</v>
      </c>
      <c r="D677" s="52"/>
      <c r="E677" s="53"/>
    </row>
    <row r="678" spans="1:5">
      <c r="A678" s="48" t="s">
        <v>31</v>
      </c>
      <c r="B678" s="50" t="s">
        <v>609</v>
      </c>
      <c r="C678" s="51">
        <v>4000</v>
      </c>
      <c r="D678" s="52"/>
      <c r="E678" s="53"/>
    </row>
    <row r="679" spans="1:5">
      <c r="A679" s="48" t="s">
        <v>31</v>
      </c>
      <c r="B679" s="50" t="s">
        <v>610</v>
      </c>
      <c r="C679" s="51">
        <v>4000</v>
      </c>
      <c r="D679" s="52" t="s">
        <v>351</v>
      </c>
      <c r="E679" s="53"/>
    </row>
    <row r="680" spans="1:5">
      <c r="A680" s="48" t="s">
        <v>31</v>
      </c>
      <c r="B680" s="50" t="s">
        <v>611</v>
      </c>
      <c r="C680" s="51">
        <v>4000</v>
      </c>
      <c r="D680" s="52"/>
      <c r="E680" s="53"/>
    </row>
    <row r="681" spans="1:5">
      <c r="A681" s="48" t="s">
        <v>31</v>
      </c>
      <c r="B681" s="50" t="s">
        <v>247</v>
      </c>
      <c r="C681" s="51">
        <v>4000</v>
      </c>
      <c r="D681" s="52" t="s">
        <v>75</v>
      </c>
      <c r="E681" s="53">
        <v>1.57222217983669</v>
      </c>
    </row>
    <row r="682" spans="1:5">
      <c r="A682" s="48" t="s">
        <v>31</v>
      </c>
      <c r="B682" s="50" t="s">
        <v>612</v>
      </c>
      <c r="C682" s="51">
        <v>4000</v>
      </c>
      <c r="D682" s="52"/>
      <c r="E682" s="53">
        <v>2.5</v>
      </c>
    </row>
    <row r="683" spans="1:5">
      <c r="A683" s="48" t="s">
        <v>31</v>
      </c>
      <c r="B683" s="50" t="s">
        <v>613</v>
      </c>
      <c r="C683" s="51">
        <v>4000</v>
      </c>
      <c r="D683" s="52"/>
      <c r="E683" s="53"/>
    </row>
    <row r="684" spans="1:5">
      <c r="A684" s="48" t="s">
        <v>31</v>
      </c>
      <c r="B684" s="50" t="s">
        <v>614</v>
      </c>
      <c r="C684" s="51">
        <v>4000</v>
      </c>
      <c r="D684" s="52"/>
      <c r="E684" s="53">
        <v>0.84666665395100904</v>
      </c>
    </row>
    <row r="685" spans="1:5">
      <c r="A685" s="48" t="s">
        <v>31</v>
      </c>
      <c r="B685" s="50" t="s">
        <v>615</v>
      </c>
      <c r="C685" s="51">
        <v>4000</v>
      </c>
      <c r="D685" s="52"/>
      <c r="E685" s="53"/>
    </row>
    <row r="686" spans="1:5">
      <c r="A686" s="48" t="s">
        <v>31</v>
      </c>
      <c r="B686" s="50" t="s">
        <v>616</v>
      </c>
      <c r="C686" s="51">
        <v>4000</v>
      </c>
      <c r="D686" s="52"/>
      <c r="E686" s="53"/>
    </row>
    <row r="687" spans="1:5">
      <c r="A687" s="48" t="s">
        <v>31</v>
      </c>
      <c r="B687" s="50" t="s">
        <v>617</v>
      </c>
      <c r="C687" s="51">
        <v>4000</v>
      </c>
      <c r="D687" s="52" t="s">
        <v>75</v>
      </c>
      <c r="E687" s="53"/>
    </row>
    <row r="688" spans="1:5">
      <c r="A688" s="48" t="s">
        <v>31</v>
      </c>
      <c r="B688" s="50" t="s">
        <v>618</v>
      </c>
      <c r="C688" s="51">
        <v>4000</v>
      </c>
      <c r="D688" s="52"/>
      <c r="E688" s="53"/>
    </row>
    <row r="689" spans="1:5">
      <c r="A689" s="48" t="s">
        <v>31</v>
      </c>
      <c r="B689" s="50" t="s">
        <v>619</v>
      </c>
      <c r="C689" s="51">
        <v>4000</v>
      </c>
      <c r="D689" s="52" t="s">
        <v>75</v>
      </c>
      <c r="E689" s="53"/>
    </row>
    <row r="690" spans="1:5">
      <c r="A690" s="48" t="s">
        <v>31</v>
      </c>
      <c r="B690" s="50" t="s">
        <v>264</v>
      </c>
      <c r="C690" s="51">
        <v>4000</v>
      </c>
      <c r="D690" s="52" t="s">
        <v>75</v>
      </c>
      <c r="E690" s="53">
        <v>0.85384618318997896</v>
      </c>
    </row>
    <row r="691" spans="1:5">
      <c r="A691" s="48" t="s">
        <v>31</v>
      </c>
      <c r="B691" s="50" t="s">
        <v>620</v>
      </c>
      <c r="C691" s="51">
        <v>4000</v>
      </c>
      <c r="D691" s="52" t="s">
        <v>75</v>
      </c>
      <c r="E691" s="53"/>
    </row>
    <row r="692" spans="1:5">
      <c r="A692" s="48" t="s">
        <v>31</v>
      </c>
      <c r="B692" s="50" t="s">
        <v>621</v>
      </c>
      <c r="C692" s="51">
        <v>4000</v>
      </c>
      <c r="D692" s="52"/>
      <c r="E692" s="53"/>
    </row>
    <row r="693" spans="1:5">
      <c r="A693" s="48" t="s">
        <v>31</v>
      </c>
      <c r="B693" s="50" t="s">
        <v>218</v>
      </c>
      <c r="C693" s="51">
        <v>4000</v>
      </c>
      <c r="D693" s="52" t="s">
        <v>476</v>
      </c>
      <c r="E693" s="53">
        <v>10.1875</v>
      </c>
    </row>
    <row r="694" spans="1:5">
      <c r="A694" s="48" t="s">
        <v>31</v>
      </c>
      <c r="B694" s="50" t="s">
        <v>622</v>
      </c>
      <c r="C694" s="51">
        <v>4000</v>
      </c>
      <c r="D694" s="52"/>
      <c r="E694" s="53">
        <v>0</v>
      </c>
    </row>
    <row r="695" spans="1:5">
      <c r="A695" s="48" t="s">
        <v>31</v>
      </c>
      <c r="B695" s="50" t="s">
        <v>623</v>
      </c>
      <c r="C695" s="51">
        <v>4000</v>
      </c>
      <c r="D695" s="52"/>
      <c r="E695" s="53"/>
    </row>
    <row r="696" spans="1:5">
      <c r="A696" s="48" t="s">
        <v>31</v>
      </c>
      <c r="B696" s="50" t="s">
        <v>624</v>
      </c>
      <c r="C696" s="51">
        <v>4000</v>
      </c>
      <c r="D696" s="52"/>
      <c r="E696" s="53"/>
    </row>
    <row r="697" spans="1:5">
      <c r="A697" s="48" t="s">
        <v>31</v>
      </c>
      <c r="B697" s="50" t="s">
        <v>625</v>
      </c>
      <c r="C697" s="51">
        <v>4000</v>
      </c>
      <c r="D697" s="52"/>
      <c r="E697" s="53"/>
    </row>
    <row r="698" spans="1:5">
      <c r="A698" s="48" t="s">
        <v>31</v>
      </c>
      <c r="B698" s="50" t="s">
        <v>626</v>
      </c>
      <c r="C698" s="51">
        <v>4000</v>
      </c>
      <c r="D698" s="52"/>
      <c r="E698" s="53"/>
    </row>
    <row r="699" spans="1:5">
      <c r="A699" s="48" t="s">
        <v>31</v>
      </c>
      <c r="B699" s="50" t="s">
        <v>627</v>
      </c>
      <c r="C699" s="51">
        <v>4000</v>
      </c>
      <c r="D699" s="52"/>
      <c r="E699" s="53"/>
    </row>
    <row r="700" spans="1:5">
      <c r="A700" s="48" t="s">
        <v>31</v>
      </c>
      <c r="B700" s="50" t="s">
        <v>628</v>
      </c>
      <c r="C700" s="51">
        <v>4000</v>
      </c>
      <c r="D700" s="52"/>
      <c r="E700" s="53"/>
    </row>
    <row r="701" spans="1:5">
      <c r="A701" s="48" t="s">
        <v>31</v>
      </c>
      <c r="B701" s="50" t="s">
        <v>629</v>
      </c>
      <c r="C701" s="51">
        <v>4000</v>
      </c>
      <c r="D701" s="52"/>
      <c r="E701" s="53">
        <v>1.1000000238418499</v>
      </c>
    </row>
    <row r="702" spans="1:5">
      <c r="A702" s="48" t="s">
        <v>31</v>
      </c>
      <c r="B702" s="50" t="s">
        <v>630</v>
      </c>
      <c r="C702" s="51">
        <v>4000</v>
      </c>
      <c r="D702" s="52"/>
      <c r="E702" s="53"/>
    </row>
    <row r="703" spans="1:5">
      <c r="A703" s="48" t="s">
        <v>31</v>
      </c>
      <c r="B703" s="50" t="s">
        <v>631</v>
      </c>
      <c r="C703" s="51">
        <v>4000</v>
      </c>
      <c r="D703" s="52"/>
      <c r="E703" s="53"/>
    </row>
    <row r="704" spans="1:5">
      <c r="A704" s="48" t="s">
        <v>31</v>
      </c>
      <c r="B704" s="50" t="s">
        <v>632</v>
      </c>
      <c r="C704" s="51">
        <v>4000</v>
      </c>
      <c r="D704" s="52" t="s">
        <v>75</v>
      </c>
      <c r="E704" s="53">
        <v>0.34999999403953502</v>
      </c>
    </row>
    <row r="705" spans="1:5">
      <c r="A705" s="48" t="s">
        <v>31</v>
      </c>
      <c r="B705" s="50" t="s">
        <v>633</v>
      </c>
      <c r="C705" s="51">
        <v>4000</v>
      </c>
      <c r="D705" s="52" t="s">
        <v>75</v>
      </c>
      <c r="E705" s="53"/>
    </row>
    <row r="706" spans="1:5">
      <c r="A706" s="48" t="s">
        <v>31</v>
      </c>
      <c r="B706" s="50" t="s">
        <v>634</v>
      </c>
      <c r="C706" s="51">
        <v>4000</v>
      </c>
      <c r="D706" s="52"/>
      <c r="E706" s="53"/>
    </row>
    <row r="707" spans="1:5">
      <c r="A707" s="48" t="s">
        <v>31</v>
      </c>
      <c r="B707" s="50" t="s">
        <v>635</v>
      </c>
      <c r="C707" s="51">
        <v>4000</v>
      </c>
      <c r="D707" s="52"/>
      <c r="E707" s="53"/>
    </row>
    <row r="708" spans="1:5">
      <c r="A708" s="48" t="s">
        <v>31</v>
      </c>
      <c r="B708" s="50" t="s">
        <v>636</v>
      </c>
      <c r="C708" s="51">
        <v>4000</v>
      </c>
      <c r="D708" s="52" t="s">
        <v>75</v>
      </c>
      <c r="E708" s="53"/>
    </row>
    <row r="709" spans="1:5">
      <c r="A709" s="48" t="s">
        <v>31</v>
      </c>
      <c r="B709" s="50" t="s">
        <v>637</v>
      </c>
      <c r="C709" s="51">
        <v>4000</v>
      </c>
      <c r="D709" s="52"/>
      <c r="E709" s="53"/>
    </row>
    <row r="710" spans="1:5">
      <c r="A710" s="48" t="s">
        <v>31</v>
      </c>
      <c r="B710" s="50" t="s">
        <v>638</v>
      </c>
      <c r="C710" s="51">
        <v>4000</v>
      </c>
      <c r="D710" s="52" t="s">
        <v>351</v>
      </c>
      <c r="E710" s="53"/>
    </row>
    <row r="711" spans="1:5">
      <c r="A711" s="48" t="s">
        <v>31</v>
      </c>
      <c r="B711" s="50" t="s">
        <v>639</v>
      </c>
      <c r="C711" s="51">
        <v>4000</v>
      </c>
      <c r="D711" s="52" t="s">
        <v>75</v>
      </c>
      <c r="E711" s="53"/>
    </row>
    <row r="712" spans="1:5">
      <c r="A712" s="48" t="s">
        <v>31</v>
      </c>
      <c r="B712" s="50" t="s">
        <v>640</v>
      </c>
      <c r="C712" s="51">
        <v>4000</v>
      </c>
      <c r="D712" s="52"/>
      <c r="E712" s="53"/>
    </row>
    <row r="713" spans="1:5">
      <c r="A713" s="48" t="s">
        <v>31</v>
      </c>
      <c r="B713" s="50" t="s">
        <v>641</v>
      </c>
      <c r="C713" s="51">
        <v>4000</v>
      </c>
      <c r="D713" s="52"/>
      <c r="E713" s="53"/>
    </row>
    <row r="714" spans="1:5">
      <c r="A714" s="48" t="s">
        <v>31</v>
      </c>
      <c r="B714" s="50" t="s">
        <v>642</v>
      </c>
      <c r="C714" s="51">
        <v>4000</v>
      </c>
      <c r="D714" s="52"/>
      <c r="E714" s="53">
        <v>0.20714286395481599</v>
      </c>
    </row>
    <row r="715" spans="1:5">
      <c r="A715" s="48" t="s">
        <v>31</v>
      </c>
      <c r="B715" s="50" t="s">
        <v>643</v>
      </c>
      <c r="C715" s="51">
        <v>4000</v>
      </c>
      <c r="D715" s="52"/>
      <c r="E715" s="53"/>
    </row>
    <row r="716" spans="1:5">
      <c r="A716" s="48" t="s">
        <v>31</v>
      </c>
      <c r="B716" s="50" t="s">
        <v>644</v>
      </c>
      <c r="C716" s="51">
        <v>4000</v>
      </c>
      <c r="D716" s="52"/>
      <c r="E716" s="53">
        <v>0.279999995231628</v>
      </c>
    </row>
    <row r="717" spans="1:5">
      <c r="A717" s="48" t="s">
        <v>31</v>
      </c>
      <c r="B717" s="50" t="s">
        <v>645</v>
      </c>
      <c r="C717" s="51">
        <v>4000</v>
      </c>
      <c r="D717" s="52"/>
      <c r="E717" s="53"/>
    </row>
    <row r="718" spans="1:5">
      <c r="A718" s="48" t="s">
        <v>31</v>
      </c>
      <c r="B718" s="50" t="s">
        <v>646</v>
      </c>
      <c r="C718" s="51">
        <v>4000</v>
      </c>
      <c r="D718" s="52" t="s">
        <v>75</v>
      </c>
      <c r="E718" s="53">
        <v>3.1500000953674299</v>
      </c>
    </row>
    <row r="719" spans="1:5">
      <c r="A719" s="48" t="s">
        <v>31</v>
      </c>
      <c r="B719" s="50" t="s">
        <v>647</v>
      </c>
      <c r="C719" s="51">
        <v>4000</v>
      </c>
      <c r="D719" s="52"/>
      <c r="E719" s="53"/>
    </row>
    <row r="720" spans="1:5">
      <c r="A720" s="48" t="s">
        <v>31</v>
      </c>
      <c r="B720" s="50" t="s">
        <v>648</v>
      </c>
      <c r="C720" s="51">
        <v>4000</v>
      </c>
      <c r="D720" s="52"/>
      <c r="E720" s="53"/>
    </row>
    <row r="721" spans="1:5">
      <c r="A721" s="48" t="s">
        <v>31</v>
      </c>
      <c r="B721" s="50" t="s">
        <v>649</v>
      </c>
      <c r="C721" s="51">
        <v>4000</v>
      </c>
      <c r="D721" s="52"/>
      <c r="E721" s="53">
        <v>0.69999998807907104</v>
      </c>
    </row>
    <row r="722" spans="1:5">
      <c r="A722" s="48" t="s">
        <v>31</v>
      </c>
      <c r="B722" s="50" t="s">
        <v>650</v>
      </c>
      <c r="C722" s="51">
        <v>4000</v>
      </c>
      <c r="D722" s="52"/>
      <c r="E722" s="53">
        <v>0.69999998807907104</v>
      </c>
    </row>
    <row r="723" spans="1:5">
      <c r="A723" s="48" t="s">
        <v>31</v>
      </c>
      <c r="B723" s="50" t="s">
        <v>651</v>
      </c>
      <c r="C723" s="51">
        <v>4000</v>
      </c>
      <c r="D723" s="52"/>
      <c r="E723" s="53"/>
    </row>
    <row r="724" spans="1:5">
      <c r="A724" s="48" t="s">
        <v>31</v>
      </c>
      <c r="B724" s="50" t="s">
        <v>652</v>
      </c>
      <c r="C724" s="51">
        <v>4000</v>
      </c>
      <c r="D724" s="52"/>
      <c r="E724" s="53"/>
    </row>
    <row r="725" spans="1:5">
      <c r="A725" s="48" t="s">
        <v>31</v>
      </c>
      <c r="B725" s="50" t="s">
        <v>653</v>
      </c>
      <c r="C725" s="51">
        <v>4000</v>
      </c>
      <c r="D725" s="52"/>
      <c r="E725" s="53">
        <v>2.6777778201632998</v>
      </c>
    </row>
    <row r="726" spans="1:5">
      <c r="A726" s="48" t="s">
        <v>31</v>
      </c>
      <c r="B726" s="50" t="s">
        <v>654</v>
      </c>
      <c r="C726" s="51">
        <v>4000</v>
      </c>
      <c r="D726" s="52"/>
      <c r="E726" s="53"/>
    </row>
    <row r="727" spans="1:5">
      <c r="A727" s="48" t="s">
        <v>31</v>
      </c>
      <c r="B727" s="50" t="s">
        <v>655</v>
      </c>
      <c r="C727" s="51">
        <v>4000</v>
      </c>
      <c r="D727" s="52"/>
      <c r="E727" s="53">
        <v>1.30000003178914</v>
      </c>
    </row>
    <row r="728" spans="1:5">
      <c r="A728" s="48" t="s">
        <v>31</v>
      </c>
      <c r="B728" s="50" t="s">
        <v>656</v>
      </c>
      <c r="C728" s="51">
        <v>4000</v>
      </c>
      <c r="D728" s="52"/>
      <c r="E728" s="53">
        <v>3.5</v>
      </c>
    </row>
    <row r="729" spans="1:5">
      <c r="A729" s="48" t="s">
        <v>31</v>
      </c>
      <c r="B729" s="50" t="s">
        <v>657</v>
      </c>
      <c r="C729" s="51">
        <v>4000</v>
      </c>
      <c r="D729" s="52"/>
      <c r="E729" s="53"/>
    </row>
    <row r="730" spans="1:5">
      <c r="A730" s="48" t="s">
        <v>31</v>
      </c>
      <c r="B730" s="50" t="s">
        <v>658</v>
      </c>
      <c r="C730" s="51">
        <v>4000</v>
      </c>
      <c r="D730" s="52"/>
      <c r="E730" s="53"/>
    </row>
    <row r="731" spans="1:5">
      <c r="A731" s="48" t="s">
        <v>31</v>
      </c>
      <c r="B731" s="50" t="s">
        <v>659</v>
      </c>
      <c r="C731" s="51">
        <v>4000</v>
      </c>
      <c r="D731" s="52" t="s">
        <v>351</v>
      </c>
      <c r="E731" s="53">
        <v>0</v>
      </c>
    </row>
    <row r="732" spans="1:5">
      <c r="A732" s="48" t="s">
        <v>31</v>
      </c>
      <c r="B732" s="50" t="s">
        <v>660</v>
      </c>
      <c r="C732" s="51">
        <v>4000</v>
      </c>
      <c r="D732" s="52"/>
      <c r="E732" s="53"/>
    </row>
    <row r="733" spans="1:5">
      <c r="A733" s="48" t="s">
        <v>31</v>
      </c>
      <c r="B733" s="50" t="s">
        <v>661</v>
      </c>
      <c r="C733" s="51">
        <v>4000</v>
      </c>
      <c r="D733" s="52"/>
      <c r="E733" s="53"/>
    </row>
    <row r="734" spans="1:5">
      <c r="A734" s="48" t="s">
        <v>31</v>
      </c>
      <c r="B734" s="50" t="s">
        <v>662</v>
      </c>
      <c r="C734" s="51">
        <v>4000</v>
      </c>
      <c r="D734" s="52"/>
      <c r="E734" s="53"/>
    </row>
    <row r="735" spans="1:5">
      <c r="A735" s="48" t="s">
        <v>31</v>
      </c>
      <c r="B735" s="50" t="s">
        <v>663</v>
      </c>
      <c r="C735" s="51">
        <v>4000</v>
      </c>
      <c r="D735" s="52"/>
      <c r="E735" s="53">
        <v>0.72500002384185702</v>
      </c>
    </row>
    <row r="736" spans="1:5">
      <c r="A736" s="48" t="s">
        <v>31</v>
      </c>
      <c r="B736" s="50" t="s">
        <v>664</v>
      </c>
      <c r="C736" s="51">
        <v>4000</v>
      </c>
      <c r="D736" s="52"/>
      <c r="E736" s="53"/>
    </row>
    <row r="737" spans="1:5">
      <c r="A737" s="48" t="s">
        <v>31</v>
      </c>
      <c r="B737" s="50" t="s">
        <v>665</v>
      </c>
      <c r="C737" s="51">
        <v>4000</v>
      </c>
      <c r="D737" s="52"/>
      <c r="E737" s="53"/>
    </row>
    <row r="738" spans="1:5">
      <c r="A738" s="48" t="s">
        <v>31</v>
      </c>
      <c r="B738" s="50" t="s">
        <v>666</v>
      </c>
      <c r="C738" s="51">
        <v>4000</v>
      </c>
      <c r="D738" s="52"/>
      <c r="E738" s="53"/>
    </row>
    <row r="739" spans="1:5">
      <c r="A739" s="48" t="s">
        <v>31</v>
      </c>
      <c r="B739" s="50" t="s">
        <v>667</v>
      </c>
      <c r="C739" s="51">
        <v>4000</v>
      </c>
      <c r="D739" s="52"/>
      <c r="E739" s="53"/>
    </row>
    <row r="740" spans="1:5">
      <c r="A740" s="48" t="s">
        <v>31</v>
      </c>
      <c r="B740" s="50" t="s">
        <v>668</v>
      </c>
      <c r="C740" s="51">
        <v>4000</v>
      </c>
      <c r="D740" s="52" t="s">
        <v>75</v>
      </c>
      <c r="E740" s="53"/>
    </row>
    <row r="741" spans="1:5">
      <c r="A741" s="48" t="s">
        <v>31</v>
      </c>
      <c r="B741" s="50" t="s">
        <v>669</v>
      </c>
      <c r="C741" s="51">
        <v>4000</v>
      </c>
      <c r="D741" s="52"/>
      <c r="E741" s="53"/>
    </row>
    <row r="742" spans="1:5">
      <c r="A742" s="48" t="s">
        <v>31</v>
      </c>
      <c r="B742" s="50" t="s">
        <v>670</v>
      </c>
      <c r="C742" s="51">
        <v>4000</v>
      </c>
      <c r="D742" s="52"/>
      <c r="E742" s="53"/>
    </row>
    <row r="743" spans="1:5">
      <c r="A743" s="48" t="s">
        <v>31</v>
      </c>
      <c r="B743" s="50" t="s">
        <v>671</v>
      </c>
      <c r="C743" s="51">
        <v>4000</v>
      </c>
      <c r="D743" s="52"/>
      <c r="E743" s="53">
        <v>1.59999994131234</v>
      </c>
    </row>
    <row r="744" spans="1:5">
      <c r="A744" s="48" t="s">
        <v>31</v>
      </c>
      <c r="B744" s="50" t="s">
        <v>672</v>
      </c>
      <c r="C744" s="51">
        <v>4000</v>
      </c>
      <c r="D744" s="52"/>
      <c r="E744" s="53"/>
    </row>
    <row r="745" spans="1:5">
      <c r="A745" s="48" t="s">
        <v>31</v>
      </c>
      <c r="B745" s="50" t="s">
        <v>673</v>
      </c>
      <c r="C745" s="51">
        <v>4000</v>
      </c>
      <c r="D745" s="52" t="s">
        <v>351</v>
      </c>
      <c r="E745" s="53">
        <v>3.8428570883614599</v>
      </c>
    </row>
    <row r="746" spans="1:5">
      <c r="A746" s="48" t="s">
        <v>31</v>
      </c>
      <c r="B746" s="50" t="s">
        <v>674</v>
      </c>
      <c r="C746" s="51">
        <v>4000</v>
      </c>
      <c r="D746" s="52"/>
      <c r="E746" s="53">
        <v>1.20000004768371</v>
      </c>
    </row>
    <row r="747" spans="1:5">
      <c r="A747" s="48" t="s">
        <v>31</v>
      </c>
      <c r="B747" s="50" t="s">
        <v>675</v>
      </c>
      <c r="C747" s="51">
        <v>4000</v>
      </c>
      <c r="D747" s="52"/>
      <c r="E747" s="53">
        <v>1.5444444020589101</v>
      </c>
    </row>
    <row r="748" spans="1:5">
      <c r="A748" s="48" t="s">
        <v>31</v>
      </c>
      <c r="B748" s="50" t="s">
        <v>676</v>
      </c>
      <c r="C748" s="51">
        <v>4000</v>
      </c>
      <c r="D748" s="52"/>
      <c r="E748" s="53">
        <v>2.3499999046325599</v>
      </c>
    </row>
    <row r="749" spans="1:5">
      <c r="A749" s="48" t="s">
        <v>31</v>
      </c>
      <c r="B749" s="50" t="s">
        <v>677</v>
      </c>
      <c r="C749" s="51">
        <v>4000</v>
      </c>
      <c r="D749" s="52"/>
      <c r="E749" s="53"/>
    </row>
    <row r="750" spans="1:5">
      <c r="A750" s="48" t="s">
        <v>31</v>
      </c>
      <c r="B750" s="50" t="s">
        <v>678</v>
      </c>
      <c r="C750" s="51">
        <v>4000</v>
      </c>
      <c r="D750" s="52"/>
      <c r="E750" s="53">
        <v>0</v>
      </c>
    </row>
    <row r="751" spans="1:5">
      <c r="A751" s="48" t="s">
        <v>31</v>
      </c>
      <c r="B751" s="50" t="s">
        <v>679</v>
      </c>
      <c r="C751" s="51">
        <v>4000</v>
      </c>
      <c r="D751" s="52"/>
      <c r="E751" s="53">
        <v>0</v>
      </c>
    </row>
    <row r="752" spans="1:5">
      <c r="A752" s="48" t="s">
        <v>31</v>
      </c>
      <c r="B752" s="50" t="s">
        <v>680</v>
      </c>
      <c r="C752" s="51">
        <v>4000</v>
      </c>
      <c r="D752" s="52"/>
      <c r="E752" s="53">
        <v>1.88888888888888</v>
      </c>
    </row>
    <row r="753" spans="1:5">
      <c r="A753" s="48" t="s">
        <v>31</v>
      </c>
      <c r="B753" s="50" t="s">
        <v>681</v>
      </c>
      <c r="C753" s="51">
        <v>4000</v>
      </c>
      <c r="D753" s="52"/>
      <c r="E753" s="53"/>
    </row>
    <row r="754" spans="1:5">
      <c r="A754" s="48" t="s">
        <v>31</v>
      </c>
      <c r="B754" s="50" t="s">
        <v>682</v>
      </c>
      <c r="C754" s="51">
        <v>4000</v>
      </c>
      <c r="D754" s="52"/>
      <c r="E754" s="53">
        <v>2.0700000762939399</v>
      </c>
    </row>
    <row r="755" spans="1:5">
      <c r="A755" s="48" t="s">
        <v>31</v>
      </c>
      <c r="B755" s="50" t="s">
        <v>683</v>
      </c>
      <c r="C755" s="51">
        <v>4000</v>
      </c>
      <c r="D755" s="52"/>
      <c r="E755" s="53"/>
    </row>
    <row r="756" spans="1:5">
      <c r="A756" s="48" t="s">
        <v>31</v>
      </c>
      <c r="B756" s="50" t="s">
        <v>684</v>
      </c>
      <c r="C756" s="51">
        <v>4000</v>
      </c>
      <c r="D756" s="52" t="s">
        <v>75</v>
      </c>
      <c r="E756" s="53"/>
    </row>
    <row r="757" spans="1:5">
      <c r="A757" s="48" t="s">
        <v>31</v>
      </c>
      <c r="B757" s="50" t="s">
        <v>685</v>
      </c>
      <c r="C757" s="51">
        <v>4000</v>
      </c>
      <c r="D757" s="52"/>
      <c r="E757" s="53"/>
    </row>
    <row r="758" spans="1:5">
      <c r="A758" s="48" t="s">
        <v>31</v>
      </c>
      <c r="B758" s="50" t="s">
        <v>686</v>
      </c>
      <c r="C758" s="51">
        <v>4000</v>
      </c>
      <c r="D758" s="52" t="s">
        <v>75</v>
      </c>
      <c r="E758" s="53">
        <v>1.07499996821085</v>
      </c>
    </row>
    <row r="759" spans="1:5">
      <c r="A759" s="48" t="s">
        <v>31</v>
      </c>
      <c r="B759" s="50" t="s">
        <v>687</v>
      </c>
      <c r="C759" s="51">
        <v>4000</v>
      </c>
      <c r="D759" s="52"/>
      <c r="E759" s="53">
        <v>0</v>
      </c>
    </row>
    <row r="760" spans="1:5">
      <c r="A760" s="48" t="s">
        <v>31</v>
      </c>
      <c r="B760" s="50" t="s">
        <v>241</v>
      </c>
      <c r="C760" s="51">
        <v>4000</v>
      </c>
      <c r="D760" s="52" t="s">
        <v>351</v>
      </c>
      <c r="E760" s="53">
        <v>5</v>
      </c>
    </row>
    <row r="761" spans="1:5">
      <c r="A761" s="48" t="s">
        <v>31</v>
      </c>
      <c r="B761" s="50" t="s">
        <v>688</v>
      </c>
      <c r="C761" s="51">
        <v>4000</v>
      </c>
      <c r="D761" s="52"/>
      <c r="E761" s="53">
        <v>0.220000004768371</v>
      </c>
    </row>
    <row r="762" spans="1:5">
      <c r="A762" s="48" t="s">
        <v>31</v>
      </c>
      <c r="B762" s="50" t="s">
        <v>689</v>
      </c>
      <c r="C762" s="51">
        <v>4000</v>
      </c>
      <c r="D762" s="52"/>
      <c r="E762" s="53">
        <v>5.90714263916015</v>
      </c>
    </row>
    <row r="763" spans="1:5">
      <c r="A763" s="48" t="s">
        <v>31</v>
      </c>
      <c r="B763" s="50" t="s">
        <v>690</v>
      </c>
      <c r="C763" s="51">
        <v>4000</v>
      </c>
      <c r="D763" s="52"/>
      <c r="E763" s="53">
        <v>0.64999997615814198</v>
      </c>
    </row>
    <row r="764" spans="1:5">
      <c r="A764" s="48" t="s">
        <v>31</v>
      </c>
      <c r="B764" s="50" t="s">
        <v>230</v>
      </c>
      <c r="C764" s="51">
        <v>4000</v>
      </c>
      <c r="D764" s="52"/>
      <c r="E764" s="53">
        <v>1.375</v>
      </c>
    </row>
    <row r="765" spans="1:5">
      <c r="A765" s="48" t="s">
        <v>31</v>
      </c>
      <c r="B765" s="50" t="s">
        <v>691</v>
      </c>
      <c r="C765" s="51">
        <v>4000</v>
      </c>
      <c r="D765" s="52" t="s">
        <v>75</v>
      </c>
      <c r="E765" s="53"/>
    </row>
    <row r="766" spans="1:5">
      <c r="A766" s="48" t="s">
        <v>31</v>
      </c>
      <c r="B766" s="50" t="s">
        <v>692</v>
      </c>
      <c r="C766" s="51">
        <v>4000</v>
      </c>
      <c r="D766" s="52" t="s">
        <v>75</v>
      </c>
      <c r="E766" s="53"/>
    </row>
    <row r="767" spans="1:5">
      <c r="A767" s="48" t="s">
        <v>31</v>
      </c>
      <c r="B767" s="50" t="s">
        <v>693</v>
      </c>
      <c r="C767" s="51">
        <v>4000</v>
      </c>
      <c r="D767" s="52" t="s">
        <v>75</v>
      </c>
      <c r="E767" s="53"/>
    </row>
    <row r="768" spans="1:5">
      <c r="A768" s="48" t="s">
        <v>31</v>
      </c>
      <c r="B768" s="50" t="s">
        <v>694</v>
      </c>
      <c r="C768" s="51">
        <v>4000</v>
      </c>
      <c r="D768" s="52"/>
      <c r="E768" s="53">
        <v>0.64000000953674296</v>
      </c>
    </row>
    <row r="769" spans="1:5">
      <c r="A769" s="48" t="s">
        <v>31</v>
      </c>
      <c r="B769" s="50" t="s">
        <v>695</v>
      </c>
      <c r="C769" s="51">
        <v>4000</v>
      </c>
      <c r="D769" s="52"/>
      <c r="E769" s="53"/>
    </row>
    <row r="770" spans="1:5">
      <c r="A770" s="48" t="s">
        <v>31</v>
      </c>
      <c r="B770" s="50" t="s">
        <v>696</v>
      </c>
      <c r="C770" s="51">
        <v>4000</v>
      </c>
      <c r="D770" s="52" t="s">
        <v>351</v>
      </c>
      <c r="E770" s="53">
        <v>0.23333332935969001</v>
      </c>
    </row>
    <row r="771" spans="1:5">
      <c r="A771" s="48" t="s">
        <v>31</v>
      </c>
      <c r="B771" s="50" t="s">
        <v>261</v>
      </c>
      <c r="C771" s="51">
        <v>4000</v>
      </c>
      <c r="D771" s="52"/>
      <c r="E771" s="53">
        <v>1.5333333545260901</v>
      </c>
    </row>
    <row r="772" spans="1:5">
      <c r="A772" s="48" t="s">
        <v>31</v>
      </c>
      <c r="B772" s="50" t="s">
        <v>697</v>
      </c>
      <c r="C772" s="51">
        <v>4000</v>
      </c>
      <c r="D772" s="52" t="s">
        <v>75</v>
      </c>
      <c r="E772" s="53"/>
    </row>
    <row r="773" spans="1:5">
      <c r="A773" s="48" t="s">
        <v>31</v>
      </c>
      <c r="B773" s="50" t="s">
        <v>698</v>
      </c>
      <c r="C773" s="51">
        <v>4000</v>
      </c>
      <c r="D773" s="52"/>
      <c r="E773" s="53"/>
    </row>
    <row r="774" spans="1:5">
      <c r="A774" s="48" t="s">
        <v>31</v>
      </c>
      <c r="B774" s="50" t="s">
        <v>699</v>
      </c>
      <c r="C774" s="51">
        <v>4000</v>
      </c>
      <c r="D774" s="52"/>
      <c r="E774" s="53">
        <v>3.3916667302449501</v>
      </c>
    </row>
    <row r="775" spans="1:5">
      <c r="A775" s="48" t="s">
        <v>31</v>
      </c>
      <c r="B775" s="50" t="s">
        <v>700</v>
      </c>
      <c r="C775" s="51">
        <v>4000</v>
      </c>
      <c r="D775" s="52" t="s">
        <v>351</v>
      </c>
      <c r="E775" s="53">
        <v>3.7133333841959599</v>
      </c>
    </row>
    <row r="776" spans="1:5">
      <c r="A776" s="48" t="s">
        <v>31</v>
      </c>
      <c r="B776" s="50" t="s">
        <v>701</v>
      </c>
      <c r="C776" s="51">
        <v>4000</v>
      </c>
      <c r="D776" s="52"/>
      <c r="E776" s="53"/>
    </row>
    <row r="777" spans="1:5">
      <c r="A777" s="48" t="s">
        <v>31</v>
      </c>
      <c r="B777" s="50" t="s">
        <v>702</v>
      </c>
      <c r="C777" s="51">
        <v>4000</v>
      </c>
      <c r="D777" s="52"/>
      <c r="E777" s="53"/>
    </row>
    <row r="778" spans="1:5">
      <c r="A778" s="48" t="s">
        <v>31</v>
      </c>
      <c r="B778" s="50" t="s">
        <v>703</v>
      </c>
      <c r="C778" s="51">
        <v>4000</v>
      </c>
      <c r="D778" s="52"/>
      <c r="E778" s="53"/>
    </row>
    <row r="779" spans="1:5">
      <c r="A779" s="48" t="s">
        <v>31</v>
      </c>
      <c r="B779" s="50" t="s">
        <v>704</v>
      </c>
      <c r="C779" s="51">
        <v>4000</v>
      </c>
      <c r="D779" s="52"/>
      <c r="E779" s="53">
        <v>0</v>
      </c>
    </row>
    <row r="780" spans="1:5">
      <c r="A780" s="48" t="s">
        <v>31</v>
      </c>
      <c r="B780" s="50" t="s">
        <v>705</v>
      </c>
      <c r="C780" s="51">
        <v>4000</v>
      </c>
      <c r="D780" s="52"/>
      <c r="E780" s="53"/>
    </row>
    <row r="781" spans="1:5">
      <c r="A781" s="48" t="s">
        <v>31</v>
      </c>
      <c r="B781" s="50" t="s">
        <v>706</v>
      </c>
      <c r="C781" s="51">
        <v>4000</v>
      </c>
      <c r="D781" s="52"/>
      <c r="E781" s="53"/>
    </row>
    <row r="782" spans="1:5">
      <c r="A782" s="48" t="s">
        <v>31</v>
      </c>
      <c r="B782" s="50" t="s">
        <v>707</v>
      </c>
      <c r="C782" s="51">
        <v>4000</v>
      </c>
      <c r="D782" s="52"/>
      <c r="E782" s="53"/>
    </row>
    <row r="783" spans="1:5">
      <c r="A783" s="48" t="s">
        <v>31</v>
      </c>
      <c r="B783" s="50" t="s">
        <v>708</v>
      </c>
      <c r="C783" s="51">
        <v>4000</v>
      </c>
      <c r="D783" s="52"/>
      <c r="E783" s="53">
        <v>1.85</v>
      </c>
    </row>
    <row r="784" spans="1:5">
      <c r="A784" s="48" t="s">
        <v>31</v>
      </c>
      <c r="B784" s="50" t="s">
        <v>709</v>
      </c>
      <c r="C784" s="51">
        <v>4000</v>
      </c>
      <c r="D784" s="52"/>
      <c r="E784" s="53"/>
    </row>
    <row r="785" spans="1:5">
      <c r="A785" s="48" t="s">
        <v>31</v>
      </c>
      <c r="B785" s="50" t="s">
        <v>710</v>
      </c>
      <c r="C785" s="51">
        <v>4000</v>
      </c>
      <c r="D785" s="52"/>
      <c r="E785" s="53"/>
    </row>
    <row r="786" spans="1:5">
      <c r="A786" s="48" t="s">
        <v>31</v>
      </c>
      <c r="B786" s="50" t="s">
        <v>711</v>
      </c>
      <c r="C786" s="51">
        <v>4000</v>
      </c>
      <c r="D786" s="52" t="s">
        <v>75</v>
      </c>
      <c r="E786" s="53"/>
    </row>
    <row r="787" spans="1:5">
      <c r="A787" s="48" t="s">
        <v>31</v>
      </c>
      <c r="B787" s="50" t="s">
        <v>712</v>
      </c>
      <c r="C787" s="51">
        <v>4000</v>
      </c>
      <c r="D787" s="52"/>
      <c r="E787" s="53">
        <v>0</v>
      </c>
    </row>
    <row r="788" spans="1:5">
      <c r="A788" s="48" t="s">
        <v>31</v>
      </c>
      <c r="B788" s="50" t="s">
        <v>713</v>
      </c>
      <c r="C788" s="51">
        <v>4000</v>
      </c>
      <c r="D788" s="52"/>
      <c r="E788" s="53">
        <v>1</v>
      </c>
    </row>
    <row r="789" spans="1:5">
      <c r="A789" s="48" t="s">
        <v>31</v>
      </c>
      <c r="B789" s="50" t="s">
        <v>714</v>
      </c>
      <c r="C789" s="51">
        <v>4000</v>
      </c>
      <c r="D789" s="52" t="s">
        <v>75</v>
      </c>
      <c r="E789" s="53"/>
    </row>
    <row r="790" spans="1:5">
      <c r="A790" s="48" t="s">
        <v>31</v>
      </c>
      <c r="B790" s="50" t="s">
        <v>715</v>
      </c>
      <c r="C790" s="51">
        <v>4000</v>
      </c>
      <c r="D790" s="52"/>
      <c r="E790" s="53">
        <v>3.70000004768371</v>
      </c>
    </row>
    <row r="791" spans="1:5">
      <c r="A791" s="48" t="s">
        <v>31</v>
      </c>
      <c r="B791" s="50" t="s">
        <v>716</v>
      </c>
      <c r="C791" s="51">
        <v>4000</v>
      </c>
      <c r="D791" s="52"/>
      <c r="E791" s="53">
        <v>3.36666679382324</v>
      </c>
    </row>
    <row r="792" spans="1:5">
      <c r="A792" s="48" t="s">
        <v>31</v>
      </c>
      <c r="B792" s="50" t="s">
        <v>717</v>
      </c>
      <c r="C792" s="51">
        <v>4000</v>
      </c>
      <c r="D792" s="52"/>
      <c r="E792" s="53"/>
    </row>
    <row r="793" spans="1:5">
      <c r="A793" s="48" t="s">
        <v>31</v>
      </c>
      <c r="B793" s="50" t="s">
        <v>718</v>
      </c>
      <c r="C793" s="51">
        <v>4000</v>
      </c>
      <c r="D793" s="52"/>
      <c r="E793" s="53"/>
    </row>
    <row r="794" spans="1:5">
      <c r="A794" s="48" t="s">
        <v>31</v>
      </c>
      <c r="B794" s="50" t="s">
        <v>258</v>
      </c>
      <c r="C794" s="51">
        <v>4000</v>
      </c>
      <c r="D794" s="52"/>
      <c r="E794" s="53">
        <v>0</v>
      </c>
    </row>
    <row r="795" spans="1:5">
      <c r="A795" s="48" t="s">
        <v>31</v>
      </c>
      <c r="B795" s="50" t="s">
        <v>719</v>
      </c>
      <c r="C795" s="51">
        <v>4000</v>
      </c>
      <c r="D795" s="52" t="s">
        <v>75</v>
      </c>
      <c r="E795" s="53"/>
    </row>
    <row r="796" spans="1:5">
      <c r="A796" s="48" t="s">
        <v>31</v>
      </c>
      <c r="B796" s="50" t="s">
        <v>720</v>
      </c>
      <c r="C796" s="51">
        <v>4000</v>
      </c>
      <c r="D796" s="52"/>
      <c r="E796" s="53">
        <v>2.9799999237060502</v>
      </c>
    </row>
    <row r="797" spans="1:5">
      <c r="A797" s="48" t="s">
        <v>31</v>
      </c>
      <c r="B797" s="50" t="s">
        <v>721</v>
      </c>
      <c r="C797" s="51">
        <v>4000</v>
      </c>
      <c r="D797" s="52"/>
      <c r="E797" s="53"/>
    </row>
    <row r="798" spans="1:5">
      <c r="A798" s="48" t="s">
        <v>31</v>
      </c>
      <c r="B798" s="50" t="s">
        <v>722</v>
      </c>
      <c r="C798" s="51">
        <v>4000</v>
      </c>
      <c r="D798" s="52"/>
      <c r="E798" s="53">
        <v>0</v>
      </c>
    </row>
    <row r="799" spans="1:5">
      <c r="A799" s="48" t="s">
        <v>31</v>
      </c>
      <c r="B799" s="50" t="s">
        <v>723</v>
      </c>
      <c r="C799" s="51">
        <v>4000</v>
      </c>
      <c r="D799" s="52"/>
      <c r="E799" s="53"/>
    </row>
    <row r="800" spans="1:5">
      <c r="A800" s="48" t="s">
        <v>31</v>
      </c>
      <c r="B800" s="50" t="s">
        <v>724</v>
      </c>
      <c r="C800" s="51">
        <v>4000</v>
      </c>
      <c r="D800" s="52"/>
      <c r="E800" s="53"/>
    </row>
    <row r="801" spans="1:5">
      <c r="A801" s="48" t="s">
        <v>31</v>
      </c>
      <c r="B801" s="50" t="s">
        <v>725</v>
      </c>
      <c r="C801" s="51">
        <v>4000</v>
      </c>
      <c r="D801" s="52"/>
      <c r="E801" s="53">
        <v>0</v>
      </c>
    </row>
    <row r="802" spans="1:5">
      <c r="A802" s="48" t="s">
        <v>31</v>
      </c>
      <c r="B802" s="50" t="s">
        <v>726</v>
      </c>
      <c r="C802" s="51">
        <v>4000</v>
      </c>
      <c r="D802" s="52"/>
      <c r="E802" s="53">
        <v>0</v>
      </c>
    </row>
    <row r="803" spans="1:5">
      <c r="A803" s="48" t="s">
        <v>31</v>
      </c>
      <c r="B803" s="50" t="s">
        <v>727</v>
      </c>
      <c r="C803" s="51">
        <v>4000</v>
      </c>
      <c r="D803" s="52" t="s">
        <v>75</v>
      </c>
      <c r="E803" s="53">
        <v>3.1333332061767498</v>
      </c>
    </row>
    <row r="804" spans="1:5">
      <c r="A804" s="48" t="s">
        <v>31</v>
      </c>
      <c r="B804" s="50" t="s">
        <v>728</v>
      </c>
      <c r="C804" s="51">
        <v>4000</v>
      </c>
      <c r="D804" s="52"/>
      <c r="E804" s="53"/>
    </row>
    <row r="805" spans="1:5">
      <c r="A805" s="48" t="s">
        <v>31</v>
      </c>
      <c r="B805" s="50" t="s">
        <v>729</v>
      </c>
      <c r="C805" s="51">
        <v>4000</v>
      </c>
      <c r="D805" s="52"/>
      <c r="E805" s="53"/>
    </row>
    <row r="806" spans="1:5">
      <c r="A806" s="48" t="s">
        <v>31</v>
      </c>
      <c r="B806" s="50" t="s">
        <v>730</v>
      </c>
      <c r="C806" s="51">
        <v>4000</v>
      </c>
      <c r="D806" s="52" t="s">
        <v>351</v>
      </c>
      <c r="E806" s="53"/>
    </row>
    <row r="807" spans="1:5">
      <c r="A807" s="48" t="s">
        <v>31</v>
      </c>
      <c r="B807" s="50" t="s">
        <v>731</v>
      </c>
      <c r="C807" s="51">
        <v>4000</v>
      </c>
      <c r="D807" s="52"/>
      <c r="E807" s="53">
        <v>1.2666666507720901</v>
      </c>
    </row>
    <row r="808" spans="1:5">
      <c r="A808" s="48" t="s">
        <v>31</v>
      </c>
      <c r="B808" s="50" t="s">
        <v>732</v>
      </c>
      <c r="C808" s="51">
        <v>4000</v>
      </c>
      <c r="D808" s="52"/>
      <c r="E808" s="53"/>
    </row>
    <row r="809" spans="1:5">
      <c r="A809" s="48" t="s">
        <v>31</v>
      </c>
      <c r="B809" s="50" t="s">
        <v>733</v>
      </c>
      <c r="C809" s="51">
        <v>4000</v>
      </c>
      <c r="D809" s="52"/>
      <c r="E809" s="53">
        <v>1.3500000238418499</v>
      </c>
    </row>
    <row r="810" spans="1:5">
      <c r="A810" s="48" t="s">
        <v>31</v>
      </c>
      <c r="B810" s="50" t="s">
        <v>734</v>
      </c>
      <c r="C810" s="51">
        <v>4000</v>
      </c>
      <c r="D810" s="52"/>
      <c r="E810" s="53"/>
    </row>
    <row r="811" spans="1:5">
      <c r="A811" s="48" t="s">
        <v>31</v>
      </c>
      <c r="B811" s="50" t="s">
        <v>735</v>
      </c>
      <c r="C811" s="51">
        <v>4000</v>
      </c>
      <c r="D811" s="52"/>
      <c r="E811" s="53"/>
    </row>
    <row r="812" spans="1:5">
      <c r="A812" s="48" t="s">
        <v>31</v>
      </c>
      <c r="B812" s="50" t="s">
        <v>736</v>
      </c>
      <c r="C812" s="51">
        <v>4000</v>
      </c>
      <c r="D812" s="52" t="s">
        <v>75</v>
      </c>
      <c r="E812" s="53"/>
    </row>
    <row r="813" spans="1:5">
      <c r="A813" s="48" t="s">
        <v>31</v>
      </c>
      <c r="B813" s="50" t="s">
        <v>737</v>
      </c>
      <c r="C813" s="51">
        <v>4000</v>
      </c>
      <c r="D813" s="52" t="s">
        <v>351</v>
      </c>
      <c r="E813" s="53"/>
    </row>
    <row r="814" spans="1:5">
      <c r="A814" s="48" t="s">
        <v>31</v>
      </c>
      <c r="B814" s="50" t="s">
        <v>738</v>
      </c>
      <c r="C814" s="51">
        <v>4000</v>
      </c>
      <c r="D814" s="52"/>
      <c r="E814" s="53"/>
    </row>
    <row r="815" spans="1:5">
      <c r="A815" s="48" t="s">
        <v>31</v>
      </c>
      <c r="B815" s="50" t="s">
        <v>739</v>
      </c>
      <c r="C815" s="51">
        <v>4000</v>
      </c>
      <c r="D815" s="52"/>
      <c r="E815" s="53"/>
    </row>
    <row r="816" spans="1:5">
      <c r="A816" s="48" t="s">
        <v>31</v>
      </c>
      <c r="B816" s="50" t="s">
        <v>740</v>
      </c>
      <c r="C816" s="51">
        <v>4000</v>
      </c>
      <c r="D816" s="52"/>
      <c r="E816" s="53"/>
    </row>
    <row r="817" spans="1:5">
      <c r="A817" s="48" t="s">
        <v>31</v>
      </c>
      <c r="B817" s="50" t="s">
        <v>741</v>
      </c>
      <c r="C817" s="51">
        <v>4000</v>
      </c>
      <c r="D817" s="52" t="s">
        <v>75</v>
      </c>
      <c r="E817" s="53"/>
    </row>
    <row r="818" spans="1:5">
      <c r="A818" s="48" t="s">
        <v>31</v>
      </c>
      <c r="B818" s="50" t="s">
        <v>742</v>
      </c>
      <c r="C818" s="51">
        <v>4000</v>
      </c>
      <c r="D818" s="52"/>
      <c r="E818" s="53">
        <v>2.7999998728434199</v>
      </c>
    </row>
    <row r="819" spans="1:5">
      <c r="A819" s="48" t="s">
        <v>31</v>
      </c>
      <c r="B819" s="50" t="s">
        <v>743</v>
      </c>
      <c r="C819" s="51">
        <v>4000</v>
      </c>
      <c r="D819" s="52" t="s">
        <v>351</v>
      </c>
      <c r="E819" s="53"/>
    </row>
    <row r="820" spans="1:5">
      <c r="A820" s="48" t="s">
        <v>31</v>
      </c>
      <c r="B820" s="50" t="s">
        <v>744</v>
      </c>
      <c r="C820" s="51">
        <v>4000</v>
      </c>
      <c r="D820" s="52"/>
      <c r="E820" s="53">
        <v>2.5</v>
      </c>
    </row>
    <row r="821" spans="1:5">
      <c r="A821" s="48" t="s">
        <v>31</v>
      </c>
      <c r="B821" s="50" t="s">
        <v>745</v>
      </c>
      <c r="C821" s="51">
        <v>4000</v>
      </c>
      <c r="D821" s="52"/>
      <c r="E821" s="53"/>
    </row>
    <row r="822" spans="1:5">
      <c r="A822" s="48" t="s">
        <v>31</v>
      </c>
      <c r="B822" s="50" t="s">
        <v>746</v>
      </c>
      <c r="C822" s="51">
        <v>4000</v>
      </c>
      <c r="D822" s="52"/>
      <c r="E822" s="53"/>
    </row>
    <row r="823" spans="1:5">
      <c r="A823" s="48" t="s">
        <v>31</v>
      </c>
      <c r="B823" s="50" t="s">
        <v>747</v>
      </c>
      <c r="C823" s="51">
        <v>4000</v>
      </c>
      <c r="D823" s="52"/>
      <c r="E823" s="53">
        <v>1.0833333333333299</v>
      </c>
    </row>
    <row r="824" spans="1:5">
      <c r="A824" s="48" t="s">
        <v>31</v>
      </c>
      <c r="B824" s="50" t="s">
        <v>748</v>
      </c>
      <c r="C824" s="51">
        <v>4000</v>
      </c>
      <c r="D824" s="52"/>
      <c r="E824" s="53">
        <v>0</v>
      </c>
    </row>
    <row r="825" spans="1:5">
      <c r="A825" s="48" t="s">
        <v>31</v>
      </c>
      <c r="B825" s="50" t="s">
        <v>749</v>
      </c>
      <c r="C825" s="51">
        <v>4000</v>
      </c>
      <c r="D825" s="52" t="s">
        <v>351</v>
      </c>
      <c r="E825" s="53"/>
    </row>
    <row r="826" spans="1:5">
      <c r="A826" s="48" t="s">
        <v>31</v>
      </c>
      <c r="B826" s="50" t="s">
        <v>750</v>
      </c>
      <c r="C826" s="51">
        <v>4000</v>
      </c>
      <c r="D826" s="52"/>
      <c r="E826" s="53"/>
    </row>
    <row r="827" spans="1:5">
      <c r="A827" s="48" t="s">
        <v>31</v>
      </c>
      <c r="B827" s="50" t="s">
        <v>751</v>
      </c>
      <c r="C827" s="51">
        <v>4000</v>
      </c>
      <c r="D827" s="52"/>
      <c r="E827" s="53"/>
    </row>
    <row r="828" spans="1:5">
      <c r="A828" s="48" t="s">
        <v>31</v>
      </c>
      <c r="B828" s="50" t="s">
        <v>752</v>
      </c>
      <c r="C828" s="51">
        <v>4000</v>
      </c>
      <c r="D828" s="52"/>
      <c r="E828" s="53">
        <v>0</v>
      </c>
    </row>
    <row r="829" spans="1:5">
      <c r="A829" s="48" t="s">
        <v>31</v>
      </c>
      <c r="B829" s="50" t="s">
        <v>753</v>
      </c>
      <c r="C829" s="51">
        <v>4000</v>
      </c>
      <c r="D829" s="52"/>
      <c r="E829" s="53">
        <v>0</v>
      </c>
    </row>
    <row r="830" spans="1:5">
      <c r="A830" s="48" t="s">
        <v>31</v>
      </c>
      <c r="B830" s="50" t="s">
        <v>754</v>
      </c>
      <c r="C830" s="51">
        <v>4000</v>
      </c>
      <c r="D830" s="52" t="s">
        <v>75</v>
      </c>
      <c r="E830" s="53"/>
    </row>
    <row r="831" spans="1:5">
      <c r="A831" s="48" t="s">
        <v>31</v>
      </c>
      <c r="B831" s="50" t="s">
        <v>755</v>
      </c>
      <c r="C831" s="51">
        <v>4000</v>
      </c>
      <c r="D831" s="52"/>
      <c r="E831" s="53">
        <v>0</v>
      </c>
    </row>
    <row r="832" spans="1:5">
      <c r="A832" s="48" t="s">
        <v>31</v>
      </c>
      <c r="B832" s="50" t="s">
        <v>756</v>
      </c>
      <c r="C832" s="51">
        <v>4000</v>
      </c>
      <c r="D832" s="52"/>
      <c r="E832" s="53"/>
    </row>
    <row r="833" spans="1:5">
      <c r="A833" s="48" t="s">
        <v>31</v>
      </c>
      <c r="B833" s="50" t="s">
        <v>757</v>
      </c>
      <c r="C833" s="51">
        <v>4000</v>
      </c>
      <c r="D833" s="52"/>
      <c r="E833" s="53">
        <v>0</v>
      </c>
    </row>
    <row r="834" spans="1:5">
      <c r="A834" s="48" t="s">
        <v>31</v>
      </c>
      <c r="B834" s="50" t="s">
        <v>758</v>
      </c>
      <c r="C834" s="51">
        <v>4000</v>
      </c>
      <c r="D834" s="52" t="s">
        <v>351</v>
      </c>
      <c r="E834" s="53">
        <v>0</v>
      </c>
    </row>
  </sheetData>
  <sortState ref="A2:E245">
    <sortCondition ref="A2:A245"/>
    <sortCondition descending="1" ref="C2:C24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834"/>
  <sheetViews>
    <sheetView topLeftCell="A716" workbookViewId="0">
      <selection activeCell="A728" sqref="A728"/>
    </sheetView>
  </sheetViews>
  <sheetFormatPr defaultRowHeight="15"/>
  <cols>
    <col min="1" max="1" width="22.5703125" style="12" bestFit="1" customWidth="1"/>
    <col min="2" max="2" width="7.5703125" style="12" bestFit="1" customWidth="1"/>
    <col min="3" max="3" width="11.42578125" style="12" bestFit="1" customWidth="1"/>
    <col min="4" max="4" width="10.5703125" style="12" bestFit="1" customWidth="1"/>
  </cols>
  <sheetData>
    <row r="1" spans="1:4">
      <c r="A1" s="12" t="s">
        <v>1</v>
      </c>
      <c r="B1" s="12" t="s">
        <v>2</v>
      </c>
      <c r="C1" s="12" t="s">
        <v>59</v>
      </c>
      <c r="D1" s="12" t="s">
        <v>60</v>
      </c>
    </row>
    <row r="2" spans="1:4">
      <c r="A2" s="53" t="s">
        <v>539</v>
      </c>
      <c r="B2" s="53">
        <v>4200</v>
      </c>
      <c r="C2" s="53"/>
      <c r="D2" s="53">
        <v>6.0666664971245599</v>
      </c>
    </row>
    <row r="3" spans="1:4">
      <c r="A3" s="53" t="s">
        <v>354</v>
      </c>
      <c r="B3" s="53">
        <v>6800</v>
      </c>
      <c r="C3" s="53"/>
      <c r="D3" s="53">
        <v>12.815385084885801</v>
      </c>
    </row>
    <row r="4" spans="1:4">
      <c r="A4" s="53" t="s">
        <v>418</v>
      </c>
      <c r="B4" s="53">
        <v>4000</v>
      </c>
      <c r="C4" s="53"/>
      <c r="D4" s="53"/>
    </row>
    <row r="5" spans="1:4">
      <c r="A5" s="53" t="s">
        <v>165</v>
      </c>
      <c r="B5" s="53">
        <v>4000</v>
      </c>
      <c r="C5" s="53"/>
      <c r="D5" s="53">
        <v>0.46666665871938001</v>
      </c>
    </row>
    <row r="6" spans="1:4">
      <c r="A6" s="53" t="s">
        <v>99</v>
      </c>
      <c r="B6" s="53">
        <v>5400</v>
      </c>
      <c r="C6" s="53"/>
      <c r="D6" s="53">
        <v>10.558823529411701</v>
      </c>
    </row>
    <row r="7" spans="1:4">
      <c r="A7" s="53" t="s">
        <v>816</v>
      </c>
      <c r="B7" s="53">
        <v>4100</v>
      </c>
      <c r="C7" s="53"/>
      <c r="D7" s="53">
        <v>2.9058824426987502</v>
      </c>
    </row>
    <row r="8" spans="1:4">
      <c r="A8" s="53" t="s">
        <v>492</v>
      </c>
      <c r="B8" s="53">
        <v>5500</v>
      </c>
      <c r="C8" s="53"/>
      <c r="D8" s="53"/>
    </row>
    <row r="9" spans="1:4">
      <c r="A9" s="53" t="s">
        <v>664</v>
      </c>
      <c r="B9" s="53">
        <v>4000</v>
      </c>
      <c r="C9" s="53"/>
      <c r="D9" s="53"/>
    </row>
    <row r="10" spans="1:4">
      <c r="A10" s="53" t="s">
        <v>119</v>
      </c>
      <c r="B10" s="53">
        <v>6800</v>
      </c>
      <c r="C10" s="53"/>
      <c r="D10" s="53">
        <v>11.068333943684801</v>
      </c>
    </row>
    <row r="11" spans="1:4">
      <c r="A11" s="53" t="s">
        <v>436</v>
      </c>
      <c r="B11" s="53">
        <v>4000</v>
      </c>
      <c r="C11" s="53"/>
      <c r="D11" s="53"/>
    </row>
    <row r="12" spans="1:4">
      <c r="A12" s="53" t="s">
        <v>774</v>
      </c>
      <c r="B12" s="53">
        <v>4400</v>
      </c>
      <c r="C12" s="53"/>
      <c r="D12" s="53"/>
    </row>
    <row r="13" spans="1:4">
      <c r="A13" s="53" t="s">
        <v>840</v>
      </c>
      <c r="B13" s="53">
        <v>4000</v>
      </c>
      <c r="C13" s="53"/>
      <c r="D13" s="53"/>
    </row>
    <row r="14" spans="1:4">
      <c r="A14" s="53" t="s">
        <v>164</v>
      </c>
      <c r="B14" s="53">
        <v>4400</v>
      </c>
      <c r="C14" s="53"/>
      <c r="D14" s="53">
        <v>1.6727272380481999</v>
      </c>
    </row>
    <row r="15" spans="1:4">
      <c r="A15" s="53" t="s">
        <v>235</v>
      </c>
      <c r="B15" s="53">
        <v>5100</v>
      </c>
      <c r="C15" s="53"/>
      <c r="D15" s="53">
        <v>4.6705883250516997</v>
      </c>
    </row>
    <row r="16" spans="1:4">
      <c r="A16" s="53" t="s">
        <v>415</v>
      </c>
      <c r="B16" s="53">
        <v>4000</v>
      </c>
      <c r="C16" s="53"/>
      <c r="D16" s="53">
        <v>0.69999998807907104</v>
      </c>
    </row>
    <row r="17" spans="1:4">
      <c r="A17" s="53" t="s">
        <v>681</v>
      </c>
      <c r="B17" s="53">
        <v>4000</v>
      </c>
      <c r="C17" s="53"/>
      <c r="D17" s="53"/>
    </row>
    <row r="18" spans="1:4">
      <c r="A18" s="53" t="s">
        <v>607</v>
      </c>
      <c r="B18" s="53">
        <v>4000</v>
      </c>
      <c r="C18" s="53"/>
      <c r="D18" s="53">
        <v>4.1333334181043799</v>
      </c>
    </row>
    <row r="19" spans="1:4">
      <c r="A19" s="53" t="s">
        <v>110</v>
      </c>
      <c r="B19" s="53">
        <v>5200</v>
      </c>
      <c r="C19" s="53"/>
      <c r="D19" s="53">
        <v>7.3874998092651296</v>
      </c>
    </row>
    <row r="20" spans="1:4">
      <c r="A20" s="53" t="s">
        <v>587</v>
      </c>
      <c r="B20" s="53">
        <v>4100</v>
      </c>
      <c r="C20" s="53"/>
      <c r="D20" s="53">
        <v>2.77647063311408</v>
      </c>
    </row>
    <row r="21" spans="1:4">
      <c r="A21" s="53" t="s">
        <v>6</v>
      </c>
      <c r="B21" s="53">
        <v>7100</v>
      </c>
      <c r="C21" s="53"/>
      <c r="D21" s="53">
        <v>15.038461538461499</v>
      </c>
    </row>
    <row r="22" spans="1:4">
      <c r="A22" s="53" t="s">
        <v>204</v>
      </c>
      <c r="B22" s="53">
        <v>6600</v>
      </c>
      <c r="C22" s="53"/>
      <c r="D22" s="53">
        <v>12.431249618530201</v>
      </c>
    </row>
    <row r="23" spans="1:4">
      <c r="A23" s="53" t="s">
        <v>141</v>
      </c>
      <c r="B23" s="53">
        <v>4900</v>
      </c>
      <c r="C23" s="53"/>
      <c r="D23" s="53">
        <v>1.96875</v>
      </c>
    </row>
    <row r="24" spans="1:4">
      <c r="A24" s="53" t="s">
        <v>95</v>
      </c>
      <c r="B24" s="53">
        <v>8900</v>
      </c>
      <c r="C24" s="53"/>
      <c r="D24" s="53">
        <v>16.6315789473684</v>
      </c>
    </row>
    <row r="25" spans="1:4">
      <c r="A25" s="53" t="s">
        <v>704</v>
      </c>
      <c r="B25" s="53">
        <v>4000</v>
      </c>
      <c r="C25" s="53"/>
      <c r="D25" s="53">
        <v>0</v>
      </c>
    </row>
    <row r="26" spans="1:4">
      <c r="A26" s="53" t="s">
        <v>263</v>
      </c>
      <c r="B26" s="53">
        <v>4300</v>
      </c>
      <c r="C26" s="53"/>
      <c r="D26" s="53">
        <v>4.7888887193467804</v>
      </c>
    </row>
    <row r="27" spans="1:4">
      <c r="A27" s="53" t="s">
        <v>859</v>
      </c>
      <c r="B27" s="53">
        <v>4000</v>
      </c>
      <c r="C27" s="53"/>
      <c r="D27" s="53">
        <v>0</v>
      </c>
    </row>
    <row r="28" spans="1:4">
      <c r="A28" s="53" t="s">
        <v>121</v>
      </c>
      <c r="B28" s="53">
        <v>6000</v>
      </c>
      <c r="C28" s="53"/>
      <c r="D28" s="53">
        <v>5.9099998474120996</v>
      </c>
    </row>
    <row r="29" spans="1:4">
      <c r="A29" s="53" t="s">
        <v>752</v>
      </c>
      <c r="B29" s="53">
        <v>4000</v>
      </c>
      <c r="C29" s="53"/>
      <c r="D29" s="53">
        <v>0</v>
      </c>
    </row>
    <row r="30" spans="1:4">
      <c r="A30" s="53" t="s">
        <v>348</v>
      </c>
      <c r="B30" s="53">
        <v>6000</v>
      </c>
      <c r="C30" s="53"/>
      <c r="D30" s="53">
        <v>3.7899999618530198</v>
      </c>
    </row>
    <row r="31" spans="1:4">
      <c r="A31" s="53" t="s">
        <v>625</v>
      </c>
      <c r="B31" s="53">
        <v>4000</v>
      </c>
      <c r="C31" s="53"/>
      <c r="D31" s="53"/>
    </row>
    <row r="32" spans="1:4">
      <c r="A32" s="53" t="s">
        <v>274</v>
      </c>
      <c r="B32" s="53">
        <v>8300</v>
      </c>
      <c r="C32" s="53"/>
      <c r="D32" s="53">
        <v>18.420000076293899</v>
      </c>
    </row>
    <row r="33" spans="1:4">
      <c r="A33" s="53" t="s">
        <v>580</v>
      </c>
      <c r="B33" s="53">
        <v>4100</v>
      </c>
      <c r="C33" s="53" t="s">
        <v>351</v>
      </c>
      <c r="D33" s="53">
        <v>2.7999998728434199</v>
      </c>
    </row>
    <row r="34" spans="1:4">
      <c r="A34" s="53" t="s">
        <v>696</v>
      </c>
      <c r="B34" s="53">
        <v>4000</v>
      </c>
      <c r="C34" s="53" t="s">
        <v>351</v>
      </c>
      <c r="D34" s="53">
        <v>0.23333332935969001</v>
      </c>
    </row>
    <row r="35" spans="1:4">
      <c r="A35" s="53" t="s">
        <v>142</v>
      </c>
      <c r="B35" s="53">
        <v>5300</v>
      </c>
      <c r="C35" s="53"/>
      <c r="D35" s="53">
        <v>6.4625000953674299</v>
      </c>
    </row>
    <row r="36" spans="1:4">
      <c r="A36" s="53" t="s">
        <v>11</v>
      </c>
      <c r="B36" s="53">
        <v>3000</v>
      </c>
      <c r="C36" s="53"/>
      <c r="D36" s="53">
        <v>3.8235294117646998</v>
      </c>
    </row>
    <row r="37" spans="1:4">
      <c r="A37" s="53" t="s">
        <v>578</v>
      </c>
      <c r="B37" s="53">
        <v>4100</v>
      </c>
      <c r="C37" s="53"/>
      <c r="D37" s="53">
        <v>5</v>
      </c>
    </row>
    <row r="38" spans="1:4">
      <c r="A38" s="53" t="s">
        <v>15</v>
      </c>
      <c r="B38" s="53">
        <v>3600</v>
      </c>
      <c r="C38" s="53"/>
      <c r="D38" s="53">
        <v>5.8235294117647003</v>
      </c>
    </row>
    <row r="39" spans="1:4">
      <c r="A39" s="53" t="s">
        <v>378</v>
      </c>
      <c r="B39" s="53">
        <v>4800</v>
      </c>
      <c r="C39" s="53"/>
      <c r="D39" s="53"/>
    </row>
    <row r="40" spans="1:4">
      <c r="A40" s="53" t="s">
        <v>361</v>
      </c>
      <c r="B40" s="53">
        <v>5900</v>
      </c>
      <c r="C40" s="53"/>
      <c r="D40" s="53">
        <v>11.421428135463101</v>
      </c>
    </row>
    <row r="41" spans="1:4">
      <c r="A41" s="53" t="s">
        <v>181</v>
      </c>
      <c r="B41" s="53">
        <v>4500</v>
      </c>
      <c r="C41" s="53"/>
      <c r="D41" s="53">
        <v>2.2437500953674299</v>
      </c>
    </row>
    <row r="42" spans="1:4">
      <c r="A42" s="53" t="s">
        <v>427</v>
      </c>
      <c r="B42" s="53">
        <v>4000</v>
      </c>
      <c r="C42" s="53"/>
      <c r="D42" s="53"/>
    </row>
    <row r="43" spans="1:4">
      <c r="A43" s="53" t="s">
        <v>567</v>
      </c>
      <c r="B43" s="53">
        <v>4100</v>
      </c>
      <c r="C43" s="53"/>
      <c r="D43" s="53"/>
    </row>
    <row r="44" spans="1:4">
      <c r="A44" s="53" t="s">
        <v>322</v>
      </c>
      <c r="B44" s="53">
        <v>6000</v>
      </c>
      <c r="C44" s="53"/>
      <c r="D44" s="53"/>
    </row>
    <row r="45" spans="1:4">
      <c r="A45" s="53" t="s">
        <v>851</v>
      </c>
      <c r="B45" s="53">
        <v>4000</v>
      </c>
      <c r="C45" s="53"/>
      <c r="D45" s="53"/>
    </row>
    <row r="46" spans="1:4">
      <c r="A46" s="53" t="s">
        <v>642</v>
      </c>
      <c r="B46" s="53">
        <v>4000</v>
      </c>
      <c r="C46" s="53"/>
      <c r="D46" s="53">
        <v>0.20714286395481599</v>
      </c>
    </row>
    <row r="47" spans="1:4">
      <c r="A47" s="53" t="s">
        <v>417</v>
      </c>
      <c r="B47" s="53">
        <v>4000</v>
      </c>
      <c r="C47" s="53" t="s">
        <v>75</v>
      </c>
      <c r="D47" s="53"/>
    </row>
    <row r="48" spans="1:4">
      <c r="A48" s="53" t="s">
        <v>444</v>
      </c>
      <c r="B48" s="53">
        <v>4000</v>
      </c>
      <c r="C48" s="53"/>
      <c r="D48" s="53">
        <v>1.6176470588235199</v>
      </c>
    </row>
    <row r="49" spans="1:4">
      <c r="A49" s="53" t="s">
        <v>723</v>
      </c>
      <c r="B49" s="53">
        <v>4000</v>
      </c>
      <c r="C49" s="53"/>
      <c r="D49" s="53"/>
    </row>
    <row r="50" spans="1:4">
      <c r="A50" s="53" t="s">
        <v>71</v>
      </c>
      <c r="B50" s="53">
        <v>7200</v>
      </c>
      <c r="C50" s="53"/>
      <c r="D50" s="53">
        <v>17.7157897949218</v>
      </c>
    </row>
    <row r="51" spans="1:4">
      <c r="A51" s="53" t="s">
        <v>449</v>
      </c>
      <c r="B51" s="53">
        <v>4000</v>
      </c>
      <c r="C51" s="53" t="s">
        <v>75</v>
      </c>
      <c r="D51" s="53"/>
    </row>
    <row r="52" spans="1:4">
      <c r="A52" s="53" t="s">
        <v>772</v>
      </c>
      <c r="B52" s="53">
        <v>4400</v>
      </c>
      <c r="C52" s="53"/>
      <c r="D52" s="53"/>
    </row>
    <row r="53" spans="1:4">
      <c r="A53" s="53" t="s">
        <v>708</v>
      </c>
      <c r="B53" s="53">
        <v>4000</v>
      </c>
      <c r="C53" s="53"/>
      <c r="D53" s="53">
        <v>1.85</v>
      </c>
    </row>
    <row r="54" spans="1:4">
      <c r="A54" s="53" t="s">
        <v>844</v>
      </c>
      <c r="B54" s="53">
        <v>4000</v>
      </c>
      <c r="C54" s="53"/>
      <c r="D54" s="53">
        <v>0</v>
      </c>
    </row>
    <row r="55" spans="1:4">
      <c r="A55" s="53" t="s">
        <v>835</v>
      </c>
      <c r="B55" s="53">
        <v>4000</v>
      </c>
      <c r="C55" s="53"/>
      <c r="D55" s="53"/>
    </row>
    <row r="56" spans="1:4">
      <c r="A56" s="53" t="s">
        <v>29</v>
      </c>
      <c r="B56" s="53">
        <v>8800</v>
      </c>
      <c r="C56" s="53"/>
      <c r="D56" s="53">
        <v>12.782353120691599</v>
      </c>
    </row>
    <row r="57" spans="1:4">
      <c r="A57" s="53" t="s">
        <v>366</v>
      </c>
      <c r="B57" s="53">
        <v>5400</v>
      </c>
      <c r="C57" s="53"/>
      <c r="D57" s="53"/>
    </row>
    <row r="58" spans="1:4">
      <c r="A58" s="53" t="s">
        <v>707</v>
      </c>
      <c r="B58" s="53">
        <v>4000</v>
      </c>
      <c r="C58" s="53"/>
      <c r="D58" s="53"/>
    </row>
    <row r="59" spans="1:4">
      <c r="A59" s="53" t="s">
        <v>470</v>
      </c>
      <c r="B59" s="53">
        <v>4000</v>
      </c>
      <c r="C59" s="53"/>
      <c r="D59" s="53"/>
    </row>
    <row r="60" spans="1:4">
      <c r="A60" s="53" t="s">
        <v>885</v>
      </c>
      <c r="B60" s="53">
        <v>4000</v>
      </c>
      <c r="C60" s="53"/>
      <c r="D60" s="53">
        <v>0</v>
      </c>
    </row>
    <row r="61" spans="1:4">
      <c r="A61" s="53" t="s">
        <v>285</v>
      </c>
      <c r="B61" s="53">
        <v>6600</v>
      </c>
      <c r="C61" s="53"/>
      <c r="D61" s="53"/>
    </row>
    <row r="62" spans="1:4">
      <c r="A62" s="53" t="s">
        <v>157</v>
      </c>
      <c r="B62" s="53">
        <v>4700</v>
      </c>
      <c r="C62" s="53" t="s">
        <v>477</v>
      </c>
      <c r="D62" s="53">
        <v>0.98571429933820398</v>
      </c>
    </row>
    <row r="63" spans="1:4">
      <c r="A63" s="53" t="s">
        <v>805</v>
      </c>
      <c r="B63" s="53">
        <v>4200</v>
      </c>
      <c r="C63" s="53"/>
      <c r="D63" s="53">
        <v>0</v>
      </c>
    </row>
    <row r="64" spans="1:4">
      <c r="A64" s="53" t="s">
        <v>495</v>
      </c>
      <c r="B64" s="53">
        <v>5300</v>
      </c>
      <c r="C64" s="53"/>
      <c r="D64" s="53">
        <v>9.0882352941176396</v>
      </c>
    </row>
    <row r="65" spans="1:4">
      <c r="A65" s="53" t="s">
        <v>423</v>
      </c>
      <c r="B65" s="53">
        <v>4000</v>
      </c>
      <c r="C65" s="53"/>
      <c r="D65" s="53">
        <v>2.2200000762939398</v>
      </c>
    </row>
    <row r="66" spans="1:4">
      <c r="A66" s="53" t="s">
        <v>880</v>
      </c>
      <c r="B66" s="53">
        <v>4000</v>
      </c>
      <c r="C66" s="53" t="s">
        <v>75</v>
      </c>
      <c r="D66" s="53"/>
    </row>
    <row r="67" spans="1:4">
      <c r="A67" s="53" t="s">
        <v>577</v>
      </c>
      <c r="B67" s="53">
        <v>4100</v>
      </c>
      <c r="C67" s="53"/>
      <c r="D67" s="53">
        <v>6.3900001525878896</v>
      </c>
    </row>
    <row r="68" spans="1:4">
      <c r="A68" s="53" t="s">
        <v>233</v>
      </c>
      <c r="B68" s="53">
        <v>4300</v>
      </c>
      <c r="C68" s="53"/>
      <c r="D68" s="53">
        <v>3.0941175573012401</v>
      </c>
    </row>
    <row r="69" spans="1:4">
      <c r="A69" s="53" t="s">
        <v>239</v>
      </c>
      <c r="B69" s="53">
        <v>4100</v>
      </c>
      <c r="C69" s="53"/>
      <c r="D69" s="53">
        <v>2.6117647956399299</v>
      </c>
    </row>
    <row r="70" spans="1:4">
      <c r="A70" s="53" t="s">
        <v>632</v>
      </c>
      <c r="B70" s="53">
        <v>4000</v>
      </c>
      <c r="C70" s="53" t="s">
        <v>75</v>
      </c>
      <c r="D70" s="53">
        <v>0.34999999403953502</v>
      </c>
    </row>
    <row r="71" spans="1:4">
      <c r="A71" s="53" t="s">
        <v>651</v>
      </c>
      <c r="B71" s="53">
        <v>4000</v>
      </c>
      <c r="C71" s="53"/>
      <c r="D71" s="53"/>
    </row>
    <row r="72" spans="1:4">
      <c r="A72" s="53" t="s">
        <v>785</v>
      </c>
      <c r="B72" s="53">
        <v>4300</v>
      </c>
      <c r="C72" s="53"/>
      <c r="D72" s="53">
        <v>2.4</v>
      </c>
    </row>
    <row r="73" spans="1:4">
      <c r="A73" s="53" t="s">
        <v>344</v>
      </c>
      <c r="B73" s="53">
        <v>6000</v>
      </c>
      <c r="C73" s="53"/>
      <c r="D73" s="53">
        <v>2.8900001049041699</v>
      </c>
    </row>
    <row r="74" spans="1:4">
      <c r="A74" s="53" t="s">
        <v>640</v>
      </c>
      <c r="B74" s="53">
        <v>4000</v>
      </c>
      <c r="C74" s="53"/>
      <c r="D74" s="53"/>
    </row>
    <row r="75" spans="1:4">
      <c r="A75" s="53" t="s">
        <v>806</v>
      </c>
      <c r="B75" s="53">
        <v>4200</v>
      </c>
      <c r="C75" s="53"/>
      <c r="D75" s="53">
        <v>4.3461538461538396</v>
      </c>
    </row>
    <row r="76" spans="1:4">
      <c r="A76" s="53" t="s">
        <v>896</v>
      </c>
      <c r="B76" s="53">
        <v>4000</v>
      </c>
      <c r="C76" s="53"/>
      <c r="D76" s="53"/>
    </row>
    <row r="77" spans="1:4">
      <c r="A77" s="53" t="s">
        <v>122</v>
      </c>
      <c r="B77" s="53">
        <v>5900</v>
      </c>
      <c r="C77" s="53"/>
      <c r="D77" s="53">
        <v>12.0066670735677</v>
      </c>
    </row>
    <row r="78" spans="1:4">
      <c r="A78" s="53" t="s">
        <v>496</v>
      </c>
      <c r="B78" s="53">
        <v>5100</v>
      </c>
      <c r="C78" s="53"/>
      <c r="D78" s="53"/>
    </row>
    <row r="79" spans="1:4">
      <c r="A79" s="53" t="s">
        <v>450</v>
      </c>
      <c r="B79" s="53">
        <v>4000</v>
      </c>
      <c r="C79" s="53"/>
      <c r="D79" s="53"/>
    </row>
    <row r="80" spans="1:4">
      <c r="A80" s="53" t="s">
        <v>469</v>
      </c>
      <c r="B80" s="53">
        <v>4000</v>
      </c>
      <c r="C80" s="53"/>
      <c r="D80" s="53"/>
    </row>
    <row r="81" spans="1:4">
      <c r="A81" s="53" t="s">
        <v>761</v>
      </c>
      <c r="B81" s="53">
        <v>5400</v>
      </c>
      <c r="C81" s="53" t="s">
        <v>75</v>
      </c>
      <c r="D81" s="53"/>
    </row>
    <row r="82" spans="1:4">
      <c r="A82" s="53" t="s">
        <v>190</v>
      </c>
      <c r="B82" s="53">
        <v>4300</v>
      </c>
      <c r="C82" s="53"/>
      <c r="D82" s="53">
        <v>2.5</v>
      </c>
    </row>
    <row r="83" spans="1:4">
      <c r="A83" s="53" t="s">
        <v>570</v>
      </c>
      <c r="B83" s="53">
        <v>4100</v>
      </c>
      <c r="C83" s="53" t="s">
        <v>75</v>
      </c>
      <c r="D83" s="53"/>
    </row>
    <row r="84" spans="1:4">
      <c r="A84" s="53" t="s">
        <v>702</v>
      </c>
      <c r="B84" s="53">
        <v>4000</v>
      </c>
      <c r="C84" s="53"/>
      <c r="D84" s="53"/>
    </row>
    <row r="85" spans="1:4">
      <c r="A85" s="53" t="s">
        <v>677</v>
      </c>
      <c r="B85" s="53">
        <v>4000</v>
      </c>
      <c r="C85" s="53"/>
      <c r="D85" s="53"/>
    </row>
    <row r="86" spans="1:4">
      <c r="A86" s="53" t="s">
        <v>82</v>
      </c>
      <c r="B86" s="53">
        <v>6700</v>
      </c>
      <c r="C86" s="53"/>
      <c r="D86" s="53">
        <v>10.3987503051757</v>
      </c>
    </row>
    <row r="87" spans="1:4">
      <c r="A87" s="53" t="s">
        <v>833</v>
      </c>
      <c r="B87" s="53">
        <v>4000</v>
      </c>
      <c r="C87" s="53"/>
      <c r="D87" s="53">
        <v>2.0600000381469701</v>
      </c>
    </row>
    <row r="88" spans="1:4">
      <c r="A88" s="53" t="s">
        <v>717</v>
      </c>
      <c r="B88" s="53">
        <v>4000</v>
      </c>
      <c r="C88" s="53"/>
      <c r="D88" s="53"/>
    </row>
    <row r="89" spans="1:4">
      <c r="A89" s="53" t="s">
        <v>729</v>
      </c>
      <c r="B89" s="53">
        <v>4000</v>
      </c>
      <c r="C89" s="53"/>
      <c r="D89" s="53"/>
    </row>
    <row r="90" spans="1:4">
      <c r="A90" s="53" t="s">
        <v>372</v>
      </c>
      <c r="B90" s="53">
        <v>5000</v>
      </c>
      <c r="C90" s="53"/>
      <c r="D90" s="53"/>
    </row>
    <row r="91" spans="1:4">
      <c r="A91" s="53" t="s">
        <v>266</v>
      </c>
      <c r="B91" s="53">
        <v>4600</v>
      </c>
      <c r="C91" s="53"/>
      <c r="D91" s="53">
        <v>8.8947368421052602</v>
      </c>
    </row>
    <row r="92" spans="1:4">
      <c r="A92" s="53" t="s">
        <v>582</v>
      </c>
      <c r="B92" s="53">
        <v>4100</v>
      </c>
      <c r="C92" s="53"/>
      <c r="D92" s="53">
        <v>1.62307695242074</v>
      </c>
    </row>
    <row r="93" spans="1:4">
      <c r="A93" s="53" t="s">
        <v>327</v>
      </c>
      <c r="B93" s="53">
        <v>6000</v>
      </c>
      <c r="C93" s="53" t="s">
        <v>75</v>
      </c>
      <c r="D93" s="53">
        <v>3.5766665140787701</v>
      </c>
    </row>
    <row r="94" spans="1:4">
      <c r="A94" s="53" t="s">
        <v>721</v>
      </c>
      <c r="B94" s="53">
        <v>4000</v>
      </c>
      <c r="C94" s="53"/>
      <c r="D94" s="53"/>
    </row>
    <row r="95" spans="1:4">
      <c r="A95" s="53" t="s">
        <v>171</v>
      </c>
      <c r="B95" s="53">
        <v>4000</v>
      </c>
      <c r="C95" s="53"/>
      <c r="D95" s="53">
        <v>0.83749997615814198</v>
      </c>
    </row>
    <row r="96" spans="1:4">
      <c r="A96" s="53" t="s">
        <v>57</v>
      </c>
      <c r="B96" s="53">
        <v>8500</v>
      </c>
      <c r="C96" s="53"/>
      <c r="D96" s="53">
        <v>18.322353587431</v>
      </c>
    </row>
    <row r="97" spans="1:4">
      <c r="A97" s="53" t="s">
        <v>179</v>
      </c>
      <c r="B97" s="53">
        <v>5200</v>
      </c>
      <c r="C97" s="53"/>
      <c r="D97" s="53">
        <v>6.7166667514377103</v>
      </c>
    </row>
    <row r="98" spans="1:4">
      <c r="A98" s="53" t="s">
        <v>796</v>
      </c>
      <c r="B98" s="53">
        <v>4200</v>
      </c>
      <c r="C98" s="53"/>
      <c r="D98" s="53"/>
    </row>
    <row r="99" spans="1:4">
      <c r="A99" s="53" t="s">
        <v>899</v>
      </c>
      <c r="B99" s="53">
        <v>4000</v>
      </c>
      <c r="C99" s="53"/>
      <c r="D99" s="53">
        <v>0</v>
      </c>
    </row>
    <row r="100" spans="1:4">
      <c r="A100" s="53" t="s">
        <v>278</v>
      </c>
      <c r="B100" s="53">
        <v>7100</v>
      </c>
      <c r="C100" s="53"/>
      <c r="D100" s="53"/>
    </row>
    <row r="101" spans="1:4">
      <c r="A101" s="53" t="s">
        <v>529</v>
      </c>
      <c r="B101" s="53">
        <v>4200</v>
      </c>
      <c r="C101" s="53"/>
      <c r="D101" s="53">
        <v>3.0235295015222801</v>
      </c>
    </row>
    <row r="102" spans="1:4">
      <c r="A102" s="53" t="s">
        <v>108</v>
      </c>
      <c r="B102" s="53">
        <v>6200</v>
      </c>
      <c r="C102" s="53"/>
      <c r="D102" s="53">
        <v>11.288234935087299</v>
      </c>
    </row>
    <row r="103" spans="1:4">
      <c r="A103" s="53" t="s">
        <v>132</v>
      </c>
      <c r="B103" s="53">
        <v>4200</v>
      </c>
      <c r="C103" s="53"/>
      <c r="D103" s="53">
        <v>5.8857143947056301</v>
      </c>
    </row>
    <row r="104" spans="1:4">
      <c r="A104" s="53" t="s">
        <v>858</v>
      </c>
      <c r="B104" s="53">
        <v>4000</v>
      </c>
      <c r="C104" s="53"/>
      <c r="D104" s="53"/>
    </row>
    <row r="105" spans="1:4">
      <c r="A105" s="53" t="s">
        <v>669</v>
      </c>
      <c r="B105" s="53">
        <v>4000</v>
      </c>
      <c r="C105" s="53"/>
      <c r="D105" s="53"/>
    </row>
    <row r="106" spans="1:4">
      <c r="A106" s="53" t="s">
        <v>686</v>
      </c>
      <c r="B106" s="53">
        <v>4000</v>
      </c>
      <c r="C106" s="53" t="s">
        <v>75</v>
      </c>
      <c r="D106" s="53">
        <v>1.07499996821085</v>
      </c>
    </row>
    <row r="107" spans="1:4">
      <c r="A107" s="53" t="s">
        <v>21</v>
      </c>
      <c r="B107" s="53">
        <v>3200</v>
      </c>
      <c r="C107" s="53"/>
      <c r="D107" s="53">
        <v>4.1764705882352899</v>
      </c>
    </row>
    <row r="108" spans="1:4">
      <c r="A108" s="53" t="s">
        <v>413</v>
      </c>
      <c r="B108" s="53">
        <v>4000</v>
      </c>
      <c r="C108" s="53"/>
      <c r="D108" s="53"/>
    </row>
    <row r="109" spans="1:4">
      <c r="A109" s="53" t="s">
        <v>317</v>
      </c>
      <c r="B109" s="53">
        <v>6000</v>
      </c>
      <c r="C109" s="53"/>
      <c r="D109" s="53"/>
    </row>
    <row r="110" spans="1:4">
      <c r="A110" s="53" t="s">
        <v>299</v>
      </c>
      <c r="B110" s="53">
        <v>6000</v>
      </c>
      <c r="C110" s="53" t="s">
        <v>351</v>
      </c>
      <c r="D110" s="53">
        <v>3.1849999427795401</v>
      </c>
    </row>
    <row r="111" spans="1:4">
      <c r="A111" s="53" t="s">
        <v>305</v>
      </c>
      <c r="B111" s="53">
        <v>6000</v>
      </c>
      <c r="C111" s="53"/>
      <c r="D111" s="53"/>
    </row>
    <row r="112" spans="1:4">
      <c r="A112" s="53" t="s">
        <v>703</v>
      </c>
      <c r="B112" s="53">
        <v>4000</v>
      </c>
      <c r="C112" s="53"/>
      <c r="D112" s="53"/>
    </row>
    <row r="113" spans="1:4">
      <c r="A113" s="53" t="s">
        <v>536</v>
      </c>
      <c r="B113" s="53">
        <v>4200</v>
      </c>
      <c r="C113" s="53"/>
      <c r="D113" s="53">
        <v>2.8083333969116202</v>
      </c>
    </row>
    <row r="114" spans="1:4">
      <c r="A114" s="53" t="s">
        <v>254</v>
      </c>
      <c r="B114" s="53">
        <v>4300</v>
      </c>
      <c r="C114" s="53"/>
      <c r="D114" s="53">
        <v>5.31666660308837</v>
      </c>
    </row>
    <row r="115" spans="1:4">
      <c r="A115" s="53" t="s">
        <v>478</v>
      </c>
      <c r="B115" s="53">
        <v>9300</v>
      </c>
      <c r="C115" s="53" t="s">
        <v>351</v>
      </c>
      <c r="D115" s="53">
        <v>19.5388895670572</v>
      </c>
    </row>
    <row r="116" spans="1:4">
      <c r="A116" s="53" t="s">
        <v>555</v>
      </c>
      <c r="B116" s="53">
        <v>4100</v>
      </c>
      <c r="C116" s="53"/>
      <c r="D116" s="53"/>
    </row>
    <row r="117" spans="1:4">
      <c r="A117" s="53" t="s">
        <v>884</v>
      </c>
      <c r="B117" s="53">
        <v>4000</v>
      </c>
      <c r="C117" s="53"/>
      <c r="D117" s="53"/>
    </row>
    <row r="118" spans="1:4">
      <c r="A118" s="53" t="s">
        <v>559</v>
      </c>
      <c r="B118" s="53">
        <v>4100</v>
      </c>
      <c r="C118" s="53"/>
      <c r="D118" s="53">
        <v>1.72000007629394</v>
      </c>
    </row>
    <row r="119" spans="1:4">
      <c r="A119" s="53" t="s">
        <v>804</v>
      </c>
      <c r="B119" s="53">
        <v>4200</v>
      </c>
      <c r="C119" s="53"/>
      <c r="D119" s="53">
        <v>0.93999996185302703</v>
      </c>
    </row>
    <row r="120" spans="1:4">
      <c r="A120" s="53" t="s">
        <v>162</v>
      </c>
      <c r="B120" s="53">
        <v>5400</v>
      </c>
      <c r="C120" s="53"/>
      <c r="D120" s="53">
        <v>4.6500000000000004</v>
      </c>
    </row>
    <row r="121" spans="1:4">
      <c r="A121" s="53" t="s">
        <v>537</v>
      </c>
      <c r="B121" s="53">
        <v>4200</v>
      </c>
      <c r="C121" s="53" t="s">
        <v>75</v>
      </c>
      <c r="D121" s="53">
        <v>2.2125000953674299</v>
      </c>
    </row>
    <row r="122" spans="1:4">
      <c r="A122" s="53" t="s">
        <v>737</v>
      </c>
      <c r="B122" s="53">
        <v>4000</v>
      </c>
      <c r="C122" s="53" t="s">
        <v>351</v>
      </c>
      <c r="D122" s="53"/>
    </row>
    <row r="123" spans="1:4">
      <c r="A123" s="53" t="s">
        <v>377</v>
      </c>
      <c r="B123" s="53">
        <v>4800</v>
      </c>
      <c r="C123" s="53" t="s">
        <v>351</v>
      </c>
      <c r="D123" s="53">
        <v>2.6600001017252599</v>
      </c>
    </row>
    <row r="124" spans="1:4">
      <c r="A124" s="53" t="s">
        <v>291</v>
      </c>
      <c r="B124" s="53">
        <v>6000</v>
      </c>
      <c r="C124" s="53"/>
      <c r="D124" s="53"/>
    </row>
    <row r="125" spans="1:4">
      <c r="A125" s="53" t="s">
        <v>62</v>
      </c>
      <c r="B125" s="53">
        <v>4000</v>
      </c>
      <c r="C125" s="53"/>
      <c r="D125" s="53">
        <v>7.0588235294117601</v>
      </c>
    </row>
    <row r="126" spans="1:4">
      <c r="A126" s="53" t="s">
        <v>764</v>
      </c>
      <c r="B126" s="53">
        <v>4800</v>
      </c>
      <c r="C126" s="53"/>
      <c r="D126" s="53">
        <v>5.0823530309340503</v>
      </c>
    </row>
    <row r="127" spans="1:4">
      <c r="A127" s="53" t="s">
        <v>540</v>
      </c>
      <c r="B127" s="53">
        <v>4200</v>
      </c>
      <c r="C127" s="53"/>
      <c r="D127" s="53"/>
    </row>
    <row r="128" spans="1:4">
      <c r="A128" s="53" t="s">
        <v>168</v>
      </c>
      <c r="B128" s="53">
        <v>4200</v>
      </c>
      <c r="C128" s="53" t="s">
        <v>351</v>
      </c>
      <c r="D128" s="53">
        <v>0.40000000596046398</v>
      </c>
    </row>
    <row r="129" spans="1:4">
      <c r="A129" s="53" t="s">
        <v>208</v>
      </c>
      <c r="B129" s="53">
        <v>5600</v>
      </c>
      <c r="C129" s="53"/>
      <c r="D129" s="53">
        <v>9.7999998393811598</v>
      </c>
    </row>
    <row r="130" spans="1:4">
      <c r="A130" s="53" t="s">
        <v>820</v>
      </c>
      <c r="B130" s="53">
        <v>4100</v>
      </c>
      <c r="C130" s="53"/>
      <c r="D130" s="53">
        <v>0.43333331743876102</v>
      </c>
    </row>
    <row r="131" spans="1:4">
      <c r="A131" s="53" t="s">
        <v>550</v>
      </c>
      <c r="B131" s="53">
        <v>4100</v>
      </c>
      <c r="C131" s="53"/>
      <c r="D131" s="53">
        <v>3.81999994913736</v>
      </c>
    </row>
    <row r="132" spans="1:4">
      <c r="A132" s="53" t="s">
        <v>821</v>
      </c>
      <c r="B132" s="53">
        <v>4100</v>
      </c>
      <c r="C132" s="53"/>
      <c r="D132" s="53">
        <v>2.2857142857142798</v>
      </c>
    </row>
    <row r="133" spans="1:4">
      <c r="A133" s="53" t="s">
        <v>42</v>
      </c>
      <c r="B133" s="53">
        <v>7000</v>
      </c>
      <c r="C133" s="53"/>
      <c r="D133" s="53">
        <v>11.737500190734799</v>
      </c>
    </row>
    <row r="134" spans="1:4">
      <c r="A134" s="53" t="s">
        <v>382</v>
      </c>
      <c r="B134" s="53">
        <v>4600</v>
      </c>
      <c r="C134" s="53"/>
      <c r="D134" s="53">
        <v>3.6900001525878898</v>
      </c>
    </row>
    <row r="135" spans="1:4">
      <c r="A135" s="53" t="s">
        <v>206</v>
      </c>
      <c r="B135" s="53">
        <v>6100</v>
      </c>
      <c r="C135" s="53"/>
      <c r="D135" s="53">
        <v>10.1466668446858</v>
      </c>
    </row>
    <row r="136" spans="1:4">
      <c r="A136" s="53" t="s">
        <v>136</v>
      </c>
      <c r="B136" s="53">
        <v>5600</v>
      </c>
      <c r="C136" s="53"/>
      <c r="D136" s="53">
        <v>9.5882352941176396</v>
      </c>
    </row>
    <row r="137" spans="1:4">
      <c r="A137" s="53" t="s">
        <v>10</v>
      </c>
      <c r="B137" s="53">
        <v>4800</v>
      </c>
      <c r="C137" s="53"/>
      <c r="D137" s="53">
        <v>6.9411764705882302</v>
      </c>
    </row>
    <row r="138" spans="1:4">
      <c r="A138" s="53" t="s">
        <v>310</v>
      </c>
      <c r="B138" s="53">
        <v>6000</v>
      </c>
      <c r="C138" s="53"/>
      <c r="D138" s="53">
        <v>1.3542856488909001</v>
      </c>
    </row>
    <row r="139" spans="1:4">
      <c r="A139" s="53" t="s">
        <v>70</v>
      </c>
      <c r="B139" s="53">
        <v>4100</v>
      </c>
      <c r="C139" s="53"/>
      <c r="D139" s="53">
        <v>8.7222222222222197</v>
      </c>
    </row>
    <row r="140" spans="1:4">
      <c r="A140" s="53" t="s">
        <v>595</v>
      </c>
      <c r="B140" s="53">
        <v>4000</v>
      </c>
      <c r="C140" s="53"/>
      <c r="D140" s="53">
        <v>0.75</v>
      </c>
    </row>
    <row r="141" spans="1:4">
      <c r="A141" s="53" t="s">
        <v>649</v>
      </c>
      <c r="B141" s="53">
        <v>4000</v>
      </c>
      <c r="C141" s="53"/>
      <c r="D141" s="53">
        <v>0.69999998807907104</v>
      </c>
    </row>
    <row r="142" spans="1:4">
      <c r="A142" s="53" t="s">
        <v>185</v>
      </c>
      <c r="B142" s="53">
        <v>4700</v>
      </c>
      <c r="C142" s="53"/>
      <c r="D142" s="53">
        <v>3.2800000508626299</v>
      </c>
    </row>
    <row r="143" spans="1:4">
      <c r="A143" s="53" t="s">
        <v>661</v>
      </c>
      <c r="B143" s="53">
        <v>4000</v>
      </c>
      <c r="C143" s="53"/>
      <c r="D143" s="53"/>
    </row>
    <row r="144" spans="1:4">
      <c r="A144" s="53" t="s">
        <v>809</v>
      </c>
      <c r="B144" s="53">
        <v>4100</v>
      </c>
      <c r="C144" s="53"/>
      <c r="D144" s="53">
        <v>1.1000000238418499</v>
      </c>
    </row>
    <row r="145" spans="1:4">
      <c r="A145" s="53" t="s">
        <v>101</v>
      </c>
      <c r="B145" s="53">
        <v>5100</v>
      </c>
      <c r="C145" s="53"/>
      <c r="D145" s="53">
        <v>9.0375003814697195</v>
      </c>
    </row>
    <row r="146" spans="1:4">
      <c r="A146" s="53" t="s">
        <v>198</v>
      </c>
      <c r="B146" s="53">
        <v>4100</v>
      </c>
      <c r="C146" s="53"/>
      <c r="D146" s="53">
        <v>2.1875</v>
      </c>
    </row>
    <row r="147" spans="1:4">
      <c r="A147" s="53" t="s">
        <v>602</v>
      </c>
      <c r="B147" s="53">
        <v>4000</v>
      </c>
      <c r="C147" s="53"/>
      <c r="D147" s="53">
        <v>1.6000000238418499</v>
      </c>
    </row>
    <row r="148" spans="1:4">
      <c r="A148" s="53" t="s">
        <v>856</v>
      </c>
      <c r="B148" s="53">
        <v>4000</v>
      </c>
      <c r="C148" s="53"/>
      <c r="D148" s="53"/>
    </row>
    <row r="149" spans="1:4">
      <c r="A149" s="53" t="s">
        <v>573</v>
      </c>
      <c r="B149" s="53">
        <v>4100</v>
      </c>
      <c r="C149" s="53" t="s">
        <v>476</v>
      </c>
      <c r="D149" s="53">
        <v>0.20000000298023199</v>
      </c>
    </row>
    <row r="150" spans="1:4">
      <c r="A150" s="53" t="s">
        <v>769</v>
      </c>
      <c r="B150" s="53">
        <v>4500</v>
      </c>
      <c r="C150" s="53"/>
      <c r="D150" s="53">
        <v>2.4333333969116202</v>
      </c>
    </row>
    <row r="151" spans="1:4">
      <c r="A151" s="53" t="s">
        <v>92</v>
      </c>
      <c r="B151" s="53">
        <v>7000</v>
      </c>
      <c r="C151" s="53"/>
      <c r="D151" s="53">
        <v>10.7769235464242</v>
      </c>
    </row>
    <row r="152" spans="1:4">
      <c r="A152" s="53" t="s">
        <v>339</v>
      </c>
      <c r="B152" s="53">
        <v>6000</v>
      </c>
      <c r="C152" s="53"/>
      <c r="D152" s="53">
        <v>0.53250002861022905</v>
      </c>
    </row>
    <row r="153" spans="1:4">
      <c r="A153" s="53" t="s">
        <v>155</v>
      </c>
      <c r="B153" s="53">
        <v>4700</v>
      </c>
      <c r="C153" s="53"/>
      <c r="D153" s="53">
        <v>2.7000001271565699</v>
      </c>
    </row>
    <row r="154" spans="1:4">
      <c r="A154" s="53" t="s">
        <v>585</v>
      </c>
      <c r="B154" s="53">
        <v>4100</v>
      </c>
      <c r="C154" s="53" t="s">
        <v>75</v>
      </c>
      <c r="D154" s="53"/>
    </row>
    <row r="155" spans="1:4">
      <c r="A155" s="53" t="s">
        <v>746</v>
      </c>
      <c r="B155" s="53">
        <v>4000</v>
      </c>
      <c r="C155" s="53"/>
      <c r="D155" s="53"/>
    </row>
    <row r="156" spans="1:4">
      <c r="A156" s="53" t="s">
        <v>491</v>
      </c>
      <c r="B156" s="53">
        <v>5500</v>
      </c>
      <c r="C156" s="53"/>
      <c r="D156" s="53">
        <v>10.043749809265099</v>
      </c>
    </row>
    <row r="157" spans="1:4">
      <c r="A157" s="53" t="s">
        <v>146</v>
      </c>
      <c r="B157" s="53">
        <v>4900</v>
      </c>
      <c r="C157" s="53"/>
      <c r="D157" s="53">
        <v>2.7666667302449501</v>
      </c>
    </row>
    <row r="158" spans="1:4">
      <c r="A158" s="53" t="s">
        <v>894</v>
      </c>
      <c r="B158" s="53">
        <v>4000</v>
      </c>
      <c r="C158" s="53" t="s">
        <v>75</v>
      </c>
      <c r="D158" s="53">
        <v>0</v>
      </c>
    </row>
    <row r="159" spans="1:4">
      <c r="A159" s="53" t="s">
        <v>210</v>
      </c>
      <c r="B159" s="53">
        <v>5200</v>
      </c>
      <c r="C159" s="53"/>
      <c r="D159" s="53">
        <v>7.4235292322495399</v>
      </c>
    </row>
    <row r="160" spans="1:4">
      <c r="A160" s="53" t="s">
        <v>571</v>
      </c>
      <c r="B160" s="53">
        <v>4100</v>
      </c>
      <c r="C160" s="53"/>
      <c r="D160" s="53">
        <v>6.5500001907348597</v>
      </c>
    </row>
    <row r="161" spans="1:4">
      <c r="A161" s="53" t="s">
        <v>424</v>
      </c>
      <c r="B161" s="53">
        <v>4000</v>
      </c>
      <c r="C161" s="53"/>
      <c r="D161" s="53"/>
    </row>
    <row r="162" spans="1:4">
      <c r="A162" s="53" t="s">
        <v>617</v>
      </c>
      <c r="B162" s="53">
        <v>4000</v>
      </c>
      <c r="C162" s="53" t="s">
        <v>75</v>
      </c>
      <c r="D162" s="53"/>
    </row>
    <row r="163" spans="1:4">
      <c r="A163" s="53" t="s">
        <v>422</v>
      </c>
      <c r="B163" s="53">
        <v>4000</v>
      </c>
      <c r="C163" s="53"/>
      <c r="D163" s="53"/>
    </row>
    <row r="164" spans="1:4">
      <c r="A164" s="53" t="s">
        <v>276</v>
      </c>
      <c r="B164" s="53">
        <v>7800</v>
      </c>
      <c r="C164" s="53"/>
      <c r="D164" s="53">
        <v>21.358888414170998</v>
      </c>
    </row>
    <row r="165" spans="1:4">
      <c r="A165" s="53" t="s">
        <v>267</v>
      </c>
      <c r="B165" s="53">
        <v>4500</v>
      </c>
      <c r="C165" s="53"/>
      <c r="D165" s="53">
        <v>9.6666666666666607</v>
      </c>
    </row>
    <row r="166" spans="1:4">
      <c r="A166" s="53" t="s">
        <v>837</v>
      </c>
      <c r="B166" s="53">
        <v>4000</v>
      </c>
      <c r="C166" s="53" t="s">
        <v>75</v>
      </c>
      <c r="D166" s="53"/>
    </row>
    <row r="167" spans="1:4">
      <c r="A167" s="53" t="s">
        <v>901</v>
      </c>
      <c r="B167" s="53">
        <v>4000</v>
      </c>
      <c r="C167" s="53" t="s">
        <v>351</v>
      </c>
      <c r="D167" s="53"/>
    </row>
    <row r="168" spans="1:4">
      <c r="A168" s="53" t="s">
        <v>759</v>
      </c>
      <c r="B168" s="53">
        <v>6800</v>
      </c>
      <c r="C168" s="53"/>
      <c r="D168" s="53">
        <v>7.45555538601345</v>
      </c>
    </row>
    <row r="169" spans="1:4">
      <c r="A169" s="53" t="s">
        <v>112</v>
      </c>
      <c r="B169" s="53">
        <v>5600</v>
      </c>
      <c r="C169" s="53"/>
      <c r="D169" s="53">
        <v>8.1176470588235201</v>
      </c>
    </row>
    <row r="170" spans="1:4">
      <c r="A170" s="53" t="s">
        <v>128</v>
      </c>
      <c r="B170" s="53">
        <v>5100</v>
      </c>
      <c r="C170" s="53"/>
      <c r="D170" s="53">
        <v>4.2333331637912304</v>
      </c>
    </row>
    <row r="171" spans="1:4">
      <c r="A171" s="53" t="s">
        <v>443</v>
      </c>
      <c r="B171" s="53">
        <v>4000</v>
      </c>
      <c r="C171" s="53"/>
      <c r="D171" s="53">
        <v>3</v>
      </c>
    </row>
    <row r="172" spans="1:4">
      <c r="A172" s="53" t="s">
        <v>755</v>
      </c>
      <c r="B172" s="53">
        <v>4000</v>
      </c>
      <c r="C172" s="53"/>
      <c r="D172" s="53">
        <v>0</v>
      </c>
    </row>
    <row r="173" spans="1:4">
      <c r="A173" s="53" t="s">
        <v>666</v>
      </c>
      <c r="B173" s="53">
        <v>4000</v>
      </c>
      <c r="C173" s="53"/>
      <c r="D173" s="53"/>
    </row>
    <row r="174" spans="1:4">
      <c r="A174" s="53" t="s">
        <v>30</v>
      </c>
      <c r="B174" s="53">
        <v>6500</v>
      </c>
      <c r="C174" s="53"/>
      <c r="D174" s="53">
        <v>11.0823525821461</v>
      </c>
    </row>
    <row r="175" spans="1:4">
      <c r="A175" s="53" t="s">
        <v>740</v>
      </c>
      <c r="B175" s="53">
        <v>4000</v>
      </c>
      <c r="C175" s="53"/>
      <c r="D175" s="53"/>
    </row>
    <row r="176" spans="1:4">
      <c r="A176" s="53" t="s">
        <v>763</v>
      </c>
      <c r="B176" s="53">
        <v>5000</v>
      </c>
      <c r="C176" s="53"/>
      <c r="D176" s="53">
        <v>2.9230769230769198</v>
      </c>
    </row>
    <row r="177" spans="1:4">
      <c r="A177" s="53" t="s">
        <v>865</v>
      </c>
      <c r="B177" s="53">
        <v>4000</v>
      </c>
      <c r="C177" s="53"/>
      <c r="D177" s="53">
        <v>0</v>
      </c>
    </row>
    <row r="178" spans="1:4">
      <c r="A178" s="53" t="s">
        <v>282</v>
      </c>
      <c r="B178" s="53">
        <v>6800</v>
      </c>
      <c r="C178" s="53"/>
      <c r="D178" s="53">
        <v>10.493333180745401</v>
      </c>
    </row>
    <row r="179" spans="1:4">
      <c r="A179" s="53" t="s">
        <v>836</v>
      </c>
      <c r="B179" s="53">
        <v>4000</v>
      </c>
      <c r="C179" s="53"/>
      <c r="D179" s="53"/>
    </row>
    <row r="180" spans="1:4">
      <c r="A180" s="53" t="s">
        <v>461</v>
      </c>
      <c r="B180" s="53">
        <v>4000</v>
      </c>
      <c r="C180" s="53"/>
      <c r="D180" s="53"/>
    </row>
    <row r="181" spans="1:4">
      <c r="A181" s="53" t="s">
        <v>700</v>
      </c>
      <c r="B181" s="53">
        <v>4000</v>
      </c>
      <c r="C181" s="53" t="s">
        <v>351</v>
      </c>
      <c r="D181" s="53">
        <v>3.7133333841959599</v>
      </c>
    </row>
    <row r="182" spans="1:4">
      <c r="A182" s="53" t="s">
        <v>387</v>
      </c>
      <c r="B182" s="53">
        <v>4400</v>
      </c>
      <c r="C182" s="53"/>
      <c r="D182" s="53">
        <v>0.88000001907348602</v>
      </c>
    </row>
    <row r="183" spans="1:4">
      <c r="A183" s="53" t="s">
        <v>744</v>
      </c>
      <c r="B183" s="53">
        <v>4000</v>
      </c>
      <c r="C183" s="53"/>
      <c r="D183" s="53">
        <v>2.5</v>
      </c>
    </row>
    <row r="184" spans="1:4">
      <c r="A184" s="53" t="s">
        <v>524</v>
      </c>
      <c r="B184" s="53">
        <v>4200</v>
      </c>
      <c r="C184" s="53"/>
      <c r="D184" s="53">
        <v>7.4117647058823497</v>
      </c>
    </row>
    <row r="185" spans="1:4">
      <c r="A185" s="53" t="s">
        <v>216</v>
      </c>
      <c r="B185" s="53">
        <v>4800</v>
      </c>
      <c r="C185" s="53"/>
      <c r="D185" s="53">
        <v>4.5285715375627698</v>
      </c>
    </row>
    <row r="186" spans="1:4">
      <c r="A186" s="53" t="s">
        <v>773</v>
      </c>
      <c r="B186" s="53">
        <v>4400</v>
      </c>
      <c r="C186" s="53"/>
      <c r="D186" s="53">
        <v>1.06666670905219</v>
      </c>
    </row>
    <row r="187" spans="1:4">
      <c r="A187" s="53" t="s">
        <v>395</v>
      </c>
      <c r="B187" s="53">
        <v>4300</v>
      </c>
      <c r="C187" s="53" t="s">
        <v>351</v>
      </c>
      <c r="D187" s="53">
        <v>4.4166666666666599</v>
      </c>
    </row>
    <row r="188" spans="1:4">
      <c r="A188" s="53" t="s">
        <v>683</v>
      </c>
      <c r="B188" s="53">
        <v>4000</v>
      </c>
      <c r="C188" s="53"/>
      <c r="D188" s="53"/>
    </row>
    <row r="189" spans="1:4">
      <c r="A189" s="53" t="s">
        <v>93</v>
      </c>
      <c r="B189" s="53">
        <v>7500</v>
      </c>
      <c r="C189" s="53"/>
      <c r="D189" s="53">
        <v>12.5823525821461</v>
      </c>
    </row>
    <row r="190" spans="1:4">
      <c r="A190" s="53" t="s">
        <v>576</v>
      </c>
      <c r="B190" s="53">
        <v>4100</v>
      </c>
      <c r="C190" s="53" t="s">
        <v>75</v>
      </c>
      <c r="D190" s="53">
        <v>3.93076911339393</v>
      </c>
    </row>
    <row r="191" spans="1:4">
      <c r="A191" s="53" t="s">
        <v>714</v>
      </c>
      <c r="B191" s="53">
        <v>4000</v>
      </c>
      <c r="C191" s="53" t="s">
        <v>75</v>
      </c>
      <c r="D191" s="53"/>
    </row>
    <row r="192" spans="1:4">
      <c r="A192" s="53" t="s">
        <v>838</v>
      </c>
      <c r="B192" s="53">
        <v>4000</v>
      </c>
      <c r="C192" s="53"/>
      <c r="D192" s="53"/>
    </row>
    <row r="193" spans="1:4">
      <c r="A193" s="53" t="s">
        <v>28</v>
      </c>
      <c r="B193" s="53">
        <v>7000</v>
      </c>
      <c r="C193" s="53"/>
      <c r="D193" s="53">
        <v>13.1666666666666</v>
      </c>
    </row>
    <row r="194" spans="1:4">
      <c r="A194" s="53" t="s">
        <v>545</v>
      </c>
      <c r="B194" s="53">
        <v>4100</v>
      </c>
      <c r="C194" s="53"/>
      <c r="D194" s="53">
        <v>4.1374998092651296</v>
      </c>
    </row>
    <row r="195" spans="1:4">
      <c r="A195" s="53" t="s">
        <v>115</v>
      </c>
      <c r="B195" s="53">
        <v>5900</v>
      </c>
      <c r="C195" s="53"/>
      <c r="D195" s="53">
        <v>10.205882352941099</v>
      </c>
    </row>
    <row r="196" spans="1:4">
      <c r="A196" s="53" t="s">
        <v>593</v>
      </c>
      <c r="B196" s="53">
        <v>4000</v>
      </c>
      <c r="C196" s="53"/>
      <c r="D196" s="53">
        <v>2.30000005449567</v>
      </c>
    </row>
    <row r="197" spans="1:4">
      <c r="A197" s="53" t="s">
        <v>734</v>
      </c>
      <c r="B197" s="53">
        <v>4000</v>
      </c>
      <c r="C197" s="53"/>
      <c r="D197" s="53"/>
    </row>
    <row r="198" spans="1:4">
      <c r="A198" s="53" t="s">
        <v>864</v>
      </c>
      <c r="B198" s="53">
        <v>4000</v>
      </c>
      <c r="C198" s="53"/>
      <c r="D198" s="53">
        <v>0</v>
      </c>
    </row>
    <row r="199" spans="1:4">
      <c r="A199" s="53" t="s">
        <v>638</v>
      </c>
      <c r="B199" s="53">
        <v>4000</v>
      </c>
      <c r="C199" s="53" t="s">
        <v>351</v>
      </c>
      <c r="D199" s="53"/>
    </row>
    <row r="200" spans="1:4">
      <c r="A200" s="53" t="s">
        <v>709</v>
      </c>
      <c r="B200" s="53">
        <v>4000</v>
      </c>
      <c r="C200" s="53"/>
      <c r="D200" s="53"/>
    </row>
    <row r="201" spans="1:4">
      <c r="A201" s="53" t="s">
        <v>782</v>
      </c>
      <c r="B201" s="53">
        <v>4300</v>
      </c>
      <c r="C201" s="53"/>
      <c r="D201" s="53">
        <v>4.0499998728434203</v>
      </c>
    </row>
    <row r="202" spans="1:4">
      <c r="A202" s="53" t="s">
        <v>333</v>
      </c>
      <c r="B202" s="53">
        <v>6000</v>
      </c>
      <c r="C202" s="53"/>
      <c r="D202" s="53">
        <v>2.2074999809265101</v>
      </c>
    </row>
    <row r="203" spans="1:4">
      <c r="A203" s="53" t="s">
        <v>765</v>
      </c>
      <c r="B203" s="53">
        <v>4800</v>
      </c>
      <c r="C203" s="53"/>
      <c r="D203" s="53">
        <v>4.3250001271565699</v>
      </c>
    </row>
    <row r="204" spans="1:4">
      <c r="A204" s="53" t="s">
        <v>614</v>
      </c>
      <c r="B204" s="53">
        <v>4000</v>
      </c>
      <c r="C204" s="53"/>
      <c r="D204" s="53">
        <v>0.84666665395100904</v>
      </c>
    </row>
    <row r="205" spans="1:4">
      <c r="A205" s="53" t="s">
        <v>656</v>
      </c>
      <c r="B205" s="53">
        <v>4000</v>
      </c>
      <c r="C205" s="53"/>
      <c r="D205" s="53">
        <v>3.5</v>
      </c>
    </row>
    <row r="206" spans="1:4">
      <c r="A206" s="53" t="s">
        <v>569</v>
      </c>
      <c r="B206" s="53">
        <v>4100</v>
      </c>
      <c r="C206" s="53"/>
      <c r="D206" s="53">
        <v>0.45294116525089001</v>
      </c>
    </row>
    <row r="207" spans="1:4">
      <c r="A207" s="53" t="s">
        <v>487</v>
      </c>
      <c r="B207" s="53">
        <v>5900</v>
      </c>
      <c r="C207" s="53" t="s">
        <v>75</v>
      </c>
      <c r="D207" s="53">
        <v>10.9470591825597</v>
      </c>
    </row>
    <row r="208" spans="1:4">
      <c r="A208" s="53" t="s">
        <v>526</v>
      </c>
      <c r="B208" s="53">
        <v>4200</v>
      </c>
      <c r="C208" s="53"/>
      <c r="D208" s="53">
        <v>0.125</v>
      </c>
    </row>
    <row r="209" spans="1:4">
      <c r="A209" s="53" t="s">
        <v>589</v>
      </c>
      <c r="B209" s="53">
        <v>4000</v>
      </c>
      <c r="C209" s="53"/>
      <c r="D209" s="53"/>
    </row>
    <row r="210" spans="1:4">
      <c r="A210" s="53" t="s">
        <v>472</v>
      </c>
      <c r="B210" s="53">
        <v>4000</v>
      </c>
      <c r="C210" s="53"/>
      <c r="D210" s="53">
        <v>0.30588234172147799</v>
      </c>
    </row>
    <row r="211" spans="1:4">
      <c r="A211" s="53" t="s">
        <v>533</v>
      </c>
      <c r="B211" s="53">
        <v>4200</v>
      </c>
      <c r="C211" s="53"/>
      <c r="D211" s="53">
        <v>8.9222225613064197</v>
      </c>
    </row>
    <row r="212" spans="1:4">
      <c r="A212" s="53" t="s">
        <v>689</v>
      </c>
      <c r="B212" s="53">
        <v>4000</v>
      </c>
      <c r="C212" s="53"/>
      <c r="D212" s="53">
        <v>5.90714263916015</v>
      </c>
    </row>
    <row r="213" spans="1:4">
      <c r="A213" s="53" t="s">
        <v>644</v>
      </c>
      <c r="B213" s="53">
        <v>4000</v>
      </c>
      <c r="C213" s="53"/>
      <c r="D213" s="53">
        <v>0.279999995231628</v>
      </c>
    </row>
    <row r="214" spans="1:4">
      <c r="A214" s="53" t="s">
        <v>272</v>
      </c>
      <c r="B214" s="53">
        <v>3400</v>
      </c>
      <c r="C214" s="53"/>
      <c r="D214" s="53">
        <v>6.9411764705882302</v>
      </c>
    </row>
    <row r="215" spans="1:4">
      <c r="A215" s="53" t="s">
        <v>606</v>
      </c>
      <c r="B215" s="53">
        <v>4000</v>
      </c>
      <c r="C215" s="53" t="s">
        <v>75</v>
      </c>
      <c r="D215" s="53">
        <v>1.29999995231628</v>
      </c>
    </row>
    <row r="216" spans="1:4">
      <c r="A216" s="53" t="s">
        <v>653</v>
      </c>
      <c r="B216" s="53">
        <v>4000</v>
      </c>
      <c r="C216" s="53"/>
      <c r="D216" s="53">
        <v>2.6777778201632998</v>
      </c>
    </row>
    <row r="217" spans="1:4">
      <c r="A217" s="53" t="s">
        <v>513</v>
      </c>
      <c r="B217" s="53">
        <v>4500</v>
      </c>
      <c r="C217" s="53"/>
      <c r="D217" s="53"/>
    </row>
    <row r="218" spans="1:4">
      <c r="A218" s="53" t="s">
        <v>81</v>
      </c>
      <c r="B218" s="53">
        <v>7000</v>
      </c>
      <c r="C218" s="53"/>
      <c r="D218" s="53">
        <v>14.654117359834499</v>
      </c>
    </row>
    <row r="219" spans="1:4">
      <c r="A219" s="53" t="s">
        <v>739</v>
      </c>
      <c r="B219" s="53">
        <v>4000</v>
      </c>
      <c r="C219" s="53"/>
      <c r="D219" s="53"/>
    </row>
    <row r="220" spans="1:4">
      <c r="A220" s="53" t="s">
        <v>551</v>
      </c>
      <c r="B220" s="53">
        <v>4100</v>
      </c>
      <c r="C220" s="53"/>
      <c r="D220" s="53">
        <v>1.6588235742905499</v>
      </c>
    </row>
    <row r="221" spans="1:4">
      <c r="A221" s="53" t="s">
        <v>167</v>
      </c>
      <c r="B221" s="53">
        <v>4800</v>
      </c>
      <c r="C221" s="53"/>
      <c r="D221" s="53">
        <v>1.86249995231628</v>
      </c>
    </row>
    <row r="222" spans="1:4">
      <c r="A222" s="53" t="s">
        <v>442</v>
      </c>
      <c r="B222" s="53">
        <v>4000</v>
      </c>
      <c r="C222" s="53"/>
      <c r="D222" s="53">
        <v>1.29999995231628</v>
      </c>
    </row>
    <row r="223" spans="1:4">
      <c r="A223" s="53" t="s">
        <v>460</v>
      </c>
      <c r="B223" s="53">
        <v>4000</v>
      </c>
      <c r="C223" s="53"/>
      <c r="D223" s="53"/>
    </row>
    <row r="224" spans="1:4">
      <c r="A224" s="53" t="s">
        <v>74</v>
      </c>
      <c r="B224" s="53">
        <v>7100</v>
      </c>
      <c r="C224" s="53"/>
      <c r="D224" s="53">
        <v>12.971429007393899</v>
      </c>
    </row>
    <row r="225" spans="1:4">
      <c r="A225" s="53" t="s">
        <v>76</v>
      </c>
      <c r="B225" s="53">
        <v>6000</v>
      </c>
      <c r="C225" s="53"/>
      <c r="D225" s="53">
        <v>11.789999961853001</v>
      </c>
    </row>
    <row r="226" spans="1:4">
      <c r="A226" s="53" t="s">
        <v>20</v>
      </c>
      <c r="B226" s="53">
        <v>3900</v>
      </c>
      <c r="C226" s="53"/>
      <c r="D226" s="53">
        <v>6.1</v>
      </c>
    </row>
    <row r="227" spans="1:4">
      <c r="A227" s="53" t="s">
        <v>379</v>
      </c>
      <c r="B227" s="53">
        <v>4700</v>
      </c>
      <c r="C227" s="53"/>
      <c r="D227" s="53">
        <v>1.6428571428571399</v>
      </c>
    </row>
    <row r="228" spans="1:4">
      <c r="A228" s="53" t="s">
        <v>568</v>
      </c>
      <c r="B228" s="53">
        <v>4100</v>
      </c>
      <c r="C228" s="53"/>
      <c r="D228" s="53"/>
    </row>
    <row r="229" spans="1:4">
      <c r="A229" s="53" t="s">
        <v>247</v>
      </c>
      <c r="B229" s="53">
        <v>4000</v>
      </c>
      <c r="C229" s="53" t="s">
        <v>75</v>
      </c>
      <c r="D229" s="53">
        <v>1.57222217983669</v>
      </c>
    </row>
    <row r="230" spans="1:4">
      <c r="A230" s="53" t="s">
        <v>730</v>
      </c>
      <c r="B230" s="53">
        <v>4000</v>
      </c>
      <c r="C230" s="53" t="s">
        <v>351</v>
      </c>
      <c r="D230" s="53"/>
    </row>
    <row r="231" spans="1:4">
      <c r="A231" s="53" t="s">
        <v>812</v>
      </c>
      <c r="B231" s="53">
        <v>4100</v>
      </c>
      <c r="C231" s="53"/>
      <c r="D231" s="53"/>
    </row>
    <row r="232" spans="1:4">
      <c r="A232" s="53" t="s">
        <v>534</v>
      </c>
      <c r="B232" s="53">
        <v>4200</v>
      </c>
      <c r="C232" s="53"/>
      <c r="D232" s="53">
        <v>0.378571442195347</v>
      </c>
    </row>
    <row r="233" spans="1:4">
      <c r="A233" s="53" t="s">
        <v>152</v>
      </c>
      <c r="B233" s="53">
        <v>6300</v>
      </c>
      <c r="C233" s="53"/>
      <c r="D233" s="53">
        <v>9.2810524388363493</v>
      </c>
    </row>
    <row r="234" spans="1:4">
      <c r="A234" s="53" t="s">
        <v>353</v>
      </c>
      <c r="B234" s="53">
        <v>7200</v>
      </c>
      <c r="C234" s="53"/>
      <c r="D234" s="53">
        <v>15.1416664123535</v>
      </c>
    </row>
    <row r="235" spans="1:4">
      <c r="A235" s="53" t="s">
        <v>634</v>
      </c>
      <c r="B235" s="53">
        <v>4000</v>
      </c>
      <c r="C235" s="53"/>
      <c r="D235" s="53"/>
    </row>
    <row r="236" spans="1:4">
      <c r="A236" s="53" t="s">
        <v>455</v>
      </c>
      <c r="B236" s="53">
        <v>4000</v>
      </c>
      <c r="C236" s="53"/>
      <c r="D236" s="53"/>
    </row>
    <row r="237" spans="1:4">
      <c r="A237" s="53" t="s">
        <v>542</v>
      </c>
      <c r="B237" s="53">
        <v>4100</v>
      </c>
      <c r="C237" s="53"/>
      <c r="D237" s="53"/>
    </row>
    <row r="238" spans="1:4">
      <c r="A238" s="53" t="s">
        <v>405</v>
      </c>
      <c r="B238" s="53">
        <v>4200</v>
      </c>
      <c r="C238" s="53"/>
      <c r="D238" s="53"/>
    </row>
    <row r="239" spans="1:4">
      <c r="A239" s="53" t="s">
        <v>490</v>
      </c>
      <c r="B239" s="53">
        <v>5600</v>
      </c>
      <c r="C239" s="53"/>
      <c r="D239" s="53">
        <v>10</v>
      </c>
    </row>
    <row r="240" spans="1:4">
      <c r="A240" s="53" t="s">
        <v>506</v>
      </c>
      <c r="B240" s="53">
        <v>4800</v>
      </c>
      <c r="C240" s="53" t="s">
        <v>75</v>
      </c>
      <c r="D240" s="53">
        <v>6.5333333333333297</v>
      </c>
    </row>
    <row r="241" spans="1:4">
      <c r="A241" s="53" t="s">
        <v>94</v>
      </c>
      <c r="B241" s="53">
        <v>6900</v>
      </c>
      <c r="C241" s="53"/>
      <c r="D241" s="53">
        <v>14.029411764705801</v>
      </c>
    </row>
    <row r="242" spans="1:4">
      <c r="A242" s="53" t="s">
        <v>757</v>
      </c>
      <c r="B242" s="53">
        <v>4000</v>
      </c>
      <c r="C242" s="53"/>
      <c r="D242" s="53">
        <v>0</v>
      </c>
    </row>
    <row r="243" spans="1:4">
      <c r="A243" s="53" t="s">
        <v>98</v>
      </c>
      <c r="B243" s="53">
        <v>6900</v>
      </c>
      <c r="C243" s="53"/>
      <c r="D243" s="53">
        <v>12.024999618530201</v>
      </c>
    </row>
    <row r="244" spans="1:4">
      <c r="A244" s="53" t="s">
        <v>726</v>
      </c>
      <c r="B244" s="53">
        <v>4000</v>
      </c>
      <c r="C244" s="53"/>
      <c r="D244" s="53">
        <v>0</v>
      </c>
    </row>
    <row r="245" spans="1:4">
      <c r="A245" s="53" t="s">
        <v>778</v>
      </c>
      <c r="B245" s="53">
        <v>4400</v>
      </c>
      <c r="C245" s="53"/>
      <c r="D245" s="53">
        <v>5.5</v>
      </c>
    </row>
    <row r="246" spans="1:4">
      <c r="A246" s="53" t="s">
        <v>230</v>
      </c>
      <c r="B246" s="53">
        <v>4000</v>
      </c>
      <c r="C246" s="53"/>
      <c r="D246" s="53">
        <v>1.375</v>
      </c>
    </row>
    <row r="247" spans="1:4">
      <c r="A247" s="53" t="s">
        <v>127</v>
      </c>
      <c r="B247" s="53">
        <v>5200</v>
      </c>
      <c r="C247" s="53"/>
      <c r="D247" s="53">
        <v>9.5222218831380196</v>
      </c>
    </row>
    <row r="248" spans="1:4">
      <c r="A248" s="53" t="s">
        <v>345</v>
      </c>
      <c r="B248" s="53">
        <v>6000</v>
      </c>
      <c r="C248" s="53"/>
      <c r="D248" s="53">
        <v>2.9000000423855199</v>
      </c>
    </row>
    <row r="249" spans="1:4">
      <c r="A249" s="53" t="s">
        <v>207</v>
      </c>
      <c r="B249" s="53">
        <v>6700</v>
      </c>
      <c r="C249" s="53"/>
      <c r="D249" s="53">
        <v>8.2282355813419095</v>
      </c>
    </row>
    <row r="250" spans="1:4">
      <c r="A250" s="53" t="s">
        <v>287</v>
      </c>
      <c r="B250" s="53">
        <v>6500</v>
      </c>
      <c r="C250" s="53"/>
      <c r="D250" s="53"/>
    </row>
    <row r="251" spans="1:4">
      <c r="A251" s="53" t="s">
        <v>558</v>
      </c>
      <c r="B251" s="53">
        <v>4100</v>
      </c>
      <c r="C251" s="53"/>
      <c r="D251" s="53"/>
    </row>
    <row r="252" spans="1:4">
      <c r="A252" s="53" t="s">
        <v>326</v>
      </c>
      <c r="B252" s="53">
        <v>6000</v>
      </c>
      <c r="C252" s="53"/>
      <c r="D252" s="53">
        <v>0</v>
      </c>
    </row>
    <row r="253" spans="1:4">
      <c r="A253" s="53" t="s">
        <v>306</v>
      </c>
      <c r="B253" s="53">
        <v>6000</v>
      </c>
      <c r="C253" s="53" t="s">
        <v>75</v>
      </c>
      <c r="D253" s="53">
        <v>5.3533331553141199</v>
      </c>
    </row>
    <row r="254" spans="1:4">
      <c r="A254" s="53" t="s">
        <v>886</v>
      </c>
      <c r="B254" s="53">
        <v>4000</v>
      </c>
      <c r="C254" s="53"/>
      <c r="D254" s="53">
        <v>2.8363637057217601</v>
      </c>
    </row>
    <row r="255" spans="1:4">
      <c r="A255" s="53" t="s">
        <v>800</v>
      </c>
      <c r="B255" s="53">
        <v>4200</v>
      </c>
      <c r="C255" s="53"/>
      <c r="D255" s="53">
        <v>2.8071428026471801</v>
      </c>
    </row>
    <row r="256" spans="1:4">
      <c r="A256" s="53" t="s">
        <v>557</v>
      </c>
      <c r="B256" s="53">
        <v>4100</v>
      </c>
      <c r="C256" s="53"/>
      <c r="D256" s="53"/>
    </row>
    <row r="257" spans="1:4">
      <c r="A257" s="53" t="s">
        <v>180</v>
      </c>
      <c r="B257" s="53">
        <v>4300</v>
      </c>
      <c r="C257" s="53"/>
      <c r="D257" s="53">
        <v>4.0571428026471796</v>
      </c>
    </row>
    <row r="258" spans="1:4">
      <c r="A258" s="53" t="s">
        <v>475</v>
      </c>
      <c r="B258" s="53">
        <v>4000</v>
      </c>
      <c r="C258" s="53" t="s">
        <v>75</v>
      </c>
      <c r="D258" s="53">
        <v>0</v>
      </c>
    </row>
    <row r="259" spans="1:4">
      <c r="A259" s="53" t="s">
        <v>257</v>
      </c>
      <c r="B259" s="53">
        <v>4100</v>
      </c>
      <c r="C259" s="53"/>
      <c r="D259" s="53">
        <v>2.22769223726712</v>
      </c>
    </row>
    <row r="260" spans="1:4">
      <c r="A260" s="53" t="s">
        <v>648</v>
      </c>
      <c r="B260" s="53">
        <v>4000</v>
      </c>
      <c r="C260" s="53"/>
      <c r="D260" s="53"/>
    </row>
    <row r="261" spans="1:4">
      <c r="A261" s="53" t="s">
        <v>394</v>
      </c>
      <c r="B261" s="53">
        <v>4300</v>
      </c>
      <c r="C261" s="53"/>
      <c r="D261" s="53"/>
    </row>
    <row r="262" spans="1:4">
      <c r="A262" s="53" t="s">
        <v>893</v>
      </c>
      <c r="B262" s="53">
        <v>4000</v>
      </c>
      <c r="C262" s="53" t="s">
        <v>75</v>
      </c>
      <c r="D262" s="53"/>
    </row>
    <row r="263" spans="1:4">
      <c r="A263" s="53" t="s">
        <v>724</v>
      </c>
      <c r="B263" s="53">
        <v>4000</v>
      </c>
      <c r="C263" s="53"/>
      <c r="D263" s="53"/>
    </row>
    <row r="264" spans="1:4">
      <c r="A264" s="53" t="s">
        <v>328</v>
      </c>
      <c r="B264" s="53">
        <v>6000</v>
      </c>
      <c r="C264" s="53"/>
      <c r="D264" s="53">
        <v>9.7942853655133906</v>
      </c>
    </row>
    <row r="265" spans="1:4">
      <c r="A265" s="53" t="s">
        <v>434</v>
      </c>
      <c r="B265" s="53">
        <v>4000</v>
      </c>
      <c r="C265" s="53"/>
      <c r="D265" s="53"/>
    </row>
    <row r="266" spans="1:4">
      <c r="A266" s="53" t="s">
        <v>548</v>
      </c>
      <c r="B266" s="53">
        <v>4100</v>
      </c>
      <c r="C266" s="53"/>
      <c r="D266" s="53">
        <v>1.7666667302449499</v>
      </c>
    </row>
    <row r="267" spans="1:4">
      <c r="A267" s="53" t="s">
        <v>458</v>
      </c>
      <c r="B267" s="53">
        <v>4000</v>
      </c>
      <c r="C267" s="53"/>
      <c r="D267" s="53">
        <v>0.96666669845580999</v>
      </c>
    </row>
    <row r="268" spans="1:4">
      <c r="A268" s="53" t="s">
        <v>527</v>
      </c>
      <c r="B268" s="53">
        <v>4200</v>
      </c>
      <c r="C268" s="53"/>
      <c r="D268" s="53">
        <v>2.6636362942782301</v>
      </c>
    </row>
    <row r="269" spans="1:4">
      <c r="A269" s="53" t="s">
        <v>220</v>
      </c>
      <c r="B269" s="53">
        <v>4500</v>
      </c>
      <c r="C269" s="53"/>
      <c r="D269" s="53">
        <v>6.1647060618680998</v>
      </c>
    </row>
    <row r="270" spans="1:4">
      <c r="A270" s="53" t="s">
        <v>130</v>
      </c>
      <c r="B270" s="53">
        <v>4400</v>
      </c>
      <c r="C270" s="53"/>
      <c r="D270" s="53">
        <v>5.2333332697550397</v>
      </c>
    </row>
    <row r="271" spans="1:4">
      <c r="A271" s="53" t="s">
        <v>467</v>
      </c>
      <c r="B271" s="53">
        <v>4000</v>
      </c>
      <c r="C271" s="53"/>
      <c r="D271" s="53">
        <v>5.9307691133939304</v>
      </c>
    </row>
    <row r="272" spans="1:4">
      <c r="A272" s="53" t="s">
        <v>252</v>
      </c>
      <c r="B272" s="53">
        <v>4100</v>
      </c>
      <c r="C272" s="53"/>
      <c r="D272" s="53">
        <v>1.73999996185302</v>
      </c>
    </row>
    <row r="273" spans="1:4">
      <c r="A273" s="53" t="s">
        <v>389</v>
      </c>
      <c r="B273" s="53">
        <v>4400</v>
      </c>
      <c r="C273" s="53"/>
      <c r="D273" s="53">
        <v>1</v>
      </c>
    </row>
    <row r="274" spans="1:4">
      <c r="A274" s="53" t="s">
        <v>830</v>
      </c>
      <c r="B274" s="53">
        <v>4000</v>
      </c>
      <c r="C274" s="53"/>
      <c r="D274" s="53">
        <v>3.0499999523162802</v>
      </c>
    </row>
    <row r="275" spans="1:4">
      <c r="A275" s="53" t="s">
        <v>815</v>
      </c>
      <c r="B275" s="53">
        <v>4100</v>
      </c>
      <c r="C275" s="53"/>
      <c r="D275" s="53"/>
    </row>
    <row r="276" spans="1:4">
      <c r="A276" s="53" t="s">
        <v>629</v>
      </c>
      <c r="B276" s="53">
        <v>4000</v>
      </c>
      <c r="C276" s="53"/>
      <c r="D276" s="53">
        <v>1.1000000238418499</v>
      </c>
    </row>
    <row r="277" spans="1:4">
      <c r="A277" s="53" t="s">
        <v>736</v>
      </c>
      <c r="B277" s="53">
        <v>4000</v>
      </c>
      <c r="C277" s="53" t="s">
        <v>75</v>
      </c>
      <c r="D277" s="53"/>
    </row>
    <row r="278" spans="1:4">
      <c r="A278" s="53" t="s">
        <v>104</v>
      </c>
      <c r="B278" s="53">
        <v>6200</v>
      </c>
      <c r="C278" s="53"/>
      <c r="D278" s="53">
        <v>10.194117826573899</v>
      </c>
    </row>
    <row r="279" spans="1:4">
      <c r="A279" s="53" t="s">
        <v>401</v>
      </c>
      <c r="B279" s="53">
        <v>4200</v>
      </c>
      <c r="C279" s="53"/>
      <c r="D279" s="53">
        <v>1.20000004768371</v>
      </c>
    </row>
    <row r="280" spans="1:4">
      <c r="A280" s="53" t="s">
        <v>139</v>
      </c>
      <c r="B280" s="53">
        <v>5800</v>
      </c>
      <c r="C280" s="53"/>
      <c r="D280" s="53">
        <v>8.7647058823529402</v>
      </c>
    </row>
    <row r="281" spans="1:4">
      <c r="A281" s="53" t="s">
        <v>890</v>
      </c>
      <c r="B281" s="53">
        <v>4000</v>
      </c>
      <c r="C281" s="53"/>
      <c r="D281" s="53">
        <v>0</v>
      </c>
    </row>
    <row r="282" spans="1:4">
      <c r="A282" s="53" t="s">
        <v>183</v>
      </c>
      <c r="B282" s="53">
        <v>4400</v>
      </c>
      <c r="C282" s="53"/>
      <c r="D282" s="53">
        <v>2.9833332697550401</v>
      </c>
    </row>
    <row r="283" spans="1:4">
      <c r="A283" s="53" t="s">
        <v>411</v>
      </c>
      <c r="B283" s="53">
        <v>4000</v>
      </c>
      <c r="C283" s="53"/>
      <c r="D283" s="53"/>
    </row>
    <row r="284" spans="1:4">
      <c r="A284" s="53" t="s">
        <v>727</v>
      </c>
      <c r="B284" s="53">
        <v>4000</v>
      </c>
      <c r="C284" s="53" t="s">
        <v>75</v>
      </c>
      <c r="D284" s="53">
        <v>3.1333332061767498</v>
      </c>
    </row>
    <row r="285" spans="1:4">
      <c r="A285" s="53" t="s">
        <v>485</v>
      </c>
      <c r="B285" s="53">
        <v>6100</v>
      </c>
      <c r="C285" s="53"/>
      <c r="D285" s="53">
        <v>8.6812496185302699</v>
      </c>
    </row>
    <row r="286" spans="1:4">
      <c r="A286" s="53" t="s">
        <v>84</v>
      </c>
      <c r="B286" s="53">
        <v>6800</v>
      </c>
      <c r="C286" s="53"/>
      <c r="D286" s="53">
        <v>12.824999809265099</v>
      </c>
    </row>
    <row r="287" spans="1:4">
      <c r="A287" s="53" t="s">
        <v>412</v>
      </c>
      <c r="B287" s="53">
        <v>4000</v>
      </c>
      <c r="C287" s="53"/>
      <c r="D287" s="53">
        <v>3.0333334604898998</v>
      </c>
    </row>
    <row r="288" spans="1:4">
      <c r="A288" s="53" t="s">
        <v>290</v>
      </c>
      <c r="B288" s="53">
        <v>6000</v>
      </c>
      <c r="C288" s="53"/>
      <c r="D288" s="53"/>
    </row>
    <row r="289" spans="1:4">
      <c r="A289" s="53" t="s">
        <v>77</v>
      </c>
      <c r="B289" s="53">
        <v>7000</v>
      </c>
      <c r="C289" s="53"/>
      <c r="D289" s="53">
        <v>15.717332967122299</v>
      </c>
    </row>
    <row r="290" spans="1:4">
      <c r="A290" s="53" t="s">
        <v>803</v>
      </c>
      <c r="B290" s="53">
        <v>4200</v>
      </c>
      <c r="C290" s="53" t="s">
        <v>75</v>
      </c>
      <c r="D290" s="53">
        <v>1.5999999576144699</v>
      </c>
    </row>
    <row r="291" spans="1:4">
      <c r="A291" s="53" t="s">
        <v>409</v>
      </c>
      <c r="B291" s="53">
        <v>4100</v>
      </c>
      <c r="C291" s="53"/>
      <c r="D291" s="53"/>
    </row>
    <row r="292" spans="1:4">
      <c r="A292" s="53" t="s">
        <v>483</v>
      </c>
      <c r="B292" s="53">
        <v>6500</v>
      </c>
      <c r="C292" s="53"/>
      <c r="D292" s="53">
        <v>10.2388890584309</v>
      </c>
    </row>
    <row r="293" spans="1:4">
      <c r="A293" s="53" t="s">
        <v>768</v>
      </c>
      <c r="B293" s="53">
        <v>4600</v>
      </c>
      <c r="C293" s="53"/>
      <c r="D293" s="53">
        <v>5.3499999046325604</v>
      </c>
    </row>
    <row r="294" spans="1:4">
      <c r="A294" s="53" t="s">
        <v>790</v>
      </c>
      <c r="B294" s="53">
        <v>4300</v>
      </c>
      <c r="C294" s="53" t="s">
        <v>75</v>
      </c>
      <c r="D294" s="53">
        <v>0.34999999403953502</v>
      </c>
    </row>
    <row r="295" spans="1:4">
      <c r="A295" s="53" t="s">
        <v>468</v>
      </c>
      <c r="B295" s="53">
        <v>4000</v>
      </c>
      <c r="C295" s="53"/>
      <c r="D295" s="53">
        <v>0</v>
      </c>
    </row>
    <row r="296" spans="1:4">
      <c r="A296" s="53" t="s">
        <v>512</v>
      </c>
      <c r="B296" s="53">
        <v>4600</v>
      </c>
      <c r="C296" s="53"/>
      <c r="D296" s="53">
        <v>3.0882352941176401</v>
      </c>
    </row>
    <row r="297" spans="1:4">
      <c r="A297" s="53" t="s">
        <v>767</v>
      </c>
      <c r="B297" s="53">
        <v>4600</v>
      </c>
      <c r="C297" s="53"/>
      <c r="D297" s="53">
        <v>2</v>
      </c>
    </row>
    <row r="298" spans="1:4">
      <c r="A298" s="53" t="s">
        <v>547</v>
      </c>
      <c r="B298" s="53">
        <v>4100</v>
      </c>
      <c r="C298" s="53" t="s">
        <v>75</v>
      </c>
      <c r="D298" s="53">
        <v>0.25</v>
      </c>
    </row>
    <row r="299" spans="1:4">
      <c r="A299" s="53" t="s">
        <v>360</v>
      </c>
      <c r="B299" s="53">
        <v>6000</v>
      </c>
      <c r="C299" s="53"/>
      <c r="D299" s="53">
        <v>9.9736842105263097</v>
      </c>
    </row>
    <row r="300" spans="1:4">
      <c r="A300" s="53" t="s">
        <v>647</v>
      </c>
      <c r="B300" s="53">
        <v>4000</v>
      </c>
      <c r="C300" s="53"/>
      <c r="D300" s="53"/>
    </row>
    <row r="301" spans="1:4">
      <c r="A301" s="53" t="s">
        <v>197</v>
      </c>
      <c r="B301" s="53">
        <v>4500</v>
      </c>
      <c r="C301" s="53"/>
      <c r="D301" s="53">
        <v>2.6600001017252599</v>
      </c>
    </row>
    <row r="302" spans="1:4">
      <c r="A302" s="53" t="s">
        <v>402</v>
      </c>
      <c r="B302" s="53">
        <v>4200</v>
      </c>
      <c r="C302" s="53"/>
      <c r="D302" s="53">
        <v>1.7083333333333299</v>
      </c>
    </row>
    <row r="303" spans="1:4">
      <c r="A303" s="53" t="s">
        <v>643</v>
      </c>
      <c r="B303" s="53">
        <v>4000</v>
      </c>
      <c r="C303" s="53"/>
      <c r="D303" s="53"/>
    </row>
    <row r="304" spans="1:4">
      <c r="A304" s="53" t="s">
        <v>178</v>
      </c>
      <c r="B304" s="53">
        <v>4800</v>
      </c>
      <c r="C304" s="53"/>
      <c r="D304" s="53">
        <v>3.7111112806532098</v>
      </c>
    </row>
    <row r="305" spans="1:4">
      <c r="A305" s="53" t="s">
        <v>878</v>
      </c>
      <c r="B305" s="53">
        <v>4000</v>
      </c>
      <c r="C305" s="53"/>
      <c r="D305" s="53"/>
    </row>
    <row r="306" spans="1:4">
      <c r="A306" s="53" t="s">
        <v>349</v>
      </c>
      <c r="B306" s="53">
        <v>6000</v>
      </c>
      <c r="C306" s="53"/>
      <c r="D306" s="53"/>
    </row>
    <row r="307" spans="1:4">
      <c r="A307" s="53" t="s">
        <v>14</v>
      </c>
      <c r="B307" s="53">
        <v>3900</v>
      </c>
      <c r="C307" s="53"/>
      <c r="D307" s="53">
        <v>8.4210526315789398</v>
      </c>
    </row>
    <row r="308" spans="1:4">
      <c r="A308" s="53" t="s">
        <v>103</v>
      </c>
      <c r="B308" s="53">
        <v>4900</v>
      </c>
      <c r="C308" s="53"/>
      <c r="D308" s="53">
        <v>7.6076924250675999</v>
      </c>
    </row>
    <row r="309" spans="1:4">
      <c r="A309" s="53" t="s">
        <v>883</v>
      </c>
      <c r="B309" s="53">
        <v>4000</v>
      </c>
      <c r="C309" s="53"/>
      <c r="D309" s="53"/>
    </row>
    <row r="310" spans="1:4">
      <c r="A310" s="53" t="s">
        <v>814</v>
      </c>
      <c r="B310" s="53">
        <v>4100</v>
      </c>
      <c r="C310" s="53"/>
      <c r="D310" s="53">
        <v>0</v>
      </c>
    </row>
    <row r="311" spans="1:4">
      <c r="A311" s="53" t="s">
        <v>457</v>
      </c>
      <c r="B311" s="53">
        <v>4000</v>
      </c>
      <c r="C311" s="53"/>
      <c r="D311" s="53">
        <v>1.3999999761581401</v>
      </c>
    </row>
    <row r="312" spans="1:4">
      <c r="A312" s="53" t="s">
        <v>795</v>
      </c>
      <c r="B312" s="53">
        <v>4200</v>
      </c>
      <c r="C312" s="53" t="s">
        <v>75</v>
      </c>
      <c r="D312" s="53">
        <v>1.1571429116385299</v>
      </c>
    </row>
    <row r="313" spans="1:4">
      <c r="A313" s="53" t="s">
        <v>435</v>
      </c>
      <c r="B313" s="53">
        <v>4000</v>
      </c>
      <c r="C313" s="53" t="s">
        <v>351</v>
      </c>
      <c r="D313" s="53"/>
    </row>
    <row r="314" spans="1:4">
      <c r="A314" s="53" t="s">
        <v>591</v>
      </c>
      <c r="B314" s="53">
        <v>4000</v>
      </c>
      <c r="C314" s="53"/>
      <c r="D314" s="53">
        <v>1.6764705882352899</v>
      </c>
    </row>
    <row r="315" spans="1:4">
      <c r="A315" s="53" t="s">
        <v>18</v>
      </c>
      <c r="B315" s="53">
        <v>3500</v>
      </c>
      <c r="C315" s="53"/>
      <c r="D315" s="53">
        <v>8.2352941176470509</v>
      </c>
    </row>
    <row r="316" spans="1:4">
      <c r="A316" s="53" t="s">
        <v>825</v>
      </c>
      <c r="B316" s="53">
        <v>4000</v>
      </c>
      <c r="C316" s="53"/>
      <c r="D316" s="53"/>
    </row>
    <row r="317" spans="1:4">
      <c r="A317" s="53" t="s">
        <v>520</v>
      </c>
      <c r="B317" s="53">
        <v>4300</v>
      </c>
      <c r="C317" s="53"/>
      <c r="D317" s="53">
        <v>3.5357142857142798</v>
      </c>
    </row>
    <row r="318" spans="1:4">
      <c r="A318" s="53" t="s">
        <v>264</v>
      </c>
      <c r="B318" s="53">
        <v>4000</v>
      </c>
      <c r="C318" s="53" t="s">
        <v>75</v>
      </c>
      <c r="D318" s="53">
        <v>0.85384618318997896</v>
      </c>
    </row>
    <row r="319" spans="1:4">
      <c r="A319" s="53" t="s">
        <v>385</v>
      </c>
      <c r="B319" s="53">
        <v>4500</v>
      </c>
      <c r="C319" s="53"/>
      <c r="D319" s="53">
        <v>1.6</v>
      </c>
    </row>
    <row r="320" spans="1:4">
      <c r="A320" s="53" t="s">
        <v>705</v>
      </c>
      <c r="B320" s="53">
        <v>4000</v>
      </c>
      <c r="C320" s="53"/>
      <c r="D320" s="53"/>
    </row>
    <row r="321" spans="1:4">
      <c r="A321" s="53" t="s">
        <v>728</v>
      </c>
      <c r="B321" s="53">
        <v>4000</v>
      </c>
      <c r="C321" s="53"/>
      <c r="D321" s="53"/>
    </row>
    <row r="322" spans="1:4">
      <c r="A322" s="53" t="s">
        <v>284</v>
      </c>
      <c r="B322" s="53">
        <v>6700</v>
      </c>
      <c r="C322" s="53" t="s">
        <v>351</v>
      </c>
      <c r="D322" s="53"/>
    </row>
    <row r="323" spans="1:4">
      <c r="A323" s="53" t="s">
        <v>433</v>
      </c>
      <c r="B323" s="53">
        <v>4000</v>
      </c>
      <c r="C323" s="53"/>
      <c r="D323" s="53">
        <v>2.20000004768371</v>
      </c>
    </row>
    <row r="324" spans="1:4">
      <c r="A324" s="53" t="s">
        <v>365</v>
      </c>
      <c r="B324" s="53">
        <v>5500</v>
      </c>
      <c r="C324" s="53"/>
      <c r="D324" s="53">
        <v>10.699999809265099</v>
      </c>
    </row>
    <row r="325" spans="1:4">
      <c r="A325" s="53" t="s">
        <v>471</v>
      </c>
      <c r="B325" s="53">
        <v>4000</v>
      </c>
      <c r="C325" s="53"/>
      <c r="D325" s="53"/>
    </row>
    <row r="326" spans="1:4">
      <c r="A326" s="53" t="s">
        <v>65</v>
      </c>
      <c r="B326" s="53">
        <v>3700</v>
      </c>
      <c r="C326" s="53"/>
      <c r="D326" s="53">
        <v>7.23529411764705</v>
      </c>
    </row>
    <row r="327" spans="1:4">
      <c r="A327" s="53" t="s">
        <v>438</v>
      </c>
      <c r="B327" s="53">
        <v>4000</v>
      </c>
      <c r="C327" s="53"/>
      <c r="D327" s="53"/>
    </row>
    <row r="328" spans="1:4">
      <c r="A328" s="53" t="s">
        <v>324</v>
      </c>
      <c r="B328" s="53">
        <v>6000</v>
      </c>
      <c r="C328" s="53"/>
      <c r="D328" s="53"/>
    </row>
    <row r="329" spans="1:4">
      <c r="A329" s="53" t="s">
        <v>853</v>
      </c>
      <c r="B329" s="53">
        <v>4000</v>
      </c>
      <c r="C329" s="53" t="s">
        <v>75</v>
      </c>
      <c r="D329" s="53"/>
    </row>
    <row r="330" spans="1:4">
      <c r="A330" s="53" t="s">
        <v>543</v>
      </c>
      <c r="B330" s="53">
        <v>4100</v>
      </c>
      <c r="C330" s="53"/>
      <c r="D330" s="53"/>
    </row>
    <row r="331" spans="1:4">
      <c r="A331" s="53" t="s">
        <v>854</v>
      </c>
      <c r="B331" s="53">
        <v>4000</v>
      </c>
      <c r="C331" s="53"/>
      <c r="D331" s="53"/>
    </row>
    <row r="332" spans="1:4">
      <c r="A332" s="53" t="s">
        <v>430</v>
      </c>
      <c r="B332" s="53">
        <v>4000</v>
      </c>
      <c r="C332" s="53"/>
      <c r="D332" s="53"/>
    </row>
    <row r="333" spans="1:4">
      <c r="A333" s="53" t="s">
        <v>456</v>
      </c>
      <c r="B333" s="53">
        <v>4000</v>
      </c>
      <c r="C333" s="53"/>
      <c r="D333" s="53"/>
    </row>
    <row r="334" spans="1:4">
      <c r="A334" s="53" t="s">
        <v>314</v>
      </c>
      <c r="B334" s="53">
        <v>6000</v>
      </c>
      <c r="C334" s="53"/>
      <c r="D334" s="53"/>
    </row>
    <row r="335" spans="1:4">
      <c r="A335" s="53" t="s">
        <v>873</v>
      </c>
      <c r="B335" s="53">
        <v>4000</v>
      </c>
      <c r="C335" s="53"/>
      <c r="D335" s="53"/>
    </row>
    <row r="336" spans="1:4">
      <c r="A336" s="53" t="s">
        <v>288</v>
      </c>
      <c r="B336" s="53">
        <v>6500</v>
      </c>
      <c r="C336" s="53"/>
      <c r="D336" s="53">
        <v>7.6200002034505196</v>
      </c>
    </row>
    <row r="337" spans="1:4">
      <c r="A337" s="53" t="s">
        <v>437</v>
      </c>
      <c r="B337" s="53">
        <v>4000</v>
      </c>
      <c r="C337" s="53"/>
      <c r="D337" s="53"/>
    </row>
    <row r="338" spans="1:4">
      <c r="A338" s="53" t="s">
        <v>631</v>
      </c>
      <c r="B338" s="53">
        <v>4000</v>
      </c>
      <c r="C338" s="53"/>
      <c r="D338" s="53"/>
    </row>
    <row r="339" spans="1:4">
      <c r="A339" s="53" t="s">
        <v>735</v>
      </c>
      <c r="B339" s="53">
        <v>4000</v>
      </c>
      <c r="C339" s="53"/>
      <c r="D339" s="53"/>
    </row>
    <row r="340" spans="1:4">
      <c r="A340" s="53" t="s">
        <v>753</v>
      </c>
      <c r="B340" s="53">
        <v>4000</v>
      </c>
      <c r="C340" s="53"/>
      <c r="D340" s="53">
        <v>0</v>
      </c>
    </row>
    <row r="341" spans="1:4">
      <c r="A341" s="53" t="s">
        <v>861</v>
      </c>
      <c r="B341" s="53">
        <v>4000</v>
      </c>
      <c r="C341" s="53"/>
      <c r="D341" s="53"/>
    </row>
    <row r="342" spans="1:4">
      <c r="A342" s="53" t="s">
        <v>19</v>
      </c>
      <c r="B342" s="53">
        <v>8000</v>
      </c>
      <c r="C342" s="53"/>
      <c r="D342" s="53">
        <v>14.522221883138</v>
      </c>
    </row>
    <row r="343" spans="1:4">
      <c r="A343" s="53" t="s">
        <v>262</v>
      </c>
      <c r="B343" s="53">
        <v>4100</v>
      </c>
      <c r="C343" s="53"/>
      <c r="D343" s="53">
        <v>3.1600001017252599</v>
      </c>
    </row>
    <row r="344" spans="1:4">
      <c r="A344" s="53" t="s">
        <v>329</v>
      </c>
      <c r="B344" s="53">
        <v>6000</v>
      </c>
      <c r="C344" s="53"/>
      <c r="D344" s="53">
        <v>12.5783335367838</v>
      </c>
    </row>
    <row r="345" spans="1:4">
      <c r="A345" s="53" t="s">
        <v>760</v>
      </c>
      <c r="B345" s="53">
        <v>6000</v>
      </c>
      <c r="C345" s="53"/>
      <c r="D345" s="53">
        <v>9.6611107720269001</v>
      </c>
    </row>
    <row r="346" spans="1:4">
      <c r="A346" s="53" t="s">
        <v>407</v>
      </c>
      <c r="B346" s="53">
        <v>4100</v>
      </c>
      <c r="C346" s="53"/>
      <c r="D346" s="53">
        <v>2.70000004768371</v>
      </c>
    </row>
    <row r="347" spans="1:4">
      <c r="A347" s="53" t="s">
        <v>315</v>
      </c>
      <c r="B347" s="53">
        <v>6000</v>
      </c>
      <c r="C347" s="53"/>
      <c r="D347" s="53">
        <v>0</v>
      </c>
    </row>
    <row r="348" spans="1:4">
      <c r="A348" s="53" t="s">
        <v>342</v>
      </c>
      <c r="B348" s="53">
        <v>6000</v>
      </c>
      <c r="C348" s="53" t="s">
        <v>75</v>
      </c>
      <c r="D348" s="53"/>
    </row>
    <row r="349" spans="1:4">
      <c r="A349" s="53" t="s">
        <v>754</v>
      </c>
      <c r="B349" s="53">
        <v>4000</v>
      </c>
      <c r="C349" s="53" t="s">
        <v>75</v>
      </c>
      <c r="D349" s="53"/>
    </row>
    <row r="350" spans="1:4">
      <c r="A350" s="53" t="s">
        <v>175</v>
      </c>
      <c r="B350" s="53">
        <v>4000</v>
      </c>
      <c r="C350" s="53"/>
      <c r="D350" s="53">
        <v>0.56666668256123798</v>
      </c>
    </row>
    <row r="351" spans="1:4">
      <c r="A351" s="53" t="s">
        <v>201</v>
      </c>
      <c r="B351" s="53">
        <v>5100</v>
      </c>
      <c r="C351" s="53"/>
      <c r="D351" s="53">
        <v>11.4425001144409</v>
      </c>
    </row>
    <row r="352" spans="1:4">
      <c r="A352" s="53" t="s">
        <v>373</v>
      </c>
      <c r="B352" s="53">
        <v>5000</v>
      </c>
      <c r="C352" s="53"/>
      <c r="D352" s="53">
        <v>5.3235294117647003</v>
      </c>
    </row>
    <row r="353" spans="1:4">
      <c r="A353" s="53" t="s">
        <v>676</v>
      </c>
      <c r="B353" s="53">
        <v>4000</v>
      </c>
      <c r="C353" s="53"/>
      <c r="D353" s="53">
        <v>2.3499999046325599</v>
      </c>
    </row>
    <row r="354" spans="1:4">
      <c r="A354" s="53" t="s">
        <v>674</v>
      </c>
      <c r="B354" s="53">
        <v>4000</v>
      </c>
      <c r="C354" s="53"/>
      <c r="D354" s="53">
        <v>1.20000004768371</v>
      </c>
    </row>
    <row r="355" spans="1:4">
      <c r="A355" s="53" t="s">
        <v>658</v>
      </c>
      <c r="B355" s="53">
        <v>4000</v>
      </c>
      <c r="C355" s="53"/>
      <c r="D355" s="53"/>
    </row>
    <row r="356" spans="1:4">
      <c r="A356" s="53" t="s">
        <v>624</v>
      </c>
      <c r="B356" s="53">
        <v>4000</v>
      </c>
      <c r="C356" s="53"/>
      <c r="D356" s="53"/>
    </row>
    <row r="357" spans="1:4">
      <c r="A357" s="53" t="s">
        <v>515</v>
      </c>
      <c r="B357" s="53">
        <v>4500</v>
      </c>
      <c r="C357" s="53"/>
      <c r="D357" s="53">
        <v>2.8428570883614599</v>
      </c>
    </row>
    <row r="358" spans="1:4">
      <c r="A358" s="53" t="s">
        <v>426</v>
      </c>
      <c r="B358" s="53">
        <v>4000</v>
      </c>
      <c r="C358" s="53"/>
      <c r="D358" s="53"/>
    </row>
    <row r="359" spans="1:4">
      <c r="A359" s="53" t="s">
        <v>498</v>
      </c>
      <c r="B359" s="53">
        <v>5000</v>
      </c>
      <c r="C359" s="53"/>
      <c r="D359" s="53"/>
    </row>
    <row r="360" spans="1:4">
      <c r="A360" s="53" t="s">
        <v>528</v>
      </c>
      <c r="B360" s="53">
        <v>4200</v>
      </c>
      <c r="C360" s="53" t="s">
        <v>75</v>
      </c>
      <c r="D360" s="53">
        <v>1.4666666984558101</v>
      </c>
    </row>
    <row r="361" spans="1:4">
      <c r="A361" s="53" t="s">
        <v>552</v>
      </c>
      <c r="B361" s="53">
        <v>4100</v>
      </c>
      <c r="C361" s="53"/>
      <c r="D361" s="53">
        <v>2.5</v>
      </c>
    </row>
    <row r="362" spans="1:4">
      <c r="A362" s="53" t="s">
        <v>509</v>
      </c>
      <c r="B362" s="53">
        <v>4700</v>
      </c>
      <c r="C362" s="53"/>
      <c r="D362" s="53">
        <v>3.1866666158040302</v>
      </c>
    </row>
    <row r="363" spans="1:4">
      <c r="A363" s="53" t="s">
        <v>546</v>
      </c>
      <c r="B363" s="53">
        <v>4100</v>
      </c>
      <c r="C363" s="53"/>
      <c r="D363" s="53">
        <v>3.125</v>
      </c>
    </row>
    <row r="364" spans="1:4">
      <c r="A364" s="53" t="s">
        <v>507</v>
      </c>
      <c r="B364" s="53">
        <v>4800</v>
      </c>
      <c r="C364" s="53"/>
      <c r="D364" s="53">
        <v>3.7538460951585</v>
      </c>
    </row>
    <row r="365" spans="1:4">
      <c r="A365" s="53" t="s">
        <v>618</v>
      </c>
      <c r="B365" s="53">
        <v>4000</v>
      </c>
      <c r="C365" s="53"/>
      <c r="D365" s="53"/>
    </row>
    <row r="366" spans="1:4">
      <c r="A366" s="53" t="s">
        <v>508</v>
      </c>
      <c r="B366" s="53">
        <v>4800</v>
      </c>
      <c r="C366" s="53"/>
      <c r="D366" s="53"/>
    </row>
    <row r="367" spans="1:4">
      <c r="A367" s="53" t="s">
        <v>370</v>
      </c>
      <c r="B367" s="53">
        <v>5000</v>
      </c>
      <c r="C367" s="53"/>
      <c r="D367" s="53">
        <v>3.9846153259277299</v>
      </c>
    </row>
    <row r="368" spans="1:4">
      <c r="A368" s="53" t="s">
        <v>255</v>
      </c>
      <c r="B368" s="53">
        <v>4000</v>
      </c>
      <c r="C368" s="53"/>
      <c r="D368" s="53">
        <v>3.0272726579145899</v>
      </c>
    </row>
    <row r="369" spans="1:4">
      <c r="A369" s="53" t="s">
        <v>597</v>
      </c>
      <c r="B369" s="53">
        <v>4000</v>
      </c>
      <c r="C369" s="53"/>
      <c r="D369" s="53"/>
    </row>
    <row r="370" spans="1:4">
      <c r="A370" s="53" t="s">
        <v>33</v>
      </c>
      <c r="B370" s="53">
        <v>9100</v>
      </c>
      <c r="C370" s="53"/>
      <c r="D370" s="53">
        <v>13.295000076293899</v>
      </c>
    </row>
    <row r="371" spans="1:4">
      <c r="A371" s="53" t="s">
        <v>120</v>
      </c>
      <c r="B371" s="53">
        <v>6100</v>
      </c>
      <c r="C371" s="53"/>
      <c r="D371" s="53">
        <v>2.13714286259242</v>
      </c>
    </row>
    <row r="372" spans="1:4">
      <c r="A372" s="53" t="s">
        <v>359</v>
      </c>
      <c r="B372" s="53">
        <v>6100</v>
      </c>
      <c r="C372" s="53"/>
      <c r="D372" s="53">
        <v>14.4615384615384</v>
      </c>
    </row>
    <row r="373" spans="1:4">
      <c r="A373" s="53" t="s">
        <v>352</v>
      </c>
      <c r="B373" s="53">
        <v>7600</v>
      </c>
      <c r="C373" s="53"/>
      <c r="D373" s="53">
        <v>12.1736843711451</v>
      </c>
    </row>
    <row r="374" spans="1:4">
      <c r="A374" s="53" t="s">
        <v>823</v>
      </c>
      <c r="B374" s="53">
        <v>4100</v>
      </c>
      <c r="C374" s="53"/>
      <c r="D374" s="53">
        <v>1.2666666507720901</v>
      </c>
    </row>
    <row r="375" spans="1:4">
      <c r="A375" s="53" t="s">
        <v>583</v>
      </c>
      <c r="B375" s="53">
        <v>4100</v>
      </c>
      <c r="C375" s="53"/>
      <c r="D375" s="53">
        <v>-0.2</v>
      </c>
    </row>
    <row r="376" spans="1:4">
      <c r="A376" s="53" t="s">
        <v>448</v>
      </c>
      <c r="B376" s="53">
        <v>4000</v>
      </c>
      <c r="C376" s="53"/>
      <c r="D376" s="53">
        <v>0.5</v>
      </c>
    </row>
    <row r="377" spans="1:4">
      <c r="A377" s="53" t="s">
        <v>622</v>
      </c>
      <c r="B377" s="53">
        <v>4000</v>
      </c>
      <c r="C377" s="53"/>
      <c r="D377" s="53">
        <v>0</v>
      </c>
    </row>
    <row r="378" spans="1:4">
      <c r="A378" s="53" t="s">
        <v>221</v>
      </c>
      <c r="B378" s="53">
        <v>5800</v>
      </c>
      <c r="C378" s="53"/>
      <c r="D378" s="53">
        <v>6.3600001017252596</v>
      </c>
    </row>
    <row r="379" spans="1:4">
      <c r="A379" s="53" t="s">
        <v>599</v>
      </c>
      <c r="B379" s="53">
        <v>4000</v>
      </c>
      <c r="C379" s="53"/>
      <c r="D379" s="53">
        <v>1.7437499761581401</v>
      </c>
    </row>
    <row r="380" spans="1:4">
      <c r="A380" s="53" t="s">
        <v>172</v>
      </c>
      <c r="B380" s="53">
        <v>4200</v>
      </c>
      <c r="C380" s="53"/>
      <c r="D380" s="53">
        <v>0</v>
      </c>
    </row>
    <row r="381" spans="1:4">
      <c r="A381" s="53" t="s">
        <v>743</v>
      </c>
      <c r="B381" s="53">
        <v>4000</v>
      </c>
      <c r="C381" s="53" t="s">
        <v>351</v>
      </c>
      <c r="D381" s="53"/>
    </row>
    <row r="382" spans="1:4">
      <c r="A382" s="53" t="s">
        <v>732</v>
      </c>
      <c r="B382" s="53">
        <v>4000</v>
      </c>
      <c r="C382" s="53"/>
      <c r="D382" s="53"/>
    </row>
    <row r="383" spans="1:4">
      <c r="A383" s="53" t="s">
        <v>56</v>
      </c>
      <c r="B383" s="53">
        <v>7500</v>
      </c>
      <c r="C383" s="53"/>
      <c r="D383" s="53">
        <v>17.544000244140602</v>
      </c>
    </row>
    <row r="384" spans="1:4">
      <c r="A384" s="53" t="s">
        <v>711</v>
      </c>
      <c r="B384" s="53">
        <v>4000</v>
      </c>
      <c r="C384" s="53" t="s">
        <v>75</v>
      </c>
      <c r="D384" s="53"/>
    </row>
    <row r="385" spans="1:4">
      <c r="A385" s="53" t="s">
        <v>296</v>
      </c>
      <c r="B385" s="53">
        <v>6000</v>
      </c>
      <c r="C385" s="53"/>
      <c r="D385" s="53">
        <v>0.77999997138976995</v>
      </c>
    </row>
    <row r="386" spans="1:4">
      <c r="A386" s="53" t="s">
        <v>429</v>
      </c>
      <c r="B386" s="53">
        <v>4000</v>
      </c>
      <c r="C386" s="53"/>
      <c r="D386" s="53">
        <v>3.9000000953674299</v>
      </c>
    </row>
    <row r="387" spans="1:4">
      <c r="A387" s="53" t="s">
        <v>286</v>
      </c>
      <c r="B387" s="53">
        <v>6600</v>
      </c>
      <c r="C387" s="53"/>
      <c r="D387" s="53">
        <v>9.2133331298828107</v>
      </c>
    </row>
    <row r="388" spans="1:4">
      <c r="A388" s="53" t="s">
        <v>396</v>
      </c>
      <c r="B388" s="53">
        <v>4300</v>
      </c>
      <c r="C388" s="53"/>
      <c r="D388" s="53"/>
    </row>
    <row r="389" spans="1:4">
      <c r="A389" s="53" t="s">
        <v>431</v>
      </c>
      <c r="B389" s="53">
        <v>4000</v>
      </c>
      <c r="C389" s="53" t="s">
        <v>75</v>
      </c>
      <c r="D389" s="53">
        <v>1.3999999761581401</v>
      </c>
    </row>
    <row r="390" spans="1:4">
      <c r="A390" s="53" t="s">
        <v>350</v>
      </c>
      <c r="B390" s="53">
        <v>6000</v>
      </c>
      <c r="C390" s="53"/>
      <c r="D390" s="53"/>
    </row>
    <row r="391" spans="1:4">
      <c r="A391" s="53" t="s">
        <v>770</v>
      </c>
      <c r="B391" s="53">
        <v>4500</v>
      </c>
      <c r="C391" s="53"/>
      <c r="D391" s="53"/>
    </row>
    <row r="392" spans="1:4">
      <c r="A392" s="53" t="s">
        <v>501</v>
      </c>
      <c r="B392" s="53">
        <v>4900</v>
      </c>
      <c r="C392" s="53"/>
      <c r="D392" s="53"/>
    </row>
    <row r="393" spans="1:4">
      <c r="A393" s="53" t="s">
        <v>358</v>
      </c>
      <c r="B393" s="53">
        <v>6100</v>
      </c>
      <c r="C393" s="53"/>
      <c r="D393" s="53">
        <v>9.7312498092651296</v>
      </c>
    </row>
    <row r="394" spans="1:4">
      <c r="A394" s="53" t="s">
        <v>397</v>
      </c>
      <c r="B394" s="53">
        <v>4300</v>
      </c>
      <c r="C394" s="53" t="s">
        <v>75</v>
      </c>
      <c r="D394" s="53"/>
    </row>
    <row r="395" spans="1:4">
      <c r="A395" s="53" t="s">
        <v>633</v>
      </c>
      <c r="B395" s="53">
        <v>4000</v>
      </c>
      <c r="C395" s="53" t="s">
        <v>75</v>
      </c>
      <c r="D395" s="53"/>
    </row>
    <row r="396" spans="1:4">
      <c r="A396" s="53" t="s">
        <v>243</v>
      </c>
      <c r="B396" s="53">
        <v>5200</v>
      </c>
      <c r="C396" s="53"/>
      <c r="D396" s="53">
        <v>6.9588237089269303</v>
      </c>
    </row>
    <row r="397" spans="1:4">
      <c r="A397" s="53" t="s">
        <v>279</v>
      </c>
      <c r="B397" s="53">
        <v>7000</v>
      </c>
      <c r="C397" s="53"/>
      <c r="D397" s="53"/>
    </row>
    <row r="398" spans="1:4">
      <c r="A398" s="53" t="s">
        <v>706</v>
      </c>
      <c r="B398" s="53">
        <v>4000</v>
      </c>
      <c r="C398" s="53"/>
      <c r="D398" s="53"/>
    </row>
    <row r="399" spans="1:4">
      <c r="A399" s="53" t="s">
        <v>43</v>
      </c>
      <c r="B399" s="53">
        <v>7200</v>
      </c>
      <c r="C399" s="53"/>
      <c r="D399" s="53">
        <v>11.1733337402343</v>
      </c>
    </row>
    <row r="400" spans="1:4">
      <c r="A400" s="53" t="s">
        <v>363</v>
      </c>
      <c r="B400" s="53">
        <v>5700</v>
      </c>
      <c r="C400" s="53" t="s">
        <v>75</v>
      </c>
      <c r="D400" s="53">
        <v>9.5722223917643205</v>
      </c>
    </row>
    <row r="401" spans="1:4">
      <c r="A401" s="53" t="s">
        <v>381</v>
      </c>
      <c r="B401" s="53">
        <v>4700</v>
      </c>
      <c r="C401" s="53"/>
      <c r="D401" s="53"/>
    </row>
    <row r="402" spans="1:4">
      <c r="A402" s="53" t="s">
        <v>693</v>
      </c>
      <c r="B402" s="53">
        <v>4000</v>
      </c>
      <c r="C402" s="53" t="s">
        <v>75</v>
      </c>
      <c r="D402" s="53"/>
    </row>
    <row r="403" spans="1:4">
      <c r="A403" s="53" t="s">
        <v>336</v>
      </c>
      <c r="B403" s="53">
        <v>6000</v>
      </c>
      <c r="C403" s="53"/>
      <c r="D403" s="53">
        <v>7.9699997901916504</v>
      </c>
    </row>
    <row r="404" spans="1:4">
      <c r="A404" s="53" t="s">
        <v>749</v>
      </c>
      <c r="B404" s="53">
        <v>4000</v>
      </c>
      <c r="C404" s="53" t="s">
        <v>351</v>
      </c>
      <c r="D404" s="53"/>
    </row>
    <row r="405" spans="1:4">
      <c r="A405" s="53" t="s">
        <v>564</v>
      </c>
      <c r="B405" s="53">
        <v>4100</v>
      </c>
      <c r="C405" s="53" t="s">
        <v>75</v>
      </c>
      <c r="D405" s="53">
        <v>2.4857142312186098</v>
      </c>
    </row>
    <row r="406" spans="1:4">
      <c r="A406" s="53" t="s">
        <v>376</v>
      </c>
      <c r="B406" s="53">
        <v>4800</v>
      </c>
      <c r="C406" s="53"/>
      <c r="D406" s="53">
        <v>3.5400001525878899</v>
      </c>
    </row>
    <row r="407" spans="1:4">
      <c r="A407" s="53" t="s">
        <v>787</v>
      </c>
      <c r="B407" s="53">
        <v>4300</v>
      </c>
      <c r="C407" s="53" t="s">
        <v>351</v>
      </c>
      <c r="D407" s="53">
        <v>5.1416667302449497</v>
      </c>
    </row>
    <row r="408" spans="1:4">
      <c r="A408" s="53" t="s">
        <v>600</v>
      </c>
      <c r="B408" s="53">
        <v>4000</v>
      </c>
      <c r="C408" s="53"/>
      <c r="D408" s="53"/>
    </row>
    <row r="409" spans="1:4">
      <c r="A409" s="53" t="s">
        <v>403</v>
      </c>
      <c r="B409" s="53">
        <v>4200</v>
      </c>
      <c r="C409" s="53"/>
      <c r="D409" s="53"/>
    </row>
    <row r="410" spans="1:4">
      <c r="A410" s="53" t="s">
        <v>505</v>
      </c>
      <c r="B410" s="53">
        <v>4800</v>
      </c>
      <c r="C410" s="53"/>
      <c r="D410" s="53"/>
    </row>
    <row r="411" spans="1:4">
      <c r="A411" s="53" t="s">
        <v>636</v>
      </c>
      <c r="B411" s="53">
        <v>4000</v>
      </c>
      <c r="C411" s="53" t="s">
        <v>75</v>
      </c>
      <c r="D411" s="53"/>
    </row>
    <row r="412" spans="1:4">
      <c r="A412" s="53" t="s">
        <v>439</v>
      </c>
      <c r="B412" s="53">
        <v>4000</v>
      </c>
      <c r="C412" s="53"/>
      <c r="D412" s="53"/>
    </row>
    <row r="413" spans="1:4">
      <c r="A413" s="53" t="s">
        <v>124</v>
      </c>
      <c r="B413" s="53">
        <v>6200</v>
      </c>
      <c r="C413" s="53"/>
      <c r="D413" s="53">
        <v>10.799999660915701</v>
      </c>
    </row>
    <row r="414" spans="1:4">
      <c r="A414" s="53" t="s">
        <v>489</v>
      </c>
      <c r="B414" s="53">
        <v>5700</v>
      </c>
      <c r="C414" s="53"/>
      <c r="D414" s="53">
        <v>7.1750001907348597</v>
      </c>
    </row>
    <row r="415" spans="1:4">
      <c r="A415" s="53" t="s">
        <v>605</v>
      </c>
      <c r="B415" s="53">
        <v>4000</v>
      </c>
      <c r="C415" s="53"/>
      <c r="D415" s="53"/>
    </row>
    <row r="416" spans="1:4">
      <c r="A416" s="53" t="s">
        <v>900</v>
      </c>
      <c r="B416" s="53">
        <v>4000</v>
      </c>
      <c r="C416" s="53"/>
      <c r="D416" s="53">
        <v>0.29999999205271399</v>
      </c>
    </row>
    <row r="417" spans="1:4">
      <c r="A417" s="53" t="s">
        <v>609</v>
      </c>
      <c r="B417" s="53">
        <v>4000</v>
      </c>
      <c r="C417" s="53"/>
      <c r="D417" s="53"/>
    </row>
    <row r="418" spans="1:4">
      <c r="A418" s="53" t="s">
        <v>654</v>
      </c>
      <c r="B418" s="53">
        <v>4000</v>
      </c>
      <c r="C418" s="53"/>
      <c r="D418" s="53"/>
    </row>
    <row r="419" spans="1:4">
      <c r="A419" s="53" t="s">
        <v>78</v>
      </c>
      <c r="B419" s="53">
        <v>6000</v>
      </c>
      <c r="C419" s="53" t="s">
        <v>351</v>
      </c>
      <c r="D419" s="53">
        <v>9.1374998092651296</v>
      </c>
    </row>
    <row r="420" spans="1:4">
      <c r="A420" s="53" t="s">
        <v>199</v>
      </c>
      <c r="B420" s="53">
        <v>4100</v>
      </c>
      <c r="C420" s="53"/>
      <c r="D420" s="53">
        <v>4.4142856597900302</v>
      </c>
    </row>
    <row r="421" spans="1:4">
      <c r="A421" s="53" t="s">
        <v>641</v>
      </c>
      <c r="B421" s="53">
        <v>4000</v>
      </c>
      <c r="C421" s="53"/>
      <c r="D421" s="53"/>
    </row>
    <row r="422" spans="1:4">
      <c r="A422" s="53" t="s">
        <v>824</v>
      </c>
      <c r="B422" s="53">
        <v>4100</v>
      </c>
      <c r="C422" s="53"/>
      <c r="D422" s="53">
        <v>2.52999992370605</v>
      </c>
    </row>
    <row r="423" spans="1:4">
      <c r="A423" s="53" t="s">
        <v>46</v>
      </c>
      <c r="B423" s="53">
        <v>8400</v>
      </c>
      <c r="C423" s="53"/>
      <c r="D423" s="53">
        <v>15.316000366210901</v>
      </c>
    </row>
    <row r="424" spans="1:4">
      <c r="A424" s="53" t="s">
        <v>307</v>
      </c>
      <c r="B424" s="53">
        <v>6000</v>
      </c>
      <c r="C424" s="53"/>
      <c r="D424" s="53">
        <v>20.736666361490801</v>
      </c>
    </row>
    <row r="425" spans="1:4">
      <c r="A425" s="53" t="s">
        <v>325</v>
      </c>
      <c r="B425" s="53">
        <v>6000</v>
      </c>
      <c r="C425" s="53"/>
      <c r="D425" s="53"/>
    </row>
    <row r="426" spans="1:4">
      <c r="A426" s="53" t="s">
        <v>9</v>
      </c>
      <c r="B426" s="53">
        <v>7300</v>
      </c>
      <c r="C426" s="53"/>
      <c r="D426" s="53">
        <v>14.176470588235199</v>
      </c>
    </row>
    <row r="427" spans="1:4">
      <c r="A427" s="53" t="s">
        <v>596</v>
      </c>
      <c r="B427" s="53">
        <v>4000</v>
      </c>
      <c r="C427" s="53" t="s">
        <v>75</v>
      </c>
      <c r="D427" s="53"/>
    </row>
    <row r="428" spans="1:4">
      <c r="A428" s="53" t="s">
        <v>192</v>
      </c>
      <c r="B428" s="53">
        <v>4400</v>
      </c>
      <c r="C428" s="53"/>
      <c r="D428" s="53">
        <v>1.75714288439069</v>
      </c>
    </row>
    <row r="429" spans="1:4">
      <c r="A429" s="53" t="s">
        <v>788</v>
      </c>
      <c r="B429" s="53">
        <v>4300</v>
      </c>
      <c r="C429" s="53"/>
      <c r="D429" s="53">
        <v>0.85000002384185702</v>
      </c>
    </row>
    <row r="430" spans="1:4">
      <c r="A430" s="53" t="s">
        <v>635</v>
      </c>
      <c r="B430" s="53">
        <v>4000</v>
      </c>
      <c r="C430" s="53"/>
      <c r="D430" s="53"/>
    </row>
    <row r="431" spans="1:4">
      <c r="A431" s="53" t="s">
        <v>660</v>
      </c>
      <c r="B431" s="53">
        <v>4000</v>
      </c>
      <c r="C431" s="53"/>
      <c r="D431" s="53"/>
    </row>
    <row r="432" spans="1:4">
      <c r="A432" s="53" t="s">
        <v>242</v>
      </c>
      <c r="B432" s="53">
        <v>4100</v>
      </c>
      <c r="C432" s="53"/>
      <c r="D432" s="53">
        <v>2.0666666666666602</v>
      </c>
    </row>
    <row r="433" spans="1:4">
      <c r="A433" s="53" t="s">
        <v>321</v>
      </c>
      <c r="B433" s="53">
        <v>6000</v>
      </c>
      <c r="C433" s="53"/>
      <c r="D433" s="53"/>
    </row>
    <row r="434" spans="1:4">
      <c r="A434" s="53" t="s">
        <v>337</v>
      </c>
      <c r="B434" s="53">
        <v>6000</v>
      </c>
      <c r="C434" s="53"/>
      <c r="D434" s="53"/>
    </row>
    <row r="435" spans="1:4">
      <c r="A435" s="53" t="s">
        <v>888</v>
      </c>
      <c r="B435" s="53">
        <v>4000</v>
      </c>
      <c r="C435" s="53"/>
      <c r="D435" s="53"/>
    </row>
    <row r="436" spans="1:4">
      <c r="A436" s="53" t="s">
        <v>620</v>
      </c>
      <c r="B436" s="53">
        <v>4000</v>
      </c>
      <c r="C436" s="53" t="s">
        <v>75</v>
      </c>
      <c r="D436" s="53"/>
    </row>
    <row r="437" spans="1:4">
      <c r="A437" s="53" t="s">
        <v>318</v>
      </c>
      <c r="B437" s="53">
        <v>6000</v>
      </c>
      <c r="C437" s="53"/>
      <c r="D437" s="53">
        <v>0</v>
      </c>
    </row>
    <row r="438" spans="1:4">
      <c r="A438" s="53" t="s">
        <v>621</v>
      </c>
      <c r="B438" s="53">
        <v>4000</v>
      </c>
      <c r="C438" s="53"/>
      <c r="D438" s="53"/>
    </row>
    <row r="439" spans="1:4">
      <c r="A439" s="53" t="s">
        <v>775</v>
      </c>
      <c r="B439" s="53">
        <v>4400</v>
      </c>
      <c r="C439" s="53"/>
      <c r="D439" s="53">
        <v>3.5222223069932701</v>
      </c>
    </row>
    <row r="440" spans="1:4">
      <c r="A440" s="53" t="s">
        <v>240</v>
      </c>
      <c r="B440" s="53">
        <v>4400</v>
      </c>
      <c r="C440" s="53"/>
      <c r="D440" s="53">
        <v>4.2199999491373701</v>
      </c>
    </row>
    <row r="441" spans="1:4">
      <c r="A441" s="53" t="s">
        <v>123</v>
      </c>
      <c r="B441" s="53">
        <v>8600</v>
      </c>
      <c r="C441" s="53"/>
      <c r="D441" s="53">
        <v>14.689999389648399</v>
      </c>
    </row>
    <row r="442" spans="1:4">
      <c r="A442" s="53" t="s">
        <v>454</v>
      </c>
      <c r="B442" s="53">
        <v>4000</v>
      </c>
      <c r="C442" s="53"/>
      <c r="D442" s="53">
        <v>0.36666667461395203</v>
      </c>
    </row>
    <row r="443" spans="1:4">
      <c r="A443" s="53" t="s">
        <v>364</v>
      </c>
      <c r="B443" s="53">
        <v>5500</v>
      </c>
      <c r="C443" s="53" t="s">
        <v>351</v>
      </c>
      <c r="D443" s="53"/>
    </row>
    <row r="444" spans="1:4">
      <c r="A444" s="53" t="s">
        <v>114</v>
      </c>
      <c r="B444" s="53">
        <v>4600</v>
      </c>
      <c r="C444" s="53"/>
      <c r="D444" s="53">
        <v>6.6133331298828102</v>
      </c>
    </row>
    <row r="445" spans="1:4">
      <c r="A445" s="53" t="s">
        <v>202</v>
      </c>
      <c r="B445" s="53">
        <v>5700</v>
      </c>
      <c r="C445" s="53" t="s">
        <v>75</v>
      </c>
      <c r="D445" s="53">
        <v>10.9588237089269</v>
      </c>
    </row>
    <row r="446" spans="1:4">
      <c r="A446" s="53" t="s">
        <v>200</v>
      </c>
      <c r="B446" s="53">
        <v>4500</v>
      </c>
      <c r="C446" s="53"/>
      <c r="D446" s="53">
        <v>1.5923077509953401</v>
      </c>
    </row>
    <row r="447" spans="1:4">
      <c r="A447" s="53" t="s">
        <v>594</v>
      </c>
      <c r="B447" s="53">
        <v>4000</v>
      </c>
      <c r="C447" s="53"/>
      <c r="D447" s="53">
        <v>0</v>
      </c>
    </row>
    <row r="448" spans="1:4">
      <c r="A448" s="53" t="s">
        <v>410</v>
      </c>
      <c r="B448" s="53">
        <v>4100</v>
      </c>
      <c r="C448" s="53"/>
      <c r="D448" s="53">
        <v>0</v>
      </c>
    </row>
    <row r="449" spans="1:4">
      <c r="A449" s="53" t="s">
        <v>850</v>
      </c>
      <c r="B449" s="53">
        <v>4000</v>
      </c>
      <c r="C449" s="53"/>
      <c r="D449" s="53"/>
    </row>
    <row r="450" spans="1:4">
      <c r="A450" s="53" t="s">
        <v>892</v>
      </c>
      <c r="B450" s="53">
        <v>4000</v>
      </c>
      <c r="C450" s="53"/>
      <c r="D450" s="53">
        <v>0</v>
      </c>
    </row>
    <row r="451" spans="1:4">
      <c r="A451" s="53" t="s">
        <v>519</v>
      </c>
      <c r="B451" s="53">
        <v>4300</v>
      </c>
      <c r="C451" s="53"/>
      <c r="D451" s="53"/>
    </row>
    <row r="452" spans="1:4">
      <c r="A452" s="53" t="s">
        <v>672</v>
      </c>
      <c r="B452" s="53">
        <v>4000</v>
      </c>
      <c r="C452" s="53"/>
      <c r="D452" s="53"/>
    </row>
    <row r="453" spans="1:4">
      <c r="A453" s="53" t="s">
        <v>678</v>
      </c>
      <c r="B453" s="53">
        <v>4000</v>
      </c>
      <c r="C453" s="53"/>
      <c r="D453" s="53">
        <v>0</v>
      </c>
    </row>
    <row r="454" spans="1:4">
      <c r="A454" s="53" t="s">
        <v>273</v>
      </c>
      <c r="B454" s="53">
        <v>9200</v>
      </c>
      <c r="C454" s="53"/>
      <c r="D454" s="53">
        <v>24.989473041735199</v>
      </c>
    </row>
    <row r="455" spans="1:4">
      <c r="A455" s="53" t="s">
        <v>219</v>
      </c>
      <c r="B455" s="53">
        <v>5500</v>
      </c>
      <c r="C455" s="53" t="s">
        <v>75</v>
      </c>
      <c r="D455" s="53">
        <v>7.24117638083065</v>
      </c>
    </row>
    <row r="456" spans="1:4">
      <c r="A456" s="53" t="s">
        <v>188</v>
      </c>
      <c r="B456" s="53">
        <v>4300</v>
      </c>
      <c r="C456" s="53"/>
      <c r="D456" s="53">
        <v>3.2538460951585</v>
      </c>
    </row>
    <row r="457" spans="1:4">
      <c r="A457" s="53" t="s">
        <v>874</v>
      </c>
      <c r="B457" s="53">
        <v>4000</v>
      </c>
      <c r="C457" s="53" t="s">
        <v>75</v>
      </c>
      <c r="D457" s="53"/>
    </row>
    <row r="458" spans="1:4">
      <c r="A458" s="53" t="s">
        <v>203</v>
      </c>
      <c r="B458" s="53">
        <v>4800</v>
      </c>
      <c r="C458" s="53"/>
      <c r="D458" s="53">
        <v>6.9473684210526301</v>
      </c>
    </row>
    <row r="459" spans="1:4">
      <c r="A459" s="53" t="s">
        <v>781</v>
      </c>
      <c r="B459" s="53">
        <v>4300</v>
      </c>
      <c r="C459" s="53"/>
      <c r="D459" s="53">
        <v>2.4874999523162802</v>
      </c>
    </row>
    <row r="460" spans="1:4">
      <c r="A460" s="53" t="s">
        <v>544</v>
      </c>
      <c r="B460" s="53">
        <v>4100</v>
      </c>
      <c r="C460" s="53"/>
      <c r="D460" s="53"/>
    </row>
    <row r="461" spans="1:4">
      <c r="A461" s="53" t="s">
        <v>466</v>
      </c>
      <c r="B461" s="53">
        <v>4000</v>
      </c>
      <c r="C461" s="53"/>
      <c r="D461" s="53">
        <v>3.3941176919376099</v>
      </c>
    </row>
    <row r="462" spans="1:4">
      <c r="A462" s="53" t="s">
        <v>499</v>
      </c>
      <c r="B462" s="53">
        <v>5000</v>
      </c>
      <c r="C462" s="53"/>
      <c r="D462" s="53">
        <v>8.7699996948242092</v>
      </c>
    </row>
    <row r="463" spans="1:4">
      <c r="A463" s="53" t="s">
        <v>822</v>
      </c>
      <c r="B463" s="53">
        <v>4100</v>
      </c>
      <c r="C463" s="53"/>
      <c r="D463" s="53">
        <v>1.75</v>
      </c>
    </row>
    <row r="464" spans="1:4">
      <c r="A464" s="53" t="s">
        <v>802</v>
      </c>
      <c r="B464" s="53">
        <v>4200</v>
      </c>
      <c r="C464" s="53"/>
      <c r="D464" s="53">
        <v>0.82857145581926595</v>
      </c>
    </row>
    <row r="465" spans="1:4">
      <c r="A465" s="53" t="s">
        <v>406</v>
      </c>
      <c r="B465" s="53">
        <v>4100</v>
      </c>
      <c r="C465" s="53"/>
      <c r="D465" s="53">
        <v>1.13333336512247</v>
      </c>
    </row>
    <row r="466" spans="1:4">
      <c r="A466" s="53" t="s">
        <v>61</v>
      </c>
      <c r="B466" s="53">
        <v>6900</v>
      </c>
      <c r="C466" s="53"/>
      <c r="D466" s="53">
        <v>14.9487495422363</v>
      </c>
    </row>
    <row r="467" spans="1:4">
      <c r="A467" s="53" t="s">
        <v>679</v>
      </c>
      <c r="B467" s="53">
        <v>4000</v>
      </c>
      <c r="C467" s="53"/>
      <c r="D467" s="53">
        <v>0</v>
      </c>
    </row>
    <row r="468" spans="1:4">
      <c r="A468" s="53" t="s">
        <v>277</v>
      </c>
      <c r="B468" s="53">
        <v>7600</v>
      </c>
      <c r="C468" s="53"/>
      <c r="D468" s="53">
        <v>18.512307974008401</v>
      </c>
    </row>
    <row r="469" spans="1:4">
      <c r="A469" s="53" t="s">
        <v>479</v>
      </c>
      <c r="B469" s="53">
        <v>9000</v>
      </c>
      <c r="C469" s="53"/>
      <c r="D469" s="53">
        <v>16.819999694824201</v>
      </c>
    </row>
    <row r="470" spans="1:4">
      <c r="A470" s="53" t="s">
        <v>523</v>
      </c>
      <c r="B470" s="53">
        <v>4200</v>
      </c>
      <c r="C470" s="53"/>
      <c r="D470" s="53"/>
    </row>
    <row r="471" spans="1:4">
      <c r="A471" s="53" t="s">
        <v>766</v>
      </c>
      <c r="B471" s="53">
        <v>4700</v>
      </c>
      <c r="C471" s="53"/>
      <c r="D471" s="53">
        <v>6.1000002347505999</v>
      </c>
    </row>
    <row r="472" spans="1:4">
      <c r="A472" s="53" t="s">
        <v>659</v>
      </c>
      <c r="B472" s="53">
        <v>4000</v>
      </c>
      <c r="C472" s="53" t="s">
        <v>351</v>
      </c>
      <c r="D472" s="53">
        <v>0</v>
      </c>
    </row>
    <row r="473" spans="1:4">
      <c r="A473" s="53" t="s">
        <v>209</v>
      </c>
      <c r="B473" s="53">
        <v>4600</v>
      </c>
      <c r="C473" s="53"/>
      <c r="D473" s="53">
        <v>6</v>
      </c>
    </row>
    <row r="474" spans="1:4">
      <c r="A474" s="53" t="s">
        <v>603</v>
      </c>
      <c r="B474" s="53">
        <v>4000</v>
      </c>
      <c r="C474" s="53"/>
      <c r="D474" s="53"/>
    </row>
    <row r="475" spans="1:4">
      <c r="A475" s="53" t="s">
        <v>452</v>
      </c>
      <c r="B475" s="53">
        <v>4000</v>
      </c>
      <c r="C475" s="53"/>
      <c r="D475" s="53"/>
    </row>
    <row r="476" spans="1:4">
      <c r="A476" s="53" t="s">
        <v>237</v>
      </c>
      <c r="B476" s="53">
        <v>4900</v>
      </c>
      <c r="C476" s="53"/>
      <c r="D476" s="53">
        <v>4.7000000897575802</v>
      </c>
    </row>
    <row r="477" spans="1:4">
      <c r="A477" s="53" t="s">
        <v>657</v>
      </c>
      <c r="B477" s="53">
        <v>4000</v>
      </c>
      <c r="C477" s="53"/>
      <c r="D477" s="53"/>
    </row>
    <row r="478" spans="1:4">
      <c r="A478" s="53" t="s">
        <v>138</v>
      </c>
      <c r="B478" s="53">
        <v>4000</v>
      </c>
      <c r="C478" s="53"/>
      <c r="D478" s="53">
        <v>8.0625</v>
      </c>
    </row>
    <row r="479" spans="1:4">
      <c r="A479" s="53" t="s">
        <v>522</v>
      </c>
      <c r="B479" s="53">
        <v>4300</v>
      </c>
      <c r="C479" s="53"/>
      <c r="D479" s="53">
        <v>3.35625004768371</v>
      </c>
    </row>
    <row r="480" spans="1:4">
      <c r="A480" s="53" t="s">
        <v>623</v>
      </c>
      <c r="B480" s="53">
        <v>4000</v>
      </c>
      <c r="C480" s="53"/>
      <c r="D480" s="53"/>
    </row>
    <row r="481" spans="1:4">
      <c r="A481" s="53" t="s">
        <v>663</v>
      </c>
      <c r="B481" s="53">
        <v>4000</v>
      </c>
      <c r="C481" s="53"/>
      <c r="D481" s="53">
        <v>0.72500002384185702</v>
      </c>
    </row>
    <row r="482" spans="1:4">
      <c r="A482" s="53" t="s">
        <v>738</v>
      </c>
      <c r="B482" s="53">
        <v>4000</v>
      </c>
      <c r="C482" s="53"/>
      <c r="D482" s="53"/>
    </row>
    <row r="483" spans="1:4">
      <c r="A483" s="53" t="s">
        <v>712</v>
      </c>
      <c r="B483" s="53">
        <v>4000</v>
      </c>
      <c r="C483" s="53"/>
      <c r="D483" s="53">
        <v>0</v>
      </c>
    </row>
    <row r="484" spans="1:4">
      <c r="A484" s="53" t="s">
        <v>303</v>
      </c>
      <c r="B484" s="53">
        <v>6000</v>
      </c>
      <c r="C484" s="53"/>
      <c r="D484" s="53"/>
    </row>
    <row r="485" spans="1:4">
      <c r="A485" s="53" t="s">
        <v>646</v>
      </c>
      <c r="B485" s="53">
        <v>4000</v>
      </c>
      <c r="C485" s="53" t="s">
        <v>75</v>
      </c>
      <c r="D485" s="53">
        <v>3.1500000953674299</v>
      </c>
    </row>
    <row r="486" spans="1:4">
      <c r="A486" s="53" t="s">
        <v>481</v>
      </c>
      <c r="B486" s="53">
        <v>6700</v>
      </c>
      <c r="C486" s="53" t="s">
        <v>75</v>
      </c>
      <c r="D486" s="53">
        <v>17.2969231238731</v>
      </c>
    </row>
    <row r="487" spans="1:4">
      <c r="A487" s="53" t="s">
        <v>829</v>
      </c>
      <c r="B487" s="53">
        <v>4000</v>
      </c>
      <c r="C487" s="53"/>
      <c r="D487" s="53"/>
    </row>
    <row r="488" spans="1:4">
      <c r="A488" s="53" t="s">
        <v>691</v>
      </c>
      <c r="B488" s="53">
        <v>4000</v>
      </c>
      <c r="C488" s="53" t="s">
        <v>75</v>
      </c>
      <c r="D488" s="53"/>
    </row>
    <row r="489" spans="1:4">
      <c r="A489" s="53" t="s">
        <v>392</v>
      </c>
      <c r="B489" s="53">
        <v>4400</v>
      </c>
      <c r="C489" s="53" t="s">
        <v>351</v>
      </c>
      <c r="D489" s="53"/>
    </row>
    <row r="490" spans="1:4">
      <c r="A490" s="53" t="s">
        <v>441</v>
      </c>
      <c r="B490" s="53">
        <v>4000</v>
      </c>
      <c r="C490" s="53" t="s">
        <v>75</v>
      </c>
      <c r="D490" s="53">
        <v>0.68571431296212304</v>
      </c>
    </row>
    <row r="491" spans="1:4">
      <c r="A491" s="53" t="s">
        <v>535</v>
      </c>
      <c r="B491" s="53">
        <v>4200</v>
      </c>
      <c r="C491" s="53"/>
      <c r="D491" s="53"/>
    </row>
    <row r="492" spans="1:4">
      <c r="A492" s="53" t="s">
        <v>151</v>
      </c>
      <c r="B492" s="53">
        <v>4800</v>
      </c>
      <c r="C492" s="53" t="s">
        <v>351</v>
      </c>
      <c r="D492" s="53">
        <v>4.7874999046325604</v>
      </c>
    </row>
    <row r="493" spans="1:4">
      <c r="A493" s="53" t="s">
        <v>611</v>
      </c>
      <c r="B493" s="53">
        <v>4000</v>
      </c>
      <c r="C493" s="53"/>
      <c r="D493" s="53"/>
    </row>
    <row r="494" spans="1:4">
      <c r="A494" s="53" t="s">
        <v>218</v>
      </c>
      <c r="B494" s="53">
        <v>4000</v>
      </c>
      <c r="C494" s="53" t="s">
        <v>476</v>
      </c>
      <c r="D494" s="53">
        <v>10.1875</v>
      </c>
    </row>
    <row r="495" spans="1:4">
      <c r="A495" s="53" t="s">
        <v>398</v>
      </c>
      <c r="B495" s="53">
        <v>4300</v>
      </c>
      <c r="C495" s="53" t="s">
        <v>75</v>
      </c>
      <c r="D495" s="53">
        <v>0.14444443914625299</v>
      </c>
    </row>
    <row r="496" spans="1:4">
      <c r="A496" s="53" t="s">
        <v>87</v>
      </c>
      <c r="B496" s="53">
        <v>7400</v>
      </c>
      <c r="C496" s="53"/>
      <c r="D496" s="53">
        <v>12.3266662597656</v>
      </c>
    </row>
    <row r="497" spans="1:4">
      <c r="A497" s="53" t="s">
        <v>399</v>
      </c>
      <c r="B497" s="53">
        <v>4300</v>
      </c>
      <c r="C497" s="53"/>
      <c r="D497" s="53"/>
    </row>
    <row r="498" spans="1:4">
      <c r="A498" s="53" t="s">
        <v>486</v>
      </c>
      <c r="B498" s="53">
        <v>6000</v>
      </c>
      <c r="C498" s="53"/>
      <c r="D498" s="53"/>
    </row>
    <row r="499" spans="1:4">
      <c r="A499" s="53" t="s">
        <v>667</v>
      </c>
      <c r="B499" s="53">
        <v>4000</v>
      </c>
      <c r="C499" s="53"/>
      <c r="D499" s="53"/>
    </row>
    <row r="500" spans="1:4">
      <c r="A500" s="53" t="s">
        <v>388</v>
      </c>
      <c r="B500" s="53">
        <v>4400</v>
      </c>
      <c r="C500" s="53"/>
      <c r="D500" s="53">
        <v>4.9499998092651296</v>
      </c>
    </row>
    <row r="501" spans="1:4">
      <c r="A501" s="53" t="s">
        <v>872</v>
      </c>
      <c r="B501" s="53">
        <v>4000</v>
      </c>
      <c r="C501" s="53" t="s">
        <v>75</v>
      </c>
      <c r="D501" s="53">
        <v>0.27500000596046398</v>
      </c>
    </row>
    <row r="502" spans="1:4">
      <c r="A502" s="53" t="s">
        <v>248</v>
      </c>
      <c r="B502" s="53">
        <v>4300</v>
      </c>
      <c r="C502" s="53"/>
      <c r="D502" s="53">
        <v>2.32307698176457</v>
      </c>
    </row>
    <row r="503" spans="1:4">
      <c r="A503" s="53" t="s">
        <v>362</v>
      </c>
      <c r="B503" s="53">
        <v>5900</v>
      </c>
      <c r="C503" s="53"/>
      <c r="D503" s="53">
        <v>8.5416666666666607</v>
      </c>
    </row>
    <row r="504" spans="1:4">
      <c r="A504" s="53" t="s">
        <v>493</v>
      </c>
      <c r="B504" s="53">
        <v>5400</v>
      </c>
      <c r="C504" s="53"/>
      <c r="D504" s="53">
        <v>6.5611110263400603</v>
      </c>
    </row>
    <row r="505" spans="1:4">
      <c r="A505" s="53" t="s">
        <v>159</v>
      </c>
      <c r="B505" s="53">
        <v>4000</v>
      </c>
      <c r="C505" s="53"/>
      <c r="D505" s="53">
        <v>0.47777779897054001</v>
      </c>
    </row>
    <row r="506" spans="1:4">
      <c r="A506" s="53" t="s">
        <v>375</v>
      </c>
      <c r="B506" s="53">
        <v>4900</v>
      </c>
      <c r="C506" s="53"/>
      <c r="D506" s="53"/>
    </row>
    <row r="507" spans="1:4">
      <c r="A507" s="53" t="s">
        <v>55</v>
      </c>
      <c r="B507" s="53">
        <v>7500</v>
      </c>
      <c r="C507" s="53"/>
      <c r="D507" s="53">
        <v>19.342500686645501</v>
      </c>
    </row>
    <row r="508" spans="1:4">
      <c r="A508" s="53" t="s">
        <v>549</v>
      </c>
      <c r="B508" s="53">
        <v>4100</v>
      </c>
      <c r="C508" s="53"/>
      <c r="D508" s="53">
        <v>3.71666653951009</v>
      </c>
    </row>
    <row r="509" spans="1:4">
      <c r="A509" s="53" t="s">
        <v>784</v>
      </c>
      <c r="B509" s="53">
        <v>4300</v>
      </c>
      <c r="C509" s="53"/>
      <c r="D509" s="53">
        <v>1.3399999618530201</v>
      </c>
    </row>
    <row r="510" spans="1:4">
      <c r="A510" s="53" t="s">
        <v>393</v>
      </c>
      <c r="B510" s="53">
        <v>4300</v>
      </c>
      <c r="C510" s="53"/>
      <c r="D510" s="53"/>
    </row>
    <row r="511" spans="1:4">
      <c r="A511" s="53" t="s">
        <v>572</v>
      </c>
      <c r="B511" s="53">
        <v>4100</v>
      </c>
      <c r="C511" s="53"/>
      <c r="D511" s="53">
        <v>0</v>
      </c>
    </row>
    <row r="512" spans="1:4">
      <c r="A512" s="53" t="s">
        <v>650</v>
      </c>
      <c r="B512" s="53">
        <v>4000</v>
      </c>
      <c r="C512" s="53"/>
      <c r="D512" s="53">
        <v>0.69999998807907104</v>
      </c>
    </row>
    <row r="513" spans="1:4">
      <c r="A513" s="53" t="s">
        <v>347</v>
      </c>
      <c r="B513" s="53">
        <v>6000</v>
      </c>
      <c r="C513" s="53"/>
      <c r="D513" s="53">
        <v>-0.185714278902326</v>
      </c>
    </row>
    <row r="514" spans="1:4">
      <c r="A514" s="53" t="s">
        <v>106</v>
      </c>
      <c r="B514" s="53">
        <v>6300</v>
      </c>
      <c r="C514" s="53" t="s">
        <v>75</v>
      </c>
      <c r="D514" s="53">
        <v>6.5176472383386903</v>
      </c>
    </row>
    <row r="515" spans="1:4">
      <c r="A515" s="53" t="s">
        <v>341</v>
      </c>
      <c r="B515" s="53">
        <v>6000</v>
      </c>
      <c r="C515" s="53"/>
      <c r="D515" s="53">
        <v>-3.3333333830038697E-2</v>
      </c>
    </row>
    <row r="516" spans="1:4">
      <c r="A516" s="53" t="s">
        <v>184</v>
      </c>
      <c r="B516" s="53">
        <v>4700</v>
      </c>
      <c r="C516" s="53"/>
      <c r="D516" s="53">
        <v>3.86666666666666</v>
      </c>
    </row>
    <row r="517" spans="1:4">
      <c r="A517" s="53" t="s">
        <v>275</v>
      </c>
      <c r="B517" s="53">
        <v>7900</v>
      </c>
      <c r="C517" s="53"/>
      <c r="D517" s="53">
        <v>18.920000076293899</v>
      </c>
    </row>
    <row r="518" spans="1:4">
      <c r="A518" s="53" t="s">
        <v>88</v>
      </c>
      <c r="B518" s="53">
        <v>7800</v>
      </c>
      <c r="C518" s="53"/>
      <c r="D518" s="53">
        <v>18.9615384615384</v>
      </c>
    </row>
    <row r="519" spans="1:4">
      <c r="A519" s="53" t="s">
        <v>751</v>
      </c>
      <c r="B519" s="53">
        <v>4000</v>
      </c>
      <c r="C519" s="53"/>
      <c r="D519" s="53"/>
    </row>
    <row r="520" spans="1:4">
      <c r="A520" s="53" t="s">
        <v>269</v>
      </c>
      <c r="B520" s="53">
        <v>4000</v>
      </c>
      <c r="C520" s="53"/>
      <c r="D520" s="53">
        <v>6.5882352941176396</v>
      </c>
    </row>
    <row r="521" spans="1:4">
      <c r="A521" s="53" t="s">
        <v>494</v>
      </c>
      <c r="B521" s="53">
        <v>5300</v>
      </c>
      <c r="C521" s="53"/>
      <c r="D521" s="53"/>
    </row>
    <row r="522" spans="1:4">
      <c r="A522" s="53" t="s">
        <v>848</v>
      </c>
      <c r="B522" s="53">
        <v>4000</v>
      </c>
      <c r="C522" s="53"/>
      <c r="D522" s="53"/>
    </row>
    <row r="523" spans="1:4">
      <c r="A523" s="53" t="s">
        <v>561</v>
      </c>
      <c r="B523" s="53">
        <v>4100</v>
      </c>
      <c r="C523" s="53"/>
      <c r="D523" s="53">
        <v>2.0999999046325599</v>
      </c>
    </row>
    <row r="524" spans="1:4">
      <c r="A524" s="53" t="s">
        <v>26</v>
      </c>
      <c r="B524" s="53">
        <v>3300</v>
      </c>
      <c r="C524" s="53"/>
      <c r="D524" s="53">
        <v>5</v>
      </c>
    </row>
    <row r="525" spans="1:4">
      <c r="A525" s="53" t="s">
        <v>459</v>
      </c>
      <c r="B525" s="53">
        <v>4000</v>
      </c>
      <c r="C525" s="53"/>
      <c r="D525" s="53">
        <v>4.7588236191693403</v>
      </c>
    </row>
    <row r="526" spans="1:4">
      <c r="A526" s="53" t="s">
        <v>615</v>
      </c>
      <c r="B526" s="53">
        <v>4000</v>
      </c>
      <c r="C526" s="53"/>
      <c r="D526" s="53"/>
    </row>
    <row r="527" spans="1:4">
      <c r="A527" s="53" t="s">
        <v>250</v>
      </c>
      <c r="B527" s="53">
        <v>4500</v>
      </c>
      <c r="C527" s="53"/>
      <c r="D527" s="53">
        <v>1.65</v>
      </c>
    </row>
    <row r="528" spans="1:4">
      <c r="A528" s="53" t="s">
        <v>792</v>
      </c>
      <c r="B528" s="53">
        <v>4200</v>
      </c>
      <c r="C528" s="53"/>
      <c r="D528" s="53">
        <v>2.3200000762939399</v>
      </c>
    </row>
    <row r="529" spans="1:4">
      <c r="A529" s="53" t="s">
        <v>668</v>
      </c>
      <c r="B529" s="53">
        <v>4000</v>
      </c>
      <c r="C529" s="53" t="s">
        <v>75</v>
      </c>
      <c r="D529" s="53"/>
    </row>
    <row r="530" spans="1:4">
      <c r="A530" s="53" t="s">
        <v>613</v>
      </c>
      <c r="B530" s="53">
        <v>4000</v>
      </c>
      <c r="C530" s="53"/>
      <c r="D530" s="53"/>
    </row>
    <row r="531" spans="1:4">
      <c r="A531" s="53" t="s">
        <v>889</v>
      </c>
      <c r="B531" s="53">
        <v>4000</v>
      </c>
      <c r="C531" s="53"/>
      <c r="D531" s="53">
        <v>0</v>
      </c>
    </row>
    <row r="532" spans="1:4">
      <c r="A532" s="53" t="s">
        <v>699</v>
      </c>
      <c r="B532" s="53">
        <v>4000</v>
      </c>
      <c r="C532" s="53"/>
      <c r="D532" s="53">
        <v>3.3916667302449501</v>
      </c>
    </row>
    <row r="533" spans="1:4">
      <c r="A533" s="53" t="s">
        <v>745</v>
      </c>
      <c r="B533" s="53">
        <v>4000</v>
      </c>
      <c r="C533" s="53"/>
      <c r="D533" s="53"/>
    </row>
    <row r="534" spans="1:4">
      <c r="A534" s="53" t="s">
        <v>295</v>
      </c>
      <c r="B534" s="53">
        <v>6000</v>
      </c>
      <c r="C534" s="53"/>
      <c r="D534" s="53">
        <v>0.34000000357627802</v>
      </c>
    </row>
    <row r="535" spans="1:4">
      <c r="A535" s="53" t="s">
        <v>474</v>
      </c>
      <c r="B535" s="53">
        <v>4000</v>
      </c>
      <c r="C535" s="53"/>
      <c r="D535" s="53"/>
    </row>
    <row r="536" spans="1:4">
      <c r="A536" s="53" t="s">
        <v>780</v>
      </c>
      <c r="B536" s="53">
        <v>4300</v>
      </c>
      <c r="C536" s="53"/>
      <c r="D536" s="53">
        <v>2.7857142857142798</v>
      </c>
    </row>
    <row r="537" spans="1:4">
      <c r="A537" s="53" t="s">
        <v>556</v>
      </c>
      <c r="B537" s="53">
        <v>4100</v>
      </c>
      <c r="C537" s="53"/>
      <c r="D537" s="53"/>
    </row>
    <row r="538" spans="1:4">
      <c r="A538" s="53" t="s">
        <v>297</v>
      </c>
      <c r="B538" s="53">
        <v>6000</v>
      </c>
      <c r="C538" s="53"/>
      <c r="D538" s="53"/>
    </row>
    <row r="539" spans="1:4">
      <c r="A539" s="53" t="s">
        <v>871</v>
      </c>
      <c r="B539" s="53">
        <v>4000</v>
      </c>
      <c r="C539" s="53"/>
      <c r="D539" s="53"/>
    </row>
    <row r="540" spans="1:4">
      <c r="A540" s="53" t="s">
        <v>801</v>
      </c>
      <c r="B540" s="53">
        <v>4200</v>
      </c>
      <c r="C540" s="53"/>
      <c r="D540" s="53">
        <v>2.2000000000000002</v>
      </c>
    </row>
    <row r="541" spans="1:4">
      <c r="A541" s="53" t="s">
        <v>532</v>
      </c>
      <c r="B541" s="53">
        <v>4200</v>
      </c>
      <c r="C541" s="53"/>
      <c r="D541" s="53"/>
    </row>
    <row r="542" spans="1:4">
      <c r="A542" s="53" t="s">
        <v>771</v>
      </c>
      <c r="B542" s="53">
        <v>4500</v>
      </c>
      <c r="C542" s="53"/>
      <c r="D542" s="53">
        <v>1.9750000635782801</v>
      </c>
    </row>
    <row r="543" spans="1:4">
      <c r="A543" s="53" t="s">
        <v>79</v>
      </c>
      <c r="B543" s="53">
        <v>3800</v>
      </c>
      <c r="C543" s="53"/>
      <c r="D543" s="53">
        <v>8.5882352941176396</v>
      </c>
    </row>
    <row r="544" spans="1:4">
      <c r="A544" s="53" t="s">
        <v>680</v>
      </c>
      <c r="B544" s="53">
        <v>4000</v>
      </c>
      <c r="C544" s="53"/>
      <c r="D544" s="53">
        <v>1.88888888888888</v>
      </c>
    </row>
    <row r="545" spans="1:4">
      <c r="A545" s="53" t="s">
        <v>85</v>
      </c>
      <c r="B545" s="53">
        <v>6000</v>
      </c>
      <c r="C545" s="53"/>
      <c r="D545" s="53">
        <v>10.7636365023526</v>
      </c>
    </row>
    <row r="546" spans="1:4">
      <c r="A546" s="53" t="s">
        <v>238</v>
      </c>
      <c r="B546" s="53">
        <v>4100</v>
      </c>
      <c r="C546" s="53"/>
      <c r="D546" s="53">
        <v>3.78888871934678</v>
      </c>
    </row>
    <row r="547" spans="1:4">
      <c r="A547" s="53" t="s">
        <v>400</v>
      </c>
      <c r="B547" s="53">
        <v>4200</v>
      </c>
      <c r="C547" s="53"/>
      <c r="D547" s="53">
        <v>5.2333332697550397</v>
      </c>
    </row>
    <row r="548" spans="1:4">
      <c r="A548" s="53" t="s">
        <v>592</v>
      </c>
      <c r="B548" s="53">
        <v>4000</v>
      </c>
      <c r="C548" s="53" t="s">
        <v>75</v>
      </c>
      <c r="D548" s="53"/>
    </row>
    <row r="549" spans="1:4">
      <c r="A549" s="53" t="s">
        <v>484</v>
      </c>
      <c r="B549" s="53">
        <v>6300</v>
      </c>
      <c r="C549" s="53"/>
      <c r="D549" s="53"/>
    </row>
    <row r="550" spans="1:4">
      <c r="A550" s="53" t="s">
        <v>619</v>
      </c>
      <c r="B550" s="53">
        <v>4000</v>
      </c>
      <c r="C550" s="53" t="s">
        <v>75</v>
      </c>
      <c r="D550" s="53"/>
    </row>
    <row r="551" spans="1:4">
      <c r="A551" s="53" t="s">
        <v>810</v>
      </c>
      <c r="B551" s="53">
        <v>4100</v>
      </c>
      <c r="C551" s="53"/>
      <c r="D551" s="53">
        <v>1.36249995231628</v>
      </c>
    </row>
    <row r="552" spans="1:4">
      <c r="A552" s="53" t="s">
        <v>588</v>
      </c>
      <c r="B552" s="53">
        <v>4000</v>
      </c>
      <c r="C552" s="53"/>
      <c r="D552" s="53">
        <v>0</v>
      </c>
    </row>
    <row r="553" spans="1:4">
      <c r="A553" s="53" t="s">
        <v>309</v>
      </c>
      <c r="B553" s="53">
        <v>6000</v>
      </c>
      <c r="C553" s="53" t="s">
        <v>75</v>
      </c>
      <c r="D553" s="53">
        <v>4.2533334096272704</v>
      </c>
    </row>
    <row r="554" spans="1:4">
      <c r="A554" s="53" t="s">
        <v>425</v>
      </c>
      <c r="B554" s="53">
        <v>4000</v>
      </c>
      <c r="C554" s="53" t="s">
        <v>75</v>
      </c>
      <c r="D554" s="53">
        <v>4.8999998910086404</v>
      </c>
    </row>
    <row r="555" spans="1:4">
      <c r="A555" s="53" t="s">
        <v>720</v>
      </c>
      <c r="B555" s="53">
        <v>4000</v>
      </c>
      <c r="C555" s="53"/>
      <c r="D555" s="53">
        <v>2.9799999237060502</v>
      </c>
    </row>
    <row r="556" spans="1:4">
      <c r="A556" s="53" t="s">
        <v>503</v>
      </c>
      <c r="B556" s="53">
        <v>4900</v>
      </c>
      <c r="C556" s="53"/>
      <c r="D556" s="53">
        <v>3.4400001525878898</v>
      </c>
    </row>
    <row r="557" spans="1:4">
      <c r="A557" s="53" t="s">
        <v>713</v>
      </c>
      <c r="B557" s="53">
        <v>4000</v>
      </c>
      <c r="C557" s="53"/>
      <c r="D557" s="53">
        <v>1</v>
      </c>
    </row>
    <row r="558" spans="1:4">
      <c r="A558" s="53" t="s">
        <v>482</v>
      </c>
      <c r="B558" s="53">
        <v>6600</v>
      </c>
      <c r="C558" s="53"/>
      <c r="D558" s="53"/>
    </row>
    <row r="559" spans="1:4">
      <c r="A559" s="53" t="s">
        <v>521</v>
      </c>
      <c r="B559" s="53">
        <v>4300</v>
      </c>
      <c r="C559" s="53"/>
      <c r="D559" s="53">
        <v>3.73125004768371</v>
      </c>
    </row>
    <row r="560" spans="1:4">
      <c r="A560" s="53" t="s">
        <v>891</v>
      </c>
      <c r="B560" s="53">
        <v>4000</v>
      </c>
      <c r="C560" s="53"/>
      <c r="D560" s="53"/>
    </row>
    <row r="561" spans="1:4">
      <c r="A561" s="53" t="s">
        <v>688</v>
      </c>
      <c r="B561" s="53">
        <v>4000</v>
      </c>
      <c r="C561" s="53"/>
      <c r="D561" s="53">
        <v>0.220000004768371</v>
      </c>
    </row>
    <row r="562" spans="1:4">
      <c r="A562" s="53" t="s">
        <v>300</v>
      </c>
      <c r="B562" s="53">
        <v>6000</v>
      </c>
      <c r="C562" s="53"/>
      <c r="D562" s="53">
        <v>8.18857138497488</v>
      </c>
    </row>
    <row r="563" spans="1:4">
      <c r="A563" s="53" t="s">
        <v>637</v>
      </c>
      <c r="B563" s="53">
        <v>4000</v>
      </c>
      <c r="C563" s="53"/>
      <c r="D563" s="53"/>
    </row>
    <row r="564" spans="1:4">
      <c r="A564" s="53" t="s">
        <v>319</v>
      </c>
      <c r="B564" s="53">
        <v>6000</v>
      </c>
      <c r="C564" s="53"/>
      <c r="D564" s="53">
        <v>-0.30000001192092801</v>
      </c>
    </row>
    <row r="565" spans="1:4">
      <c r="A565" s="53" t="s">
        <v>710</v>
      </c>
      <c r="B565" s="53">
        <v>4000</v>
      </c>
      <c r="C565" s="53"/>
      <c r="D565" s="53"/>
    </row>
    <row r="566" spans="1:4">
      <c r="A566" s="53" t="s">
        <v>862</v>
      </c>
      <c r="B566" s="53">
        <v>4000</v>
      </c>
      <c r="C566" s="53"/>
      <c r="D566" s="53"/>
    </row>
    <row r="567" spans="1:4">
      <c r="A567" s="53" t="s">
        <v>67</v>
      </c>
      <c r="B567" s="53">
        <v>7300</v>
      </c>
      <c r="C567" s="53"/>
      <c r="D567" s="53">
        <v>16.281176398782101</v>
      </c>
    </row>
    <row r="568" spans="1:4">
      <c r="A568" s="53" t="s">
        <v>590</v>
      </c>
      <c r="B568" s="53">
        <v>4000</v>
      </c>
      <c r="C568" s="53"/>
      <c r="D568" s="53">
        <v>0.40000001589457101</v>
      </c>
    </row>
    <row r="569" spans="1:4">
      <c r="A569" s="53" t="s">
        <v>311</v>
      </c>
      <c r="B569" s="53">
        <v>6000</v>
      </c>
      <c r="C569" s="53"/>
      <c r="D569" s="53">
        <v>0</v>
      </c>
    </row>
    <row r="570" spans="1:4">
      <c r="A570" s="53" t="s">
        <v>5</v>
      </c>
      <c r="B570" s="53">
        <v>4200</v>
      </c>
      <c r="C570" s="53"/>
      <c r="D570" s="53">
        <v>8.6111111111111107</v>
      </c>
    </row>
    <row r="571" spans="1:4">
      <c r="A571" s="53" t="s">
        <v>675</v>
      </c>
      <c r="B571" s="53">
        <v>4000</v>
      </c>
      <c r="C571" s="53"/>
      <c r="D571" s="53">
        <v>1.5444444020589101</v>
      </c>
    </row>
    <row r="572" spans="1:4">
      <c r="A572" s="53" t="s">
        <v>453</v>
      </c>
      <c r="B572" s="53">
        <v>4000</v>
      </c>
      <c r="C572" s="53"/>
      <c r="D572" s="53">
        <v>0.57777775658501496</v>
      </c>
    </row>
    <row r="573" spans="1:4">
      <c r="A573" s="53" t="s">
        <v>150</v>
      </c>
      <c r="B573" s="53">
        <v>4800</v>
      </c>
      <c r="C573" s="53"/>
      <c r="D573" s="53">
        <v>3.11999994913737</v>
      </c>
    </row>
    <row r="574" spans="1:4">
      <c r="A574" s="53" t="s">
        <v>849</v>
      </c>
      <c r="B574" s="53">
        <v>4000</v>
      </c>
      <c r="C574" s="53"/>
      <c r="D574" s="53"/>
    </row>
    <row r="575" spans="1:4">
      <c r="A575" s="53" t="s">
        <v>189</v>
      </c>
      <c r="B575" s="53">
        <v>4900</v>
      </c>
      <c r="C575" s="53"/>
      <c r="D575" s="53">
        <v>4.8250001271565699</v>
      </c>
    </row>
    <row r="576" spans="1:4">
      <c r="A576" s="53" t="s">
        <v>312</v>
      </c>
      <c r="B576" s="53">
        <v>6000</v>
      </c>
      <c r="C576" s="53"/>
      <c r="D576" s="53"/>
    </row>
    <row r="577" spans="1:4">
      <c r="A577" s="53" t="s">
        <v>44</v>
      </c>
      <c r="B577" s="53">
        <v>6500</v>
      </c>
      <c r="C577" s="53"/>
      <c r="D577" s="53">
        <v>12.231249809265099</v>
      </c>
    </row>
    <row r="578" spans="1:4">
      <c r="A578" s="53" t="s">
        <v>416</v>
      </c>
      <c r="B578" s="53">
        <v>4000</v>
      </c>
      <c r="C578" s="53"/>
      <c r="D578" s="53"/>
    </row>
    <row r="579" spans="1:4">
      <c r="A579" s="53" t="s">
        <v>228</v>
      </c>
      <c r="B579" s="53">
        <v>4500</v>
      </c>
      <c r="C579" s="53"/>
      <c r="D579" s="53">
        <v>6.8214285714285703</v>
      </c>
    </row>
    <row r="580" spans="1:4">
      <c r="A580" s="53" t="s">
        <v>747</v>
      </c>
      <c r="B580" s="53">
        <v>4000</v>
      </c>
      <c r="C580" s="53"/>
      <c r="D580" s="53">
        <v>1.0833333333333299</v>
      </c>
    </row>
    <row r="581" spans="1:4">
      <c r="A581" s="53" t="s">
        <v>170</v>
      </c>
      <c r="B581" s="53">
        <v>4000</v>
      </c>
      <c r="C581" s="53"/>
      <c r="D581" s="53">
        <v>1.2250000238418499</v>
      </c>
    </row>
    <row r="582" spans="1:4">
      <c r="A582" s="53" t="s">
        <v>97</v>
      </c>
      <c r="B582" s="53">
        <v>7900</v>
      </c>
      <c r="C582" s="53"/>
      <c r="D582" s="53">
        <v>14.421052631578901</v>
      </c>
    </row>
    <row r="583" spans="1:4">
      <c r="A583" s="53" t="s">
        <v>182</v>
      </c>
      <c r="B583" s="53">
        <v>4900</v>
      </c>
      <c r="C583" s="53"/>
      <c r="D583" s="53">
        <v>3.3933334350585902</v>
      </c>
    </row>
    <row r="584" spans="1:4">
      <c r="A584" s="53" t="s">
        <v>750</v>
      </c>
      <c r="B584" s="53">
        <v>4000</v>
      </c>
      <c r="C584" s="53"/>
      <c r="D584" s="53"/>
    </row>
    <row r="585" spans="1:4">
      <c r="A585" s="53" t="s">
        <v>601</v>
      </c>
      <c r="B585" s="53">
        <v>4000</v>
      </c>
      <c r="C585" s="53"/>
      <c r="D585" s="53">
        <v>2.5</v>
      </c>
    </row>
    <row r="586" spans="1:4">
      <c r="A586" s="53" t="s">
        <v>338</v>
      </c>
      <c r="B586" s="53">
        <v>6000</v>
      </c>
      <c r="C586" s="53"/>
      <c r="D586" s="53">
        <v>0.43714284896850503</v>
      </c>
    </row>
    <row r="587" spans="1:4">
      <c r="A587" s="53" t="s">
        <v>694</v>
      </c>
      <c r="B587" s="53">
        <v>4000</v>
      </c>
      <c r="C587" s="53"/>
      <c r="D587" s="53">
        <v>0.64000000953674296</v>
      </c>
    </row>
    <row r="588" spans="1:4">
      <c r="A588" s="53" t="s">
        <v>129</v>
      </c>
      <c r="B588" s="53">
        <v>5300</v>
      </c>
      <c r="C588" s="53" t="s">
        <v>75</v>
      </c>
      <c r="D588" s="53">
        <v>4.6312499046325604</v>
      </c>
    </row>
    <row r="589" spans="1:4">
      <c r="A589" s="53" t="s">
        <v>898</v>
      </c>
      <c r="B589" s="53">
        <v>4000</v>
      </c>
      <c r="C589" s="53"/>
      <c r="D589" s="53">
        <v>0</v>
      </c>
    </row>
    <row r="590" spans="1:4">
      <c r="A590" s="53" t="s">
        <v>16</v>
      </c>
      <c r="B590" s="53">
        <v>5000</v>
      </c>
      <c r="C590" s="53"/>
      <c r="D590" s="53">
        <v>7.3529411764705799</v>
      </c>
    </row>
    <row r="591" spans="1:4">
      <c r="A591" s="53" t="s">
        <v>857</v>
      </c>
      <c r="B591" s="53">
        <v>4000</v>
      </c>
      <c r="C591" s="53"/>
      <c r="D591" s="53">
        <v>0</v>
      </c>
    </row>
    <row r="592" spans="1:4">
      <c r="A592" s="53" t="s">
        <v>748</v>
      </c>
      <c r="B592" s="53">
        <v>4000</v>
      </c>
      <c r="C592" s="53"/>
      <c r="D592" s="53">
        <v>0</v>
      </c>
    </row>
    <row r="593" spans="1:4">
      <c r="A593" s="53" t="s">
        <v>343</v>
      </c>
      <c r="B593" s="53">
        <v>6000</v>
      </c>
      <c r="C593" s="53" t="s">
        <v>75</v>
      </c>
      <c r="D593" s="53">
        <v>7.6685714721679599</v>
      </c>
    </row>
    <row r="594" spans="1:4">
      <c r="A594" s="53" t="s">
        <v>776</v>
      </c>
      <c r="B594" s="53">
        <v>4400</v>
      </c>
      <c r="C594" s="53"/>
      <c r="D594" s="53">
        <v>0.91818185286088405</v>
      </c>
    </row>
    <row r="595" spans="1:4">
      <c r="A595" s="53" t="s">
        <v>186</v>
      </c>
      <c r="B595" s="53">
        <v>4600</v>
      </c>
      <c r="C595" s="53"/>
      <c r="D595" s="53">
        <v>3.0428570338657899</v>
      </c>
    </row>
    <row r="596" spans="1:4">
      <c r="A596" s="53" t="s">
        <v>797</v>
      </c>
      <c r="B596" s="53">
        <v>4200</v>
      </c>
      <c r="C596" s="53"/>
      <c r="D596" s="53">
        <v>2.15</v>
      </c>
    </row>
    <row r="597" spans="1:4">
      <c r="A597" s="53" t="s">
        <v>404</v>
      </c>
      <c r="B597" s="53">
        <v>4200</v>
      </c>
      <c r="C597" s="53"/>
      <c r="D597" s="53">
        <v>0</v>
      </c>
    </row>
    <row r="598" spans="1:4">
      <c r="A598" s="53" t="s">
        <v>355</v>
      </c>
      <c r="B598" s="53">
        <v>6700</v>
      </c>
      <c r="C598" s="53"/>
      <c r="D598" s="53">
        <v>10.3999998304578</v>
      </c>
    </row>
    <row r="599" spans="1:4">
      <c r="A599" s="53" t="s">
        <v>819</v>
      </c>
      <c r="B599" s="53">
        <v>4100</v>
      </c>
      <c r="C599" s="53"/>
      <c r="D599" s="53">
        <v>0.83999996185302706</v>
      </c>
    </row>
    <row r="600" spans="1:4">
      <c r="A600" s="53" t="s">
        <v>323</v>
      </c>
      <c r="B600" s="53">
        <v>6000</v>
      </c>
      <c r="C600" s="53"/>
      <c r="D600" s="53">
        <v>-0.20000000298023199</v>
      </c>
    </row>
    <row r="601" spans="1:4">
      <c r="A601" s="53" t="s">
        <v>289</v>
      </c>
      <c r="B601" s="53">
        <v>6000</v>
      </c>
      <c r="C601" s="53"/>
      <c r="D601" s="53">
        <v>-0.10000000149011599</v>
      </c>
    </row>
    <row r="602" spans="1:4">
      <c r="A602" s="53" t="s">
        <v>302</v>
      </c>
      <c r="B602" s="53">
        <v>6000</v>
      </c>
      <c r="C602" s="53"/>
      <c r="D602" s="53"/>
    </row>
    <row r="603" spans="1:4">
      <c r="A603" s="53" t="s">
        <v>428</v>
      </c>
      <c r="B603" s="53">
        <v>4000</v>
      </c>
      <c r="C603" s="53"/>
      <c r="D603" s="53"/>
    </row>
    <row r="604" spans="1:4">
      <c r="A604" s="53" t="s">
        <v>8</v>
      </c>
      <c r="B604" s="53">
        <v>3100</v>
      </c>
      <c r="C604" s="53"/>
      <c r="D604" s="53">
        <v>6.4705882352941098</v>
      </c>
    </row>
    <row r="605" spans="1:4">
      <c r="A605" s="53" t="s">
        <v>356</v>
      </c>
      <c r="B605" s="53">
        <v>6600</v>
      </c>
      <c r="C605" s="53" t="s">
        <v>476</v>
      </c>
      <c r="D605" s="53">
        <v>10.550000190734799</v>
      </c>
    </row>
    <row r="606" spans="1:4">
      <c r="A606" s="53" t="s">
        <v>308</v>
      </c>
      <c r="B606" s="53">
        <v>6000</v>
      </c>
      <c r="C606" s="53"/>
      <c r="D606" s="53">
        <v>14.947999572753901</v>
      </c>
    </row>
    <row r="607" spans="1:4">
      <c r="A607" s="53" t="s">
        <v>902</v>
      </c>
      <c r="B607" s="53">
        <v>4000</v>
      </c>
      <c r="C607" s="53"/>
      <c r="D607" s="53">
        <v>0.90000001589457101</v>
      </c>
    </row>
    <row r="608" spans="1:4">
      <c r="A608" s="53" t="s">
        <v>807</v>
      </c>
      <c r="B608" s="53">
        <v>4200</v>
      </c>
      <c r="C608" s="53"/>
      <c r="D608" s="53">
        <v>0.40000000596046398</v>
      </c>
    </row>
    <row r="609" spans="1:4">
      <c r="A609" s="53" t="s">
        <v>510</v>
      </c>
      <c r="B609" s="53">
        <v>4700</v>
      </c>
      <c r="C609" s="53"/>
      <c r="D609" s="53">
        <v>5.4615384615384599</v>
      </c>
    </row>
    <row r="610" spans="1:4">
      <c r="A610" s="53" t="s">
        <v>13</v>
      </c>
      <c r="B610" s="53">
        <v>7100</v>
      </c>
      <c r="C610" s="53"/>
      <c r="D610" s="53">
        <v>13.816666497124499</v>
      </c>
    </row>
    <row r="611" spans="1:4">
      <c r="A611" s="53" t="s">
        <v>828</v>
      </c>
      <c r="B611" s="53">
        <v>4000</v>
      </c>
      <c r="C611" s="53"/>
      <c r="D611" s="53">
        <v>0</v>
      </c>
    </row>
    <row r="612" spans="1:4">
      <c r="A612" s="53" t="s">
        <v>258</v>
      </c>
      <c r="B612" s="53">
        <v>4000</v>
      </c>
      <c r="C612" s="53"/>
      <c r="D612" s="53">
        <v>0</v>
      </c>
    </row>
    <row r="613" spans="1:4">
      <c r="A613" s="53" t="s">
        <v>7</v>
      </c>
      <c r="B613" s="53">
        <v>4700</v>
      </c>
      <c r="C613" s="53"/>
      <c r="D613" s="53">
        <v>8.4117647058823497</v>
      </c>
    </row>
    <row r="614" spans="1:4">
      <c r="A614" s="53" t="s">
        <v>530</v>
      </c>
      <c r="B614" s="53">
        <v>4200</v>
      </c>
      <c r="C614" s="53"/>
      <c r="D614" s="53">
        <v>7.7363634976473703</v>
      </c>
    </row>
    <row r="615" spans="1:4">
      <c r="A615" s="53" t="s">
        <v>445</v>
      </c>
      <c r="B615" s="53">
        <v>4000</v>
      </c>
      <c r="C615" s="53"/>
      <c r="D615" s="53"/>
    </row>
    <row r="616" spans="1:4">
      <c r="A616" s="53" t="s">
        <v>113</v>
      </c>
      <c r="B616" s="53">
        <v>5000</v>
      </c>
      <c r="C616" s="53" t="s">
        <v>75</v>
      </c>
      <c r="D616" s="53">
        <v>4.1000001089913498</v>
      </c>
    </row>
    <row r="617" spans="1:4">
      <c r="A617" s="53" t="s">
        <v>575</v>
      </c>
      <c r="B617" s="53">
        <v>4100</v>
      </c>
      <c r="C617" s="53" t="s">
        <v>351</v>
      </c>
      <c r="D617" s="53">
        <v>2.4000000953674299</v>
      </c>
    </row>
    <row r="618" spans="1:4">
      <c r="A618" s="53" t="s">
        <v>270</v>
      </c>
      <c r="B618" s="53">
        <v>3800</v>
      </c>
      <c r="C618" s="53"/>
      <c r="D618" s="53">
        <v>7.7058823529411704</v>
      </c>
    </row>
    <row r="619" spans="1:4">
      <c r="A619" s="53" t="s">
        <v>380</v>
      </c>
      <c r="B619" s="53">
        <v>4700</v>
      </c>
      <c r="C619" s="53" t="s">
        <v>351</v>
      </c>
      <c r="D619" s="53">
        <v>3.80555555555555</v>
      </c>
    </row>
    <row r="620" spans="1:4">
      <c r="A620" s="53" t="s">
        <v>500</v>
      </c>
      <c r="B620" s="53">
        <v>4900</v>
      </c>
      <c r="C620" s="53" t="s">
        <v>476</v>
      </c>
      <c r="D620" s="53">
        <v>5.9625000953674299</v>
      </c>
    </row>
    <row r="621" spans="1:4">
      <c r="A621" s="53" t="s">
        <v>701</v>
      </c>
      <c r="B621" s="53">
        <v>4000</v>
      </c>
      <c r="C621" s="53"/>
      <c r="D621" s="53"/>
    </row>
    <row r="622" spans="1:4">
      <c r="A622" s="53" t="s">
        <v>260</v>
      </c>
      <c r="B622" s="53">
        <v>4400</v>
      </c>
      <c r="C622" s="53"/>
      <c r="D622" s="53">
        <v>2.86666679382324</v>
      </c>
    </row>
    <row r="623" spans="1:4">
      <c r="A623" s="53" t="s">
        <v>867</v>
      </c>
      <c r="B623" s="53">
        <v>4000</v>
      </c>
      <c r="C623" s="53"/>
      <c r="D623" s="53">
        <v>1.4888888465033601</v>
      </c>
    </row>
    <row r="624" spans="1:4">
      <c r="A624" s="53" t="s">
        <v>517</v>
      </c>
      <c r="B624" s="53">
        <v>4400</v>
      </c>
      <c r="C624" s="53"/>
      <c r="D624" s="53">
        <v>3.9000000953674299</v>
      </c>
    </row>
    <row r="625" spans="1:4">
      <c r="A625" s="53" t="s">
        <v>762</v>
      </c>
      <c r="B625" s="53">
        <v>5300</v>
      </c>
      <c r="C625" s="53"/>
      <c r="D625" s="53">
        <v>5.9083334604899003</v>
      </c>
    </row>
    <row r="626" spans="1:4">
      <c r="A626" s="53" t="s">
        <v>876</v>
      </c>
      <c r="B626" s="53">
        <v>4000</v>
      </c>
      <c r="C626" s="53" t="s">
        <v>351</v>
      </c>
      <c r="D626" s="53"/>
    </row>
    <row r="627" spans="1:4">
      <c r="A627" s="53" t="s">
        <v>847</v>
      </c>
      <c r="B627" s="53">
        <v>4000</v>
      </c>
      <c r="C627" s="53" t="s">
        <v>351</v>
      </c>
      <c r="D627" s="53">
        <v>0</v>
      </c>
    </row>
    <row r="628" spans="1:4">
      <c r="A628" s="53" t="s">
        <v>799</v>
      </c>
      <c r="B628" s="53">
        <v>4200</v>
      </c>
      <c r="C628" s="53"/>
      <c r="D628" s="53">
        <v>1.1777778201633</v>
      </c>
    </row>
    <row r="629" spans="1:4">
      <c r="A629" s="53" t="s">
        <v>698</v>
      </c>
      <c r="B629" s="53">
        <v>4000</v>
      </c>
      <c r="C629" s="53"/>
      <c r="D629" s="53"/>
    </row>
    <row r="630" spans="1:4">
      <c r="A630" s="53" t="s">
        <v>783</v>
      </c>
      <c r="B630" s="53">
        <v>4300</v>
      </c>
      <c r="C630" s="53" t="s">
        <v>75</v>
      </c>
      <c r="D630" s="53">
        <v>2.84545447609641</v>
      </c>
    </row>
    <row r="631" spans="1:4">
      <c r="A631" s="53" t="s">
        <v>687</v>
      </c>
      <c r="B631" s="53">
        <v>4000</v>
      </c>
      <c r="C631" s="53"/>
      <c r="D631" s="53">
        <v>0</v>
      </c>
    </row>
    <row r="632" spans="1:4">
      <c r="A632" s="53" t="s">
        <v>147</v>
      </c>
      <c r="B632" s="53">
        <v>4300</v>
      </c>
      <c r="C632" s="53"/>
      <c r="D632" s="53">
        <v>2.8785713740757499</v>
      </c>
    </row>
    <row r="633" spans="1:4">
      <c r="A633" s="53" t="s">
        <v>268</v>
      </c>
      <c r="B633" s="53">
        <v>4300</v>
      </c>
      <c r="C633" s="53"/>
      <c r="D633" s="53">
        <v>8.1111111111111107</v>
      </c>
    </row>
    <row r="634" spans="1:4">
      <c r="A634" s="53" t="s">
        <v>316</v>
      </c>
      <c r="B634" s="53">
        <v>6000</v>
      </c>
      <c r="C634" s="53"/>
      <c r="D634" s="53">
        <v>4.1599998474120996</v>
      </c>
    </row>
    <row r="635" spans="1:4">
      <c r="A635" s="53" t="s">
        <v>608</v>
      </c>
      <c r="B635" s="53">
        <v>4000</v>
      </c>
      <c r="C635" s="53"/>
      <c r="D635" s="53"/>
    </row>
    <row r="636" spans="1:4">
      <c r="A636" s="53" t="s">
        <v>877</v>
      </c>
      <c r="B636" s="53">
        <v>4000</v>
      </c>
      <c r="C636" s="53"/>
      <c r="D636" s="53"/>
    </row>
    <row r="637" spans="1:4">
      <c r="A637" s="53" t="s">
        <v>35</v>
      </c>
      <c r="B637" s="53">
        <v>8400</v>
      </c>
      <c r="C637" s="53"/>
      <c r="D637" s="53">
        <v>15.2444441053602</v>
      </c>
    </row>
    <row r="638" spans="1:4">
      <c r="A638" s="53" t="s">
        <v>504</v>
      </c>
      <c r="B638" s="53">
        <v>4900</v>
      </c>
      <c r="C638" s="53"/>
      <c r="D638" s="53">
        <v>4.4117647058823497</v>
      </c>
    </row>
    <row r="639" spans="1:4">
      <c r="A639" s="53" t="s">
        <v>244</v>
      </c>
      <c r="B639" s="53">
        <v>4100</v>
      </c>
      <c r="C639" s="53"/>
      <c r="D639" s="53">
        <v>5.06666660308837</v>
      </c>
    </row>
    <row r="640" spans="1:4">
      <c r="A640" s="53" t="s">
        <v>612</v>
      </c>
      <c r="B640" s="53">
        <v>4000</v>
      </c>
      <c r="C640" s="53"/>
      <c r="D640" s="53">
        <v>2.5</v>
      </c>
    </row>
    <row r="641" spans="1:4">
      <c r="A641" s="53" t="s">
        <v>779</v>
      </c>
      <c r="B641" s="53">
        <v>4300</v>
      </c>
      <c r="C641" s="53"/>
      <c r="D641" s="53">
        <v>3.2000001271565699</v>
      </c>
    </row>
    <row r="642" spans="1:4">
      <c r="A642" s="53" t="s">
        <v>733</v>
      </c>
      <c r="B642" s="53">
        <v>4000</v>
      </c>
      <c r="C642" s="53"/>
      <c r="D642" s="53">
        <v>1.3500000238418499</v>
      </c>
    </row>
    <row r="643" spans="1:4">
      <c r="A643" s="53" t="s">
        <v>125</v>
      </c>
      <c r="B643" s="53">
        <v>7700</v>
      </c>
      <c r="C643" s="53"/>
      <c r="D643" s="53">
        <v>13.736842105263101</v>
      </c>
    </row>
    <row r="644" spans="1:4">
      <c r="A644" s="53" t="s">
        <v>383</v>
      </c>
      <c r="B644" s="53">
        <v>4500</v>
      </c>
      <c r="C644" s="53"/>
      <c r="D644" s="53">
        <v>1.56666670905219</v>
      </c>
    </row>
    <row r="645" spans="1:4">
      <c r="A645" s="53" t="s">
        <v>4</v>
      </c>
      <c r="B645" s="53">
        <v>6600</v>
      </c>
      <c r="C645" s="53"/>
      <c r="D645" s="53">
        <v>16.1687507629394</v>
      </c>
    </row>
    <row r="646" spans="1:4">
      <c r="A646" s="53" t="s">
        <v>563</v>
      </c>
      <c r="B646" s="53">
        <v>4100</v>
      </c>
      <c r="C646" s="53" t="s">
        <v>351</v>
      </c>
      <c r="D646" s="53">
        <v>1</v>
      </c>
    </row>
    <row r="647" spans="1:4">
      <c r="A647" s="53" t="s">
        <v>586</v>
      </c>
      <c r="B647" s="53">
        <v>4100</v>
      </c>
      <c r="C647" s="53"/>
      <c r="D647" s="53"/>
    </row>
    <row r="648" spans="1:4">
      <c r="A648" s="53" t="s">
        <v>628</v>
      </c>
      <c r="B648" s="53">
        <v>4000</v>
      </c>
      <c r="C648" s="53"/>
      <c r="D648" s="53"/>
    </row>
    <row r="649" spans="1:4">
      <c r="A649" s="53" t="s">
        <v>446</v>
      </c>
      <c r="B649" s="53">
        <v>4000</v>
      </c>
      <c r="C649" s="53"/>
      <c r="D649" s="53"/>
    </row>
    <row r="650" spans="1:4">
      <c r="A650" s="53" t="s">
        <v>226</v>
      </c>
      <c r="B650" s="53">
        <v>5200</v>
      </c>
      <c r="C650" s="53"/>
      <c r="D650" s="53">
        <v>8.8400004069010407</v>
      </c>
    </row>
    <row r="651" spans="1:4">
      <c r="A651" s="53" t="s">
        <v>374</v>
      </c>
      <c r="B651" s="53">
        <v>4900</v>
      </c>
      <c r="C651" s="53"/>
      <c r="D651" s="53"/>
    </row>
    <row r="652" spans="1:4">
      <c r="A652" s="53" t="s">
        <v>259</v>
      </c>
      <c r="B652" s="53">
        <v>4300</v>
      </c>
      <c r="C652" s="53"/>
      <c r="D652" s="53">
        <v>1.7400000254313099</v>
      </c>
    </row>
    <row r="653" spans="1:4">
      <c r="A653" s="53" t="s">
        <v>390</v>
      </c>
      <c r="B653" s="53">
        <v>4400</v>
      </c>
      <c r="C653" s="53"/>
      <c r="D653" s="53">
        <v>0.26666667064030902</v>
      </c>
    </row>
    <row r="654" spans="1:4">
      <c r="A654" s="53" t="s">
        <v>126</v>
      </c>
      <c r="B654" s="53">
        <v>6200</v>
      </c>
      <c r="C654" s="53"/>
      <c r="D654" s="53">
        <v>10.5583330790201</v>
      </c>
    </row>
    <row r="655" spans="1:4">
      <c r="A655" s="53" t="s">
        <v>464</v>
      </c>
      <c r="B655" s="53">
        <v>4000</v>
      </c>
      <c r="C655" s="53" t="s">
        <v>75</v>
      </c>
      <c r="D655" s="53"/>
    </row>
    <row r="656" spans="1:4">
      <c r="A656" s="53" t="s">
        <v>368</v>
      </c>
      <c r="B656" s="53">
        <v>5200</v>
      </c>
      <c r="C656" s="53"/>
      <c r="D656" s="53">
        <v>5.2058823529411704</v>
      </c>
    </row>
    <row r="657" spans="1:4">
      <c r="A657" s="53" t="s">
        <v>673</v>
      </c>
      <c r="B657" s="53">
        <v>4000</v>
      </c>
      <c r="C657" s="53" t="s">
        <v>351</v>
      </c>
      <c r="D657" s="53">
        <v>3.8428570883614599</v>
      </c>
    </row>
    <row r="658" spans="1:4">
      <c r="A658" s="53" t="s">
        <v>473</v>
      </c>
      <c r="B658" s="53">
        <v>4000</v>
      </c>
      <c r="C658" s="53" t="s">
        <v>476</v>
      </c>
      <c r="D658" s="53"/>
    </row>
    <row r="659" spans="1:4">
      <c r="A659" s="53" t="s">
        <v>194</v>
      </c>
      <c r="B659" s="53">
        <v>4100</v>
      </c>
      <c r="C659" s="53"/>
      <c r="D659" s="53">
        <v>1.3916667302449499</v>
      </c>
    </row>
    <row r="660" spans="1:4">
      <c r="A660" s="53" t="s">
        <v>225</v>
      </c>
      <c r="B660" s="53">
        <v>4500</v>
      </c>
      <c r="C660" s="53"/>
      <c r="D660" s="53">
        <v>4.5</v>
      </c>
    </row>
    <row r="661" spans="1:4">
      <c r="A661" s="53" t="s">
        <v>313</v>
      </c>
      <c r="B661" s="53">
        <v>6000</v>
      </c>
      <c r="C661" s="53"/>
      <c r="D661" s="53"/>
    </row>
    <row r="662" spans="1:4">
      <c r="A662" s="53" t="s">
        <v>834</v>
      </c>
      <c r="B662" s="53">
        <v>4000</v>
      </c>
      <c r="C662" s="53"/>
      <c r="D662" s="53">
        <v>0</v>
      </c>
    </row>
    <row r="663" spans="1:4">
      <c r="A663" s="53" t="s">
        <v>497</v>
      </c>
      <c r="B663" s="53">
        <v>5000</v>
      </c>
      <c r="C663" s="53" t="s">
        <v>75</v>
      </c>
      <c r="D663" s="53"/>
    </row>
    <row r="664" spans="1:4">
      <c r="A664" s="53" t="s">
        <v>488</v>
      </c>
      <c r="B664" s="53">
        <v>5800</v>
      </c>
      <c r="C664" s="53"/>
      <c r="D664" s="53"/>
    </row>
    <row r="665" spans="1:4">
      <c r="A665" s="53" t="s">
        <v>241</v>
      </c>
      <c r="B665" s="53">
        <v>4000</v>
      </c>
      <c r="C665" s="53" t="s">
        <v>351</v>
      </c>
      <c r="D665" s="53">
        <v>5</v>
      </c>
    </row>
    <row r="666" spans="1:4">
      <c r="A666" s="53" t="s">
        <v>154</v>
      </c>
      <c r="B666" s="53">
        <v>4100</v>
      </c>
      <c r="C666" s="53"/>
      <c r="D666" s="53">
        <v>2.6111111111111098</v>
      </c>
    </row>
    <row r="667" spans="1:4">
      <c r="A667" s="53" t="s">
        <v>131</v>
      </c>
      <c r="B667" s="53">
        <v>5000</v>
      </c>
      <c r="C667" s="53" t="s">
        <v>75</v>
      </c>
      <c r="D667" s="53">
        <v>5.67333323160807</v>
      </c>
    </row>
    <row r="668" spans="1:4">
      <c r="A668" s="53" t="s">
        <v>798</v>
      </c>
      <c r="B668" s="53">
        <v>4200</v>
      </c>
      <c r="C668" s="53"/>
      <c r="D668" s="53">
        <v>0.42500001192092801</v>
      </c>
    </row>
    <row r="669" spans="1:4">
      <c r="A669" s="53" t="s">
        <v>384</v>
      </c>
      <c r="B669" s="53">
        <v>4500</v>
      </c>
      <c r="C669" s="53"/>
      <c r="D669" s="53">
        <v>5.0777778625488201</v>
      </c>
    </row>
    <row r="670" spans="1:4">
      <c r="A670" s="53" t="s">
        <v>281</v>
      </c>
      <c r="B670" s="53">
        <v>6900</v>
      </c>
      <c r="C670" s="53"/>
      <c r="D670" s="53">
        <v>17.659999593098899</v>
      </c>
    </row>
    <row r="671" spans="1:4">
      <c r="A671" s="53" t="s">
        <v>630</v>
      </c>
      <c r="B671" s="53">
        <v>4000</v>
      </c>
      <c r="C671" s="53"/>
      <c r="D671" s="53"/>
    </row>
    <row r="672" spans="1:4">
      <c r="A672" s="53" t="s">
        <v>869</v>
      </c>
      <c r="B672" s="53">
        <v>4000</v>
      </c>
      <c r="C672" s="53"/>
      <c r="D672" s="53"/>
    </row>
    <row r="673" spans="1:4">
      <c r="A673" s="53" t="s">
        <v>331</v>
      </c>
      <c r="B673" s="53">
        <v>6000</v>
      </c>
      <c r="C673" s="53"/>
      <c r="D673" s="53">
        <v>7.9127273559570304</v>
      </c>
    </row>
    <row r="674" spans="1:4">
      <c r="A674" s="53" t="s">
        <v>887</v>
      </c>
      <c r="B674" s="53">
        <v>4000</v>
      </c>
      <c r="C674" s="53"/>
      <c r="D674" s="53"/>
    </row>
    <row r="675" spans="1:4">
      <c r="A675" s="53" t="s">
        <v>163</v>
      </c>
      <c r="B675" s="53">
        <v>4000</v>
      </c>
      <c r="C675" s="53" t="s">
        <v>75</v>
      </c>
      <c r="D675" s="53">
        <v>4.9857145036969799</v>
      </c>
    </row>
    <row r="676" spans="1:4">
      <c r="A676" s="53" t="s">
        <v>283</v>
      </c>
      <c r="B676" s="53">
        <v>6700</v>
      </c>
      <c r="C676" s="53"/>
      <c r="D676" s="53">
        <v>2.21636356006969</v>
      </c>
    </row>
    <row r="677" spans="1:4">
      <c r="A677" s="53" t="s">
        <v>298</v>
      </c>
      <c r="B677" s="53">
        <v>6000</v>
      </c>
      <c r="C677" s="53"/>
      <c r="D677" s="53">
        <v>0</v>
      </c>
    </row>
    <row r="678" spans="1:4">
      <c r="A678" s="53" t="s">
        <v>335</v>
      </c>
      <c r="B678" s="53">
        <v>6000</v>
      </c>
      <c r="C678" s="53"/>
      <c r="D678" s="53"/>
    </row>
    <row r="679" spans="1:4">
      <c r="A679" s="53" t="s">
        <v>72</v>
      </c>
      <c r="B679" s="53">
        <v>6200</v>
      </c>
      <c r="C679" s="53"/>
      <c r="D679" s="53">
        <v>16.355294620289499</v>
      </c>
    </row>
    <row r="680" spans="1:4">
      <c r="A680" s="53" t="s">
        <v>38</v>
      </c>
      <c r="B680" s="53">
        <v>8000</v>
      </c>
      <c r="C680" s="53"/>
      <c r="D680" s="53">
        <v>11.5199996948242</v>
      </c>
    </row>
    <row r="681" spans="1:4">
      <c r="A681" s="53" t="s">
        <v>685</v>
      </c>
      <c r="B681" s="53">
        <v>4000</v>
      </c>
      <c r="C681" s="53"/>
      <c r="D681" s="53"/>
    </row>
    <row r="682" spans="1:4">
      <c r="A682" s="53" t="s">
        <v>662</v>
      </c>
      <c r="B682" s="53">
        <v>4000</v>
      </c>
      <c r="C682" s="53"/>
      <c r="D682" s="53"/>
    </row>
    <row r="683" spans="1:4">
      <c r="A683" s="53" t="s">
        <v>565</v>
      </c>
      <c r="B683" s="53">
        <v>4100</v>
      </c>
      <c r="C683" s="53"/>
      <c r="D683" s="53"/>
    </row>
    <row r="684" spans="1:4">
      <c r="A684" s="53" t="s">
        <v>827</v>
      </c>
      <c r="B684" s="53">
        <v>4000</v>
      </c>
      <c r="C684" s="53"/>
      <c r="D684" s="53"/>
    </row>
    <row r="685" spans="1:4">
      <c r="A685" s="53" t="s">
        <v>574</v>
      </c>
      <c r="B685" s="53">
        <v>4100</v>
      </c>
      <c r="C685" s="53"/>
      <c r="D685" s="53"/>
    </row>
    <row r="686" spans="1:4">
      <c r="A686" s="53" t="s">
        <v>742</v>
      </c>
      <c r="B686" s="53">
        <v>4000</v>
      </c>
      <c r="C686" s="53"/>
      <c r="D686" s="53">
        <v>2.7999998728434199</v>
      </c>
    </row>
    <row r="687" spans="1:4">
      <c r="A687" s="53" t="s">
        <v>66</v>
      </c>
      <c r="B687" s="53">
        <v>4400</v>
      </c>
      <c r="C687" s="53"/>
      <c r="D687" s="53">
        <v>6.4117647058823497</v>
      </c>
    </row>
    <row r="688" spans="1:4">
      <c r="A688" s="53" t="s">
        <v>866</v>
      </c>
      <c r="B688" s="53">
        <v>4000</v>
      </c>
      <c r="C688" s="53"/>
      <c r="D688" s="53">
        <v>0</v>
      </c>
    </row>
    <row r="689" spans="1:4">
      <c r="A689" s="53" t="s">
        <v>145</v>
      </c>
      <c r="B689" s="53">
        <v>4300</v>
      </c>
      <c r="C689" s="53"/>
      <c r="D689" s="53">
        <v>0.83999996185302706</v>
      </c>
    </row>
    <row r="690" spans="1:4">
      <c r="A690" s="53" t="s">
        <v>579</v>
      </c>
      <c r="B690" s="53">
        <v>4100</v>
      </c>
      <c r="C690" s="53"/>
      <c r="D690" s="53"/>
    </row>
    <row r="691" spans="1:4">
      <c r="A691" s="53" t="s">
        <v>294</v>
      </c>
      <c r="B691" s="53">
        <v>6000</v>
      </c>
      <c r="C691" s="53" t="s">
        <v>351</v>
      </c>
      <c r="D691" s="53"/>
    </row>
    <row r="692" spans="1:4">
      <c r="A692" s="53" t="s">
        <v>793</v>
      </c>
      <c r="B692" s="53">
        <v>4200</v>
      </c>
      <c r="C692" s="53"/>
      <c r="D692" s="53">
        <v>4.4375</v>
      </c>
    </row>
    <row r="693" spans="1:4">
      <c r="A693" s="53" t="s">
        <v>897</v>
      </c>
      <c r="B693" s="53">
        <v>4000</v>
      </c>
      <c r="C693" s="53"/>
      <c r="D693" s="53"/>
    </row>
    <row r="694" spans="1:4">
      <c r="A694" s="53" t="s">
        <v>722</v>
      </c>
      <c r="B694" s="53">
        <v>4000</v>
      </c>
      <c r="C694" s="53"/>
      <c r="D694" s="53">
        <v>0</v>
      </c>
    </row>
    <row r="695" spans="1:4">
      <c r="A695" s="53" t="s">
        <v>715</v>
      </c>
      <c r="B695" s="53">
        <v>4000</v>
      </c>
      <c r="C695" s="53"/>
      <c r="D695" s="53">
        <v>3.70000004768371</v>
      </c>
    </row>
    <row r="696" spans="1:4">
      <c r="A696" s="53" t="s">
        <v>462</v>
      </c>
      <c r="B696" s="53">
        <v>4000</v>
      </c>
      <c r="C696" s="53"/>
      <c r="D696" s="53"/>
    </row>
    <row r="697" spans="1:4">
      <c r="A697" s="53" t="s">
        <v>340</v>
      </c>
      <c r="B697" s="53">
        <v>6000</v>
      </c>
      <c r="C697" s="53"/>
      <c r="D697" s="53">
        <v>0</v>
      </c>
    </row>
    <row r="698" spans="1:4">
      <c r="A698" s="53" t="s">
        <v>420</v>
      </c>
      <c r="B698" s="53">
        <v>4000</v>
      </c>
      <c r="C698" s="53"/>
      <c r="D698" s="53">
        <v>2.0399999618530198</v>
      </c>
    </row>
    <row r="699" spans="1:4">
      <c r="A699" s="53" t="s">
        <v>465</v>
      </c>
      <c r="B699" s="53">
        <v>4000</v>
      </c>
      <c r="C699" s="53"/>
      <c r="D699" s="53">
        <v>3.1500000953674299</v>
      </c>
    </row>
    <row r="700" spans="1:4">
      <c r="A700" s="53" t="s">
        <v>320</v>
      </c>
      <c r="B700" s="53">
        <v>6000</v>
      </c>
      <c r="C700" s="53"/>
      <c r="D700" s="53"/>
    </row>
    <row r="701" spans="1:4">
      <c r="A701" s="53" t="s">
        <v>725</v>
      </c>
      <c r="B701" s="53">
        <v>4000</v>
      </c>
      <c r="C701" s="53"/>
      <c r="D701" s="53">
        <v>0</v>
      </c>
    </row>
    <row r="702" spans="1:4">
      <c r="A702" s="53" t="s">
        <v>741</v>
      </c>
      <c r="B702" s="53">
        <v>4000</v>
      </c>
      <c r="C702" s="53" t="s">
        <v>75</v>
      </c>
      <c r="D702" s="53"/>
    </row>
    <row r="703" spans="1:4">
      <c r="A703" s="53" t="s">
        <v>480</v>
      </c>
      <c r="B703" s="53">
        <v>6800</v>
      </c>
      <c r="C703" s="53"/>
      <c r="D703" s="53">
        <v>12.278947529039799</v>
      </c>
    </row>
    <row r="704" spans="1:4">
      <c r="A704" s="53" t="s">
        <v>789</v>
      </c>
      <c r="B704" s="53">
        <v>4300</v>
      </c>
      <c r="C704" s="53"/>
      <c r="D704" s="53">
        <v>0</v>
      </c>
    </row>
    <row r="705" spans="1:4">
      <c r="A705" s="53" t="s">
        <v>791</v>
      </c>
      <c r="B705" s="53">
        <v>4200</v>
      </c>
      <c r="C705" s="53" t="s">
        <v>75</v>
      </c>
      <c r="D705" s="53">
        <v>1.6818181818181801</v>
      </c>
    </row>
    <row r="706" spans="1:4">
      <c r="A706" s="53" t="s">
        <v>562</v>
      </c>
      <c r="B706" s="53">
        <v>4100</v>
      </c>
      <c r="C706" s="53"/>
      <c r="D706" s="53">
        <v>1.39090910824862</v>
      </c>
    </row>
    <row r="707" spans="1:4">
      <c r="A707" s="53" t="s">
        <v>332</v>
      </c>
      <c r="B707" s="53">
        <v>6000</v>
      </c>
      <c r="C707" s="53"/>
      <c r="D707" s="53"/>
    </row>
    <row r="708" spans="1:4">
      <c r="A708" s="53" t="s">
        <v>716</v>
      </c>
      <c r="B708" s="53">
        <v>4000</v>
      </c>
      <c r="C708" s="53"/>
      <c r="D708" s="53">
        <v>3.36666679382324</v>
      </c>
    </row>
    <row r="709" spans="1:4">
      <c r="A709" s="53" t="s">
        <v>895</v>
      </c>
      <c r="B709" s="53">
        <v>4000</v>
      </c>
      <c r="C709" s="53"/>
      <c r="D709" s="53"/>
    </row>
    <row r="710" spans="1:4">
      <c r="A710" s="53" t="s">
        <v>818</v>
      </c>
      <c r="B710" s="53">
        <v>4100</v>
      </c>
      <c r="C710" s="53"/>
      <c r="D710" s="53">
        <v>2.07692307692307</v>
      </c>
    </row>
    <row r="711" spans="1:4">
      <c r="A711" s="53" t="s">
        <v>37</v>
      </c>
      <c r="B711" s="53">
        <v>5800</v>
      </c>
      <c r="C711" s="53" t="s">
        <v>476</v>
      </c>
      <c r="D711" s="53">
        <v>11.4333333333333</v>
      </c>
    </row>
    <row r="712" spans="1:4">
      <c r="A712" s="53" t="s">
        <v>610</v>
      </c>
      <c r="B712" s="53">
        <v>4000</v>
      </c>
      <c r="C712" s="53" t="s">
        <v>351</v>
      </c>
      <c r="D712" s="53"/>
    </row>
    <row r="713" spans="1:4">
      <c r="A713" s="53" t="s">
        <v>440</v>
      </c>
      <c r="B713" s="53">
        <v>4000</v>
      </c>
      <c r="C713" s="53"/>
      <c r="D713" s="53"/>
    </row>
    <row r="714" spans="1:4">
      <c r="A714" s="53" t="s">
        <v>153</v>
      </c>
      <c r="B714" s="53">
        <v>4900</v>
      </c>
      <c r="C714" s="53"/>
      <c r="D714" s="53">
        <v>1.7153845566969601</v>
      </c>
    </row>
    <row r="715" spans="1:4">
      <c r="A715" s="53" t="s">
        <v>212</v>
      </c>
      <c r="B715" s="53">
        <v>6400</v>
      </c>
      <c r="C715" s="53"/>
      <c r="D715" s="53">
        <v>14.15</v>
      </c>
    </row>
    <row r="716" spans="1:4">
      <c r="A716" s="53" t="s">
        <v>831</v>
      </c>
      <c r="B716" s="53">
        <v>4000</v>
      </c>
      <c r="C716" s="53"/>
      <c r="D716" s="53">
        <v>0</v>
      </c>
    </row>
    <row r="717" spans="1:4">
      <c r="A717" s="53" t="s">
        <v>786</v>
      </c>
      <c r="B717" s="53">
        <v>4300</v>
      </c>
      <c r="C717" s="53"/>
      <c r="D717" s="53">
        <v>5.0583333969116202</v>
      </c>
    </row>
    <row r="718" spans="1:4">
      <c r="A718" s="53" t="s">
        <v>645</v>
      </c>
      <c r="B718" s="53">
        <v>4000</v>
      </c>
      <c r="C718" s="53"/>
      <c r="D718" s="53"/>
    </row>
    <row r="719" spans="1:4">
      <c r="A719" s="53" t="s">
        <v>852</v>
      </c>
      <c r="B719" s="53">
        <v>4000</v>
      </c>
      <c r="C719" s="53"/>
      <c r="D719" s="53"/>
    </row>
    <row r="720" spans="1:4">
      <c r="A720" s="53" t="s">
        <v>882</v>
      </c>
      <c r="B720" s="53">
        <v>4000</v>
      </c>
      <c r="C720" s="53"/>
      <c r="D720" s="53"/>
    </row>
    <row r="721" spans="1:4">
      <c r="A721" s="53" t="s">
        <v>692</v>
      </c>
      <c r="B721" s="53">
        <v>4000</v>
      </c>
      <c r="C721" s="53" t="s">
        <v>75</v>
      </c>
      <c r="D721" s="53"/>
    </row>
    <row r="722" spans="1:4">
      <c r="A722" s="53" t="s">
        <v>292</v>
      </c>
      <c r="B722" s="53">
        <v>6000</v>
      </c>
      <c r="C722" s="53"/>
      <c r="D722" s="53">
        <v>14</v>
      </c>
    </row>
    <row r="723" spans="1:4">
      <c r="A723" s="53" t="s">
        <v>116</v>
      </c>
      <c r="B723" s="53">
        <v>5500</v>
      </c>
      <c r="C723" s="53"/>
      <c r="D723" s="53">
        <v>7.9387497901916504</v>
      </c>
    </row>
    <row r="724" spans="1:4">
      <c r="A724" s="53" t="s">
        <v>697</v>
      </c>
      <c r="B724" s="53">
        <v>4000</v>
      </c>
      <c r="C724" s="53" t="s">
        <v>75</v>
      </c>
      <c r="D724" s="53"/>
    </row>
    <row r="725" spans="1:4">
      <c r="A725" s="53" t="s">
        <v>63</v>
      </c>
      <c r="B725" s="53">
        <v>4900</v>
      </c>
      <c r="C725" s="53"/>
      <c r="D725" s="53">
        <v>7.6315789473684204</v>
      </c>
    </row>
    <row r="726" spans="1:4">
      <c r="A726" s="53" t="s">
        <v>813</v>
      </c>
      <c r="B726" s="53">
        <v>4100</v>
      </c>
      <c r="C726" s="53" t="s">
        <v>75</v>
      </c>
      <c r="D726" s="53">
        <v>1.43333339691162</v>
      </c>
    </row>
    <row r="727" spans="1:4">
      <c r="A727" s="53" t="s">
        <v>301</v>
      </c>
      <c r="B727" s="53">
        <v>6000</v>
      </c>
      <c r="C727" s="53"/>
      <c r="D727" s="53">
        <v>-0.10000000149011599</v>
      </c>
    </row>
    <row r="728" spans="1:4">
      <c r="A728" s="53" t="s">
        <v>109</v>
      </c>
      <c r="B728" s="53">
        <v>6800</v>
      </c>
      <c r="C728" s="53"/>
      <c r="D728" s="53">
        <v>8.9692306518554599</v>
      </c>
    </row>
    <row r="729" spans="1:4">
      <c r="A729" s="53" t="s">
        <v>626</v>
      </c>
      <c r="B729" s="53">
        <v>4000</v>
      </c>
      <c r="C729" s="53"/>
      <c r="D729" s="53"/>
    </row>
    <row r="730" spans="1:4">
      <c r="A730" s="53" t="s">
        <v>271</v>
      </c>
      <c r="B730" s="53">
        <v>3700</v>
      </c>
      <c r="C730" s="53"/>
      <c r="D730" s="53">
        <v>6</v>
      </c>
    </row>
    <row r="731" spans="1:4">
      <c r="A731" s="53" t="s">
        <v>652</v>
      </c>
      <c r="B731" s="53">
        <v>4000</v>
      </c>
      <c r="C731" s="53"/>
      <c r="D731" s="53"/>
    </row>
    <row r="732" spans="1:4">
      <c r="A732" s="53" t="s">
        <v>414</v>
      </c>
      <c r="B732" s="53">
        <v>4000</v>
      </c>
      <c r="C732" s="53"/>
      <c r="D732" s="53"/>
    </row>
    <row r="733" spans="1:4">
      <c r="A733" s="53" t="s">
        <v>111</v>
      </c>
      <c r="B733" s="53">
        <v>6200</v>
      </c>
      <c r="C733" s="53"/>
      <c r="D733" s="53">
        <v>9.9823527616612999</v>
      </c>
    </row>
    <row r="734" spans="1:4">
      <c r="A734" s="53" t="s">
        <v>581</v>
      </c>
      <c r="B734" s="53">
        <v>4100</v>
      </c>
      <c r="C734" s="53"/>
      <c r="D734" s="53"/>
    </row>
    <row r="735" spans="1:4">
      <c r="A735" s="53" t="s">
        <v>777</v>
      </c>
      <c r="B735" s="53">
        <v>4400</v>
      </c>
      <c r="C735" s="53"/>
      <c r="D735" s="53"/>
    </row>
    <row r="736" spans="1:4">
      <c r="A736" s="53" t="s">
        <v>811</v>
      </c>
      <c r="B736" s="53">
        <v>4100</v>
      </c>
      <c r="C736" s="53"/>
      <c r="D736" s="53"/>
    </row>
    <row r="737" spans="1:4">
      <c r="A737" s="53" t="s">
        <v>868</v>
      </c>
      <c r="B737" s="53">
        <v>4000</v>
      </c>
      <c r="C737" s="53"/>
      <c r="D737" s="53"/>
    </row>
    <row r="738" spans="1:4">
      <c r="A738" s="53" t="s">
        <v>334</v>
      </c>
      <c r="B738" s="53">
        <v>6000</v>
      </c>
      <c r="C738" s="53"/>
      <c r="D738" s="53">
        <v>3.7249999046325599</v>
      </c>
    </row>
    <row r="739" spans="1:4">
      <c r="A739" s="53" t="s">
        <v>261</v>
      </c>
      <c r="B739" s="53">
        <v>4000</v>
      </c>
      <c r="C739" s="53"/>
      <c r="D739" s="53">
        <v>1.5333333545260901</v>
      </c>
    </row>
    <row r="740" spans="1:4">
      <c r="A740" s="53" t="s">
        <v>584</v>
      </c>
      <c r="B740" s="53">
        <v>4100</v>
      </c>
      <c r="C740" s="53"/>
      <c r="D740" s="53"/>
    </row>
    <row r="741" spans="1:4">
      <c r="A741" s="53" t="s">
        <v>855</v>
      </c>
      <c r="B741" s="53">
        <v>4000</v>
      </c>
      <c r="C741" s="53" t="s">
        <v>75</v>
      </c>
      <c r="D741" s="53"/>
    </row>
    <row r="742" spans="1:4">
      <c r="A742" s="53" t="s">
        <v>541</v>
      </c>
      <c r="B742" s="53">
        <v>4200</v>
      </c>
      <c r="C742" s="53"/>
      <c r="D742" s="53">
        <v>3.0166667302449501</v>
      </c>
    </row>
    <row r="743" spans="1:4">
      <c r="A743" s="53" t="s">
        <v>304</v>
      </c>
      <c r="B743" s="53">
        <v>6000</v>
      </c>
      <c r="C743" s="53"/>
      <c r="D743" s="53">
        <v>10.726666768391899</v>
      </c>
    </row>
    <row r="744" spans="1:4">
      <c r="A744" s="53" t="s">
        <v>875</v>
      </c>
      <c r="B744" s="53">
        <v>4000</v>
      </c>
      <c r="C744" s="53" t="s">
        <v>75</v>
      </c>
      <c r="D744" s="53"/>
    </row>
    <row r="745" spans="1:4">
      <c r="A745" s="53" t="s">
        <v>860</v>
      </c>
      <c r="B745" s="53">
        <v>4000</v>
      </c>
      <c r="C745" s="53"/>
      <c r="D745" s="53">
        <v>0</v>
      </c>
    </row>
    <row r="746" spans="1:4">
      <c r="A746" s="53" t="s">
        <v>191</v>
      </c>
      <c r="B746" s="53">
        <v>4800</v>
      </c>
      <c r="C746" s="53" t="s">
        <v>75</v>
      </c>
      <c r="D746" s="53">
        <v>3.7615385789137599</v>
      </c>
    </row>
    <row r="747" spans="1:4">
      <c r="A747" s="53" t="s">
        <v>451</v>
      </c>
      <c r="B747" s="53">
        <v>4000</v>
      </c>
      <c r="C747" s="53" t="s">
        <v>75</v>
      </c>
      <c r="D747" s="53">
        <v>4.7833334604899003</v>
      </c>
    </row>
    <row r="748" spans="1:4">
      <c r="A748" s="53" t="s">
        <v>357</v>
      </c>
      <c r="B748" s="53">
        <v>6300</v>
      </c>
      <c r="C748" s="53"/>
      <c r="D748" s="53">
        <v>11.838889227973</v>
      </c>
    </row>
    <row r="749" spans="1:4">
      <c r="A749" s="53" t="s">
        <v>90</v>
      </c>
      <c r="B749" s="53">
        <v>7500</v>
      </c>
      <c r="C749" s="53"/>
      <c r="D749" s="53">
        <v>14.9058819939108</v>
      </c>
    </row>
    <row r="750" spans="1:4">
      <c r="A750" s="53" t="s">
        <v>386</v>
      </c>
      <c r="B750" s="53">
        <v>4500</v>
      </c>
      <c r="C750" s="53"/>
      <c r="D750" s="53">
        <v>0</v>
      </c>
    </row>
    <row r="751" spans="1:4">
      <c r="A751" s="53" t="s">
        <v>845</v>
      </c>
      <c r="B751" s="53">
        <v>4000</v>
      </c>
      <c r="C751" s="53"/>
      <c r="D751" s="53"/>
    </row>
    <row r="752" spans="1:4">
      <c r="A752" s="53" t="s">
        <v>156</v>
      </c>
      <c r="B752" s="53">
        <v>4600</v>
      </c>
      <c r="C752" s="53"/>
      <c r="D752" s="53">
        <v>0.71249997615814198</v>
      </c>
    </row>
    <row r="753" spans="1:4">
      <c r="A753" s="53" t="s">
        <v>870</v>
      </c>
      <c r="B753" s="53">
        <v>4000</v>
      </c>
      <c r="C753" s="53"/>
      <c r="D753" s="53">
        <v>0</v>
      </c>
    </row>
    <row r="754" spans="1:4">
      <c r="A754" s="53" t="s">
        <v>670</v>
      </c>
      <c r="B754" s="53">
        <v>4000</v>
      </c>
      <c r="C754" s="53"/>
      <c r="D754" s="53"/>
    </row>
    <row r="755" spans="1:4">
      <c r="A755" s="53" t="s">
        <v>695</v>
      </c>
      <c r="B755" s="53">
        <v>4000</v>
      </c>
      <c r="C755" s="53"/>
      <c r="D755" s="53"/>
    </row>
    <row r="756" spans="1:4">
      <c r="A756" s="53" t="s">
        <v>514</v>
      </c>
      <c r="B756" s="53">
        <v>4500</v>
      </c>
      <c r="C756" s="53"/>
      <c r="D756" s="53">
        <v>4.4499999455043202</v>
      </c>
    </row>
    <row r="757" spans="1:4">
      <c r="A757" s="53" t="s">
        <v>463</v>
      </c>
      <c r="B757" s="53">
        <v>4000</v>
      </c>
      <c r="C757" s="53" t="s">
        <v>75</v>
      </c>
      <c r="D757" s="53"/>
    </row>
    <row r="758" spans="1:4">
      <c r="A758" s="53" t="s">
        <v>560</v>
      </c>
      <c r="B758" s="53">
        <v>4100</v>
      </c>
      <c r="C758" s="53"/>
      <c r="D758" s="53">
        <v>2.1299999237060501</v>
      </c>
    </row>
    <row r="759" spans="1:4">
      <c r="A759" s="53" t="s">
        <v>222</v>
      </c>
      <c r="B759" s="53">
        <v>4400</v>
      </c>
      <c r="C759" s="53"/>
      <c r="D759" s="53">
        <v>4.1749998728434203</v>
      </c>
    </row>
    <row r="760" spans="1:4">
      <c r="A760" s="53" t="s">
        <v>758</v>
      </c>
      <c r="B760" s="53">
        <v>4000</v>
      </c>
      <c r="C760" s="53" t="s">
        <v>351</v>
      </c>
      <c r="D760" s="53">
        <v>0</v>
      </c>
    </row>
    <row r="761" spans="1:4">
      <c r="A761" s="53" t="s">
        <v>684</v>
      </c>
      <c r="B761" s="53">
        <v>4000</v>
      </c>
      <c r="C761" s="53" t="s">
        <v>75</v>
      </c>
      <c r="D761" s="53"/>
    </row>
    <row r="762" spans="1:4">
      <c r="A762" s="53" t="s">
        <v>863</v>
      </c>
      <c r="B762" s="53">
        <v>4000</v>
      </c>
      <c r="C762" s="53"/>
      <c r="D762" s="53">
        <v>0.51999998092651301</v>
      </c>
    </row>
    <row r="763" spans="1:4">
      <c r="A763" s="53" t="s">
        <v>64</v>
      </c>
      <c r="B763" s="53">
        <v>7400</v>
      </c>
      <c r="C763" s="53"/>
      <c r="D763" s="53">
        <v>17.283750534057599</v>
      </c>
    </row>
    <row r="764" spans="1:4">
      <c r="A764" s="53" t="s">
        <v>371</v>
      </c>
      <c r="B764" s="53">
        <v>5000</v>
      </c>
      <c r="C764" s="53"/>
      <c r="D764" s="53"/>
    </row>
    <row r="765" spans="1:4">
      <c r="A765" s="53" t="s">
        <v>839</v>
      </c>
      <c r="B765" s="53">
        <v>4000</v>
      </c>
      <c r="C765" s="53" t="s">
        <v>75</v>
      </c>
      <c r="D765" s="53"/>
    </row>
    <row r="766" spans="1:4">
      <c r="A766" s="53" t="s">
        <v>293</v>
      </c>
      <c r="B766" s="53">
        <v>6000</v>
      </c>
      <c r="C766" s="53"/>
      <c r="D766" s="53">
        <v>0</v>
      </c>
    </row>
    <row r="767" spans="1:4">
      <c r="A767" s="53" t="s">
        <v>196</v>
      </c>
      <c r="B767" s="53">
        <v>6400</v>
      </c>
      <c r="C767" s="53"/>
      <c r="D767" s="53">
        <v>8.2941176470588207</v>
      </c>
    </row>
    <row r="768" spans="1:4">
      <c r="A768" s="53" t="s">
        <v>236</v>
      </c>
      <c r="B768" s="53">
        <v>4500</v>
      </c>
      <c r="C768" s="53" t="s">
        <v>75</v>
      </c>
      <c r="D768" s="53">
        <v>4.9157895539936201</v>
      </c>
    </row>
    <row r="769" spans="1:4">
      <c r="A769" s="53" t="s">
        <v>169</v>
      </c>
      <c r="B769" s="53">
        <v>4800</v>
      </c>
      <c r="C769" s="53"/>
      <c r="D769" s="53">
        <v>1.8799999237060501</v>
      </c>
    </row>
    <row r="770" spans="1:4">
      <c r="A770" s="53" t="s">
        <v>516</v>
      </c>
      <c r="B770" s="53">
        <v>4500</v>
      </c>
      <c r="C770" s="53"/>
      <c r="D770" s="53">
        <v>3.1899999618530201</v>
      </c>
    </row>
    <row r="771" spans="1:4">
      <c r="A771" s="53" t="s">
        <v>826</v>
      </c>
      <c r="B771" s="53">
        <v>4000</v>
      </c>
      <c r="C771" s="53"/>
      <c r="D771" s="53"/>
    </row>
    <row r="772" spans="1:4">
      <c r="A772" s="53" t="s">
        <v>655</v>
      </c>
      <c r="B772" s="53">
        <v>4000</v>
      </c>
      <c r="C772" s="53"/>
      <c r="D772" s="53">
        <v>1.30000003178914</v>
      </c>
    </row>
    <row r="773" spans="1:4">
      <c r="A773" s="53" t="s">
        <v>525</v>
      </c>
      <c r="B773" s="53">
        <v>4200</v>
      </c>
      <c r="C773" s="53"/>
      <c r="D773" s="53"/>
    </row>
    <row r="774" spans="1:4">
      <c r="A774" s="53" t="s">
        <v>421</v>
      </c>
      <c r="B774" s="53">
        <v>4000</v>
      </c>
      <c r="C774" s="53"/>
      <c r="D774" s="53">
        <v>0.628571442195347</v>
      </c>
    </row>
    <row r="775" spans="1:4">
      <c r="A775" s="53" t="s">
        <v>27</v>
      </c>
      <c r="B775" s="53">
        <v>7700</v>
      </c>
      <c r="C775" s="53"/>
      <c r="D775" s="53">
        <v>16.545555962456501</v>
      </c>
    </row>
    <row r="776" spans="1:4">
      <c r="A776" s="53" t="s">
        <v>881</v>
      </c>
      <c r="B776" s="53">
        <v>4000</v>
      </c>
      <c r="C776" s="53"/>
      <c r="D776" s="53">
        <v>0.69999998807907104</v>
      </c>
    </row>
    <row r="777" spans="1:4">
      <c r="A777" s="53" t="s">
        <v>718</v>
      </c>
      <c r="B777" s="53">
        <v>4000</v>
      </c>
      <c r="C777" s="53"/>
      <c r="D777" s="53"/>
    </row>
    <row r="778" spans="1:4">
      <c r="A778" s="53" t="s">
        <v>224</v>
      </c>
      <c r="B778" s="53">
        <v>4800</v>
      </c>
      <c r="C778" s="53"/>
      <c r="D778" s="53">
        <v>6.8799997965494697</v>
      </c>
    </row>
    <row r="779" spans="1:4">
      <c r="A779" s="53" t="s">
        <v>161</v>
      </c>
      <c r="B779" s="53">
        <v>5100</v>
      </c>
      <c r="C779" s="53"/>
      <c r="D779" s="53">
        <v>5.65625</v>
      </c>
    </row>
    <row r="780" spans="1:4">
      <c r="A780" s="53" t="s">
        <v>665</v>
      </c>
      <c r="B780" s="53">
        <v>4000</v>
      </c>
      <c r="C780" s="53"/>
      <c r="D780" s="53"/>
    </row>
    <row r="781" spans="1:4">
      <c r="A781" s="53" t="s">
        <v>391</v>
      </c>
      <c r="B781" s="53">
        <v>4400</v>
      </c>
      <c r="C781" s="53"/>
      <c r="D781" s="53">
        <v>3.4000001387162602</v>
      </c>
    </row>
    <row r="782" spans="1:4">
      <c r="A782" s="53" t="s">
        <v>616</v>
      </c>
      <c r="B782" s="53">
        <v>4000</v>
      </c>
      <c r="C782" s="53"/>
      <c r="D782" s="53"/>
    </row>
    <row r="783" spans="1:4">
      <c r="A783" s="53" t="s">
        <v>367</v>
      </c>
      <c r="B783" s="53">
        <v>5400</v>
      </c>
      <c r="C783" s="53"/>
      <c r="D783" s="53">
        <v>7.5176472383386903</v>
      </c>
    </row>
    <row r="784" spans="1:4">
      <c r="A784" s="53" t="s">
        <v>133</v>
      </c>
      <c r="B784" s="53">
        <v>5500</v>
      </c>
      <c r="C784" s="53"/>
      <c r="D784" s="53">
        <v>7.56470624138327</v>
      </c>
    </row>
    <row r="785" spans="1:4">
      <c r="A785" s="53" t="s">
        <v>432</v>
      </c>
      <c r="B785" s="53">
        <v>4000</v>
      </c>
      <c r="C785" s="53"/>
      <c r="D785" s="53">
        <v>8.8999996185302699</v>
      </c>
    </row>
    <row r="786" spans="1:4">
      <c r="A786" s="53" t="s">
        <v>211</v>
      </c>
      <c r="B786" s="53">
        <v>4900</v>
      </c>
      <c r="C786" s="53"/>
      <c r="D786" s="53">
        <v>6.6058825324563397</v>
      </c>
    </row>
    <row r="787" spans="1:4">
      <c r="A787" s="53" t="s">
        <v>408</v>
      </c>
      <c r="B787" s="53">
        <v>4100</v>
      </c>
      <c r="C787" s="53"/>
      <c r="D787" s="53">
        <v>2.5166667302449501</v>
      </c>
    </row>
    <row r="788" spans="1:4">
      <c r="A788" s="53" t="s">
        <v>176</v>
      </c>
      <c r="B788" s="53">
        <v>4900</v>
      </c>
      <c r="C788" s="53" t="s">
        <v>476</v>
      </c>
      <c r="D788" s="53">
        <v>5.3125</v>
      </c>
    </row>
    <row r="789" spans="1:4">
      <c r="A789" s="53" t="s">
        <v>531</v>
      </c>
      <c r="B789" s="53">
        <v>4200</v>
      </c>
      <c r="C789" s="53"/>
      <c r="D789" s="53">
        <v>7.8000001907348597</v>
      </c>
    </row>
    <row r="790" spans="1:4">
      <c r="A790" s="53" t="s">
        <v>817</v>
      </c>
      <c r="B790" s="53">
        <v>4100</v>
      </c>
      <c r="C790" s="53"/>
      <c r="D790" s="53">
        <v>0</v>
      </c>
    </row>
    <row r="791" spans="1:4">
      <c r="A791" s="53" t="s">
        <v>205</v>
      </c>
      <c r="B791" s="53">
        <v>6000</v>
      </c>
      <c r="C791" s="53" t="s">
        <v>75</v>
      </c>
      <c r="D791" s="53">
        <v>9.5823525821461395</v>
      </c>
    </row>
    <row r="792" spans="1:4">
      <c r="A792" s="53" t="s">
        <v>841</v>
      </c>
      <c r="B792" s="53">
        <v>4000</v>
      </c>
      <c r="C792" s="53"/>
      <c r="D792" s="53">
        <v>7.1999998092651296</v>
      </c>
    </row>
    <row r="793" spans="1:4">
      <c r="A793" s="53" t="s">
        <v>879</v>
      </c>
      <c r="B793" s="53">
        <v>4000</v>
      </c>
      <c r="C793" s="53"/>
      <c r="D793" s="53">
        <v>0</v>
      </c>
    </row>
    <row r="794" spans="1:4">
      <c r="A794" s="53" t="s">
        <v>256</v>
      </c>
      <c r="B794" s="53">
        <v>4400</v>
      </c>
      <c r="C794" s="53"/>
      <c r="D794" s="53">
        <v>2.1076922783484799</v>
      </c>
    </row>
    <row r="795" spans="1:4">
      <c r="A795" s="53" t="s">
        <v>682</v>
      </c>
      <c r="B795" s="53">
        <v>4000</v>
      </c>
      <c r="C795" s="53"/>
      <c r="D795" s="53">
        <v>2.0700000762939399</v>
      </c>
    </row>
    <row r="796" spans="1:4">
      <c r="A796" s="53" t="s">
        <v>843</v>
      </c>
      <c r="B796" s="53">
        <v>4000</v>
      </c>
      <c r="C796" s="53" t="s">
        <v>75</v>
      </c>
      <c r="D796" s="53"/>
    </row>
    <row r="797" spans="1:4">
      <c r="A797" s="53" t="s">
        <v>32</v>
      </c>
      <c r="B797" s="53">
        <v>9600</v>
      </c>
      <c r="C797" s="53"/>
      <c r="D797" s="53">
        <v>19.505882711971498</v>
      </c>
    </row>
    <row r="798" spans="1:4">
      <c r="A798" s="53" t="s">
        <v>604</v>
      </c>
      <c r="B798" s="53">
        <v>4000</v>
      </c>
      <c r="C798" s="53"/>
      <c r="D798" s="53"/>
    </row>
    <row r="799" spans="1:4">
      <c r="A799" s="53" t="s">
        <v>554</v>
      </c>
      <c r="B799" s="53">
        <v>4100</v>
      </c>
      <c r="C799" s="53"/>
      <c r="D799" s="53"/>
    </row>
    <row r="800" spans="1:4">
      <c r="A800" s="53" t="s">
        <v>731</v>
      </c>
      <c r="B800" s="53">
        <v>4000</v>
      </c>
      <c r="C800" s="53"/>
      <c r="D800" s="53">
        <v>1.2666666507720901</v>
      </c>
    </row>
    <row r="801" spans="1:4">
      <c r="A801" s="53" t="s">
        <v>690</v>
      </c>
      <c r="B801" s="53">
        <v>4000</v>
      </c>
      <c r="C801" s="53"/>
      <c r="D801" s="53">
        <v>0.64999997615814198</v>
      </c>
    </row>
    <row r="802" spans="1:4">
      <c r="A802" s="53" t="s">
        <v>369</v>
      </c>
      <c r="B802" s="53">
        <v>5000</v>
      </c>
      <c r="C802" s="53"/>
      <c r="D802" s="53"/>
    </row>
    <row r="803" spans="1:4">
      <c r="A803" s="53" t="s">
        <v>330</v>
      </c>
      <c r="B803" s="53">
        <v>6000</v>
      </c>
      <c r="C803" s="53"/>
      <c r="D803" s="53">
        <v>11.8519996643066</v>
      </c>
    </row>
    <row r="804" spans="1:4">
      <c r="A804" s="53" t="s">
        <v>253</v>
      </c>
      <c r="B804" s="53">
        <v>5000</v>
      </c>
      <c r="C804" s="53"/>
      <c r="D804" s="53">
        <v>2.2357142312186098</v>
      </c>
    </row>
    <row r="805" spans="1:4">
      <c r="A805" s="53" t="s">
        <v>518</v>
      </c>
      <c r="B805" s="53">
        <v>4400</v>
      </c>
      <c r="C805" s="53"/>
      <c r="D805" s="53">
        <v>0.70000002934382499</v>
      </c>
    </row>
    <row r="806" spans="1:4">
      <c r="A806" s="53" t="s">
        <v>511</v>
      </c>
      <c r="B806" s="53">
        <v>4700</v>
      </c>
      <c r="C806" s="53"/>
      <c r="D806" s="53">
        <v>6.8799997965494697</v>
      </c>
    </row>
    <row r="807" spans="1:4">
      <c r="A807" s="53" t="s">
        <v>73</v>
      </c>
      <c r="B807" s="53">
        <v>3400</v>
      </c>
      <c r="C807" s="53"/>
      <c r="D807" s="53">
        <v>3.4117647058823501</v>
      </c>
    </row>
    <row r="808" spans="1:4">
      <c r="A808" s="53" t="s">
        <v>639</v>
      </c>
      <c r="B808" s="53">
        <v>4000</v>
      </c>
      <c r="C808" s="53" t="s">
        <v>75</v>
      </c>
      <c r="D808" s="53"/>
    </row>
    <row r="809" spans="1:4">
      <c r="A809" s="53" t="s">
        <v>193</v>
      </c>
      <c r="B809" s="53">
        <v>4300</v>
      </c>
      <c r="C809" s="53"/>
      <c r="D809" s="53">
        <v>2.4384615971491801</v>
      </c>
    </row>
    <row r="810" spans="1:4">
      <c r="A810" s="53" t="s">
        <v>280</v>
      </c>
      <c r="B810" s="53">
        <v>6900</v>
      </c>
      <c r="C810" s="53"/>
      <c r="D810" s="53">
        <v>11.7799996270073</v>
      </c>
    </row>
    <row r="811" spans="1:4">
      <c r="A811" s="53" t="s">
        <v>808</v>
      </c>
      <c r="B811" s="53">
        <v>4200</v>
      </c>
      <c r="C811" s="53"/>
      <c r="D811" s="53">
        <v>2.4750000635782801</v>
      </c>
    </row>
    <row r="812" spans="1:4">
      <c r="A812" s="53" t="s">
        <v>538</v>
      </c>
      <c r="B812" s="53">
        <v>4200</v>
      </c>
      <c r="C812" s="53" t="s">
        <v>75</v>
      </c>
      <c r="D812" s="53">
        <v>0.60000002384185702</v>
      </c>
    </row>
    <row r="813" spans="1:4">
      <c r="A813" s="53" t="s">
        <v>671</v>
      </c>
      <c r="B813" s="53">
        <v>4000</v>
      </c>
      <c r="C813" s="53"/>
      <c r="D813" s="53">
        <v>1.59999994131234</v>
      </c>
    </row>
    <row r="814" spans="1:4">
      <c r="A814" s="53" t="s">
        <v>566</v>
      </c>
      <c r="B814" s="53">
        <v>4100</v>
      </c>
      <c r="C814" s="53"/>
      <c r="D814" s="53"/>
    </row>
    <row r="815" spans="1:4">
      <c r="A815" s="53" t="s">
        <v>502</v>
      </c>
      <c r="B815" s="53">
        <v>4900</v>
      </c>
      <c r="C815" s="53"/>
      <c r="D815" s="53"/>
    </row>
    <row r="816" spans="1:4">
      <c r="A816" s="53" t="s">
        <v>553</v>
      </c>
      <c r="B816" s="53">
        <v>4100</v>
      </c>
      <c r="C816" s="53"/>
      <c r="D816" s="53"/>
    </row>
    <row r="817" spans="1:4">
      <c r="A817" s="53" t="s">
        <v>719</v>
      </c>
      <c r="B817" s="53">
        <v>4000</v>
      </c>
      <c r="C817" s="53" t="s">
        <v>75</v>
      </c>
      <c r="D817" s="53"/>
    </row>
    <row r="818" spans="1:4">
      <c r="A818" s="53" t="s">
        <v>756</v>
      </c>
      <c r="B818" s="53">
        <v>4000</v>
      </c>
      <c r="C818" s="53"/>
      <c r="D818" s="53"/>
    </row>
    <row r="819" spans="1:4">
      <c r="A819" s="53" t="s">
        <v>149</v>
      </c>
      <c r="B819" s="53">
        <v>5300</v>
      </c>
      <c r="C819" s="53"/>
      <c r="D819" s="53">
        <v>5.5999999046325604</v>
      </c>
    </row>
    <row r="820" spans="1:4">
      <c r="A820" s="53" t="s">
        <v>832</v>
      </c>
      <c r="B820" s="53">
        <v>4000</v>
      </c>
      <c r="C820" s="53"/>
      <c r="D820" s="53"/>
    </row>
    <row r="821" spans="1:4">
      <c r="A821" s="53" t="s">
        <v>107</v>
      </c>
      <c r="B821" s="53">
        <v>4800</v>
      </c>
      <c r="C821" s="53"/>
      <c r="D821" s="53">
        <v>5.4571429661342004</v>
      </c>
    </row>
    <row r="822" spans="1:4">
      <c r="A822" s="53" t="s">
        <v>419</v>
      </c>
      <c r="B822" s="53">
        <v>4000</v>
      </c>
      <c r="C822" s="53"/>
      <c r="D822" s="53">
        <v>0.37999999523162797</v>
      </c>
    </row>
    <row r="823" spans="1:4">
      <c r="A823" s="53" t="s">
        <v>794</v>
      </c>
      <c r="B823" s="53">
        <v>4200</v>
      </c>
      <c r="C823" s="53"/>
      <c r="D823" s="53">
        <v>1.6214286259242401</v>
      </c>
    </row>
    <row r="824" spans="1:4">
      <c r="A824" s="53" t="s">
        <v>846</v>
      </c>
      <c r="B824" s="53">
        <v>4000</v>
      </c>
      <c r="C824" s="53"/>
      <c r="D824" s="53"/>
    </row>
    <row r="825" spans="1:4">
      <c r="A825" s="53" t="s">
        <v>598</v>
      </c>
      <c r="B825" s="53">
        <v>4000</v>
      </c>
      <c r="C825" s="53"/>
      <c r="D825" s="53">
        <v>0.43333334392971401</v>
      </c>
    </row>
    <row r="826" spans="1:4">
      <c r="A826" s="53" t="s">
        <v>83</v>
      </c>
      <c r="B826" s="53">
        <v>6000</v>
      </c>
      <c r="C826" s="53"/>
      <c r="D826" s="53">
        <v>10.5783335367838</v>
      </c>
    </row>
    <row r="827" spans="1:4">
      <c r="A827" s="53" t="s">
        <v>346</v>
      </c>
      <c r="B827" s="53">
        <v>6000</v>
      </c>
      <c r="C827" s="53" t="s">
        <v>75</v>
      </c>
      <c r="D827" s="53"/>
    </row>
    <row r="828" spans="1:4">
      <c r="A828" s="53" t="s">
        <v>91</v>
      </c>
      <c r="B828" s="53">
        <v>6900</v>
      </c>
      <c r="C828" s="53"/>
      <c r="D828" s="53">
        <v>11.150000435965399</v>
      </c>
    </row>
    <row r="829" spans="1:4">
      <c r="A829" s="53" t="s">
        <v>842</v>
      </c>
      <c r="B829" s="53">
        <v>4000</v>
      </c>
      <c r="C829" s="53"/>
      <c r="D829" s="53"/>
    </row>
    <row r="830" spans="1:4">
      <c r="A830" s="53" t="s">
        <v>135</v>
      </c>
      <c r="B830" s="53">
        <v>6400</v>
      </c>
      <c r="C830" s="53"/>
      <c r="D830" s="53">
        <v>4.7428572518484904</v>
      </c>
    </row>
    <row r="831" spans="1:4">
      <c r="A831" s="53" t="s">
        <v>447</v>
      </c>
      <c r="B831" s="53">
        <v>4000</v>
      </c>
      <c r="C831" s="53"/>
      <c r="D831" s="53">
        <v>2.01250004768371</v>
      </c>
    </row>
    <row r="832" spans="1:4">
      <c r="A832" s="53" t="s">
        <v>627</v>
      </c>
      <c r="B832" s="53">
        <v>4000</v>
      </c>
      <c r="C832" s="53"/>
      <c r="D832" s="53"/>
    </row>
    <row r="833" spans="1:4">
      <c r="A833" s="53" t="s">
        <v>215</v>
      </c>
      <c r="B833" s="53">
        <v>4600</v>
      </c>
      <c r="C833" s="53" t="s">
        <v>351</v>
      </c>
      <c r="D833" s="53">
        <v>6.1099998474120998</v>
      </c>
    </row>
    <row r="834" spans="1:4">
      <c r="A834" s="53" t="s">
        <v>166</v>
      </c>
      <c r="B834" s="53">
        <v>4000</v>
      </c>
      <c r="C834" s="53"/>
      <c r="D834" s="53">
        <v>1.29999995231628</v>
      </c>
    </row>
  </sheetData>
  <sortState ref="A2:D834">
    <sortCondition ref="A2:A8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442"/>
  <sheetViews>
    <sheetView workbookViewId="0">
      <selection activeCell="C4" sqref="C4"/>
    </sheetView>
  </sheetViews>
  <sheetFormatPr defaultRowHeight="15"/>
  <cols>
    <col min="2" max="2" width="9.5703125" bestFit="1" customWidth="1"/>
    <col min="3" max="3" width="22.5703125" bestFit="1" customWidth="1"/>
    <col min="4" max="5" width="11.42578125" style="18" bestFit="1" customWidth="1"/>
    <col min="6" max="6" width="10.5703125" style="18" bestFit="1" customWidth="1"/>
  </cols>
  <sheetData>
    <row r="1" spans="1:6">
      <c r="A1" s="17"/>
      <c r="B1" s="18" t="s">
        <v>0</v>
      </c>
      <c r="C1" s="18" t="s">
        <v>1</v>
      </c>
      <c r="D1" s="18" t="s">
        <v>2</v>
      </c>
      <c r="E1" s="18" t="s">
        <v>59</v>
      </c>
      <c r="F1" s="18" t="s">
        <v>60</v>
      </c>
    </row>
    <row r="2" spans="1:6">
      <c r="A2" s="17"/>
      <c r="B2" s="18" t="s">
        <v>31</v>
      </c>
      <c r="C2" s="18" t="s">
        <v>34</v>
      </c>
      <c r="D2" s="13">
        <v>8200</v>
      </c>
      <c r="F2" s="13">
        <v>14</v>
      </c>
    </row>
    <row r="3" spans="1:6">
      <c r="A3" s="17"/>
      <c r="B3" s="18" t="s">
        <v>3</v>
      </c>
      <c r="C3" s="18" t="s">
        <v>165</v>
      </c>
      <c r="D3" s="13">
        <v>4200</v>
      </c>
      <c r="E3" s="18" t="s">
        <v>75</v>
      </c>
      <c r="F3" s="13">
        <v>0.6</v>
      </c>
    </row>
    <row r="4" spans="1:6">
      <c r="A4" s="17"/>
      <c r="B4" s="18" t="s">
        <v>31</v>
      </c>
      <c r="C4" s="18" t="s">
        <v>99</v>
      </c>
      <c r="D4" s="13">
        <v>7400</v>
      </c>
      <c r="F4" s="13">
        <v>11.2</v>
      </c>
    </row>
    <row r="5" spans="1:6">
      <c r="A5" s="17"/>
      <c r="B5" s="18" t="s">
        <v>22</v>
      </c>
      <c r="C5" s="18" t="s">
        <v>119</v>
      </c>
      <c r="D5" s="13">
        <v>6300</v>
      </c>
      <c r="F5" s="13">
        <v>0</v>
      </c>
    </row>
    <row r="6" spans="1:6">
      <c r="A6" s="17"/>
      <c r="B6" s="18" t="s">
        <v>3</v>
      </c>
      <c r="C6" s="18" t="s">
        <v>164</v>
      </c>
      <c r="D6" s="13">
        <v>4200</v>
      </c>
      <c r="E6" s="18" t="s">
        <v>75</v>
      </c>
      <c r="F6" s="13">
        <v>0.6</v>
      </c>
    </row>
    <row r="7" spans="1:6">
      <c r="A7" s="17"/>
      <c r="B7" s="18" t="s">
        <v>31</v>
      </c>
      <c r="C7" s="18" t="s">
        <v>235</v>
      </c>
      <c r="D7" s="13">
        <v>5100</v>
      </c>
      <c r="F7" s="13">
        <v>4.5999999999999996</v>
      </c>
    </row>
    <row r="8" spans="1:6">
      <c r="A8" s="17"/>
      <c r="B8" s="18" t="s">
        <v>3</v>
      </c>
      <c r="C8" s="18" t="s">
        <v>110</v>
      </c>
      <c r="D8" s="13">
        <v>6900</v>
      </c>
      <c r="F8" s="13">
        <v>12.4</v>
      </c>
    </row>
    <row r="9" spans="1:6">
      <c r="A9" s="17"/>
      <c r="B9" s="18" t="s">
        <v>31</v>
      </c>
      <c r="C9" s="18" t="s">
        <v>223</v>
      </c>
      <c r="D9" s="13">
        <v>5500</v>
      </c>
      <c r="F9" s="13">
        <v>5.8</v>
      </c>
    </row>
    <row r="10" spans="1:6">
      <c r="A10" s="17"/>
      <c r="B10" s="18" t="s">
        <v>3</v>
      </c>
      <c r="C10" s="18" t="s">
        <v>6</v>
      </c>
      <c r="D10" s="13">
        <v>7500</v>
      </c>
      <c r="F10" s="13">
        <v>13.7</v>
      </c>
    </row>
    <row r="11" spans="1:6">
      <c r="A11" s="17"/>
      <c r="B11" s="18" t="s">
        <v>31</v>
      </c>
      <c r="C11" s="18" t="s">
        <v>204</v>
      </c>
      <c r="D11" s="13">
        <v>6600</v>
      </c>
      <c r="F11" s="13">
        <v>11.3</v>
      </c>
    </row>
    <row r="12" spans="1:6">
      <c r="A12" s="17"/>
      <c r="B12" s="18" t="s">
        <v>3</v>
      </c>
      <c r="C12" s="18" t="s">
        <v>141</v>
      </c>
      <c r="D12" s="13">
        <v>5200</v>
      </c>
      <c r="F12" s="13">
        <v>2.4</v>
      </c>
    </row>
    <row r="13" spans="1:6">
      <c r="A13" s="17"/>
      <c r="B13" s="18" t="s">
        <v>31</v>
      </c>
      <c r="C13" s="18" t="s">
        <v>95</v>
      </c>
      <c r="D13" s="13">
        <v>7800</v>
      </c>
      <c r="E13" s="18" t="s">
        <v>75</v>
      </c>
      <c r="F13" s="13">
        <v>5.4</v>
      </c>
    </row>
    <row r="14" spans="1:6">
      <c r="A14" s="17"/>
      <c r="B14" s="18" t="s">
        <v>31</v>
      </c>
      <c r="C14" s="18" t="s">
        <v>263</v>
      </c>
      <c r="D14" s="13">
        <v>4300</v>
      </c>
      <c r="F14" s="13">
        <v>2.4</v>
      </c>
    </row>
    <row r="15" spans="1:6">
      <c r="A15" s="17"/>
      <c r="B15" s="18" t="s">
        <v>22</v>
      </c>
      <c r="C15" s="18" t="s">
        <v>121</v>
      </c>
      <c r="D15" s="13">
        <v>6200</v>
      </c>
      <c r="F15" s="13">
        <v>0</v>
      </c>
    </row>
    <row r="16" spans="1:6">
      <c r="A16" s="17"/>
      <c r="B16" s="18" t="s">
        <v>3</v>
      </c>
      <c r="C16" s="18" t="s">
        <v>142</v>
      </c>
      <c r="D16" s="13">
        <v>5100</v>
      </c>
      <c r="F16" s="13">
        <v>6.3</v>
      </c>
    </row>
    <row r="17" spans="1:6">
      <c r="A17" s="17"/>
      <c r="B17" s="18" t="s">
        <v>45</v>
      </c>
      <c r="C17" s="18" t="s">
        <v>11</v>
      </c>
      <c r="D17" s="13">
        <v>3300</v>
      </c>
      <c r="F17" s="13">
        <v>5.6</v>
      </c>
    </row>
    <row r="18" spans="1:6">
      <c r="A18" s="17"/>
      <c r="B18" s="18" t="s">
        <v>45</v>
      </c>
      <c r="C18" s="18" t="s">
        <v>15</v>
      </c>
      <c r="D18" s="13">
        <v>4100</v>
      </c>
      <c r="F18" s="13">
        <v>6.2</v>
      </c>
    </row>
    <row r="19" spans="1:6">
      <c r="A19" s="17"/>
      <c r="B19" s="18" t="s">
        <v>36</v>
      </c>
      <c r="C19" s="18" t="s">
        <v>181</v>
      </c>
      <c r="D19" s="13">
        <v>4800</v>
      </c>
      <c r="F19" s="13">
        <v>2</v>
      </c>
    </row>
    <row r="20" spans="1:6">
      <c r="A20" s="17"/>
      <c r="B20" s="18" t="s">
        <v>22</v>
      </c>
      <c r="C20" s="18" t="s">
        <v>118</v>
      </c>
      <c r="D20" s="13">
        <v>6400</v>
      </c>
      <c r="F20" s="13">
        <v>9</v>
      </c>
    </row>
    <row r="21" spans="1:6">
      <c r="A21" s="17"/>
      <c r="B21" s="18" t="s">
        <v>22</v>
      </c>
      <c r="C21" s="18" t="s">
        <v>71</v>
      </c>
      <c r="D21" s="13">
        <v>7100</v>
      </c>
      <c r="F21" s="13">
        <v>15.8</v>
      </c>
    </row>
    <row r="22" spans="1:6">
      <c r="A22" s="17"/>
      <c r="B22" s="18" t="s">
        <v>3</v>
      </c>
      <c r="C22" s="18" t="s">
        <v>29</v>
      </c>
      <c r="D22" s="13">
        <v>7600</v>
      </c>
      <c r="F22" s="13">
        <v>16.7</v>
      </c>
    </row>
    <row r="23" spans="1:6">
      <c r="A23" s="17"/>
      <c r="B23" s="18" t="s">
        <v>3</v>
      </c>
      <c r="C23" s="18" t="s">
        <v>157</v>
      </c>
      <c r="D23" s="13">
        <v>4500</v>
      </c>
      <c r="F23" s="13">
        <v>1.4</v>
      </c>
    </row>
    <row r="24" spans="1:6">
      <c r="A24" s="17"/>
      <c r="B24" s="18" t="s">
        <v>31</v>
      </c>
      <c r="C24" s="18" t="s">
        <v>96</v>
      </c>
      <c r="D24" s="13">
        <v>7700</v>
      </c>
      <c r="F24" s="13">
        <v>13.1</v>
      </c>
    </row>
    <row r="25" spans="1:6">
      <c r="A25" s="17"/>
      <c r="B25" s="18" t="s">
        <v>31</v>
      </c>
      <c r="C25" s="18" t="s">
        <v>233</v>
      </c>
      <c r="D25" s="13">
        <v>5100</v>
      </c>
      <c r="F25" s="13">
        <v>3.3</v>
      </c>
    </row>
    <row r="26" spans="1:6">
      <c r="A26" s="17"/>
      <c r="B26" s="18" t="s">
        <v>31</v>
      </c>
      <c r="C26" s="18" t="s">
        <v>239</v>
      </c>
      <c r="D26" s="13">
        <v>4900</v>
      </c>
      <c r="F26" s="13">
        <v>5.3</v>
      </c>
    </row>
    <row r="27" spans="1:6">
      <c r="A27" s="17"/>
      <c r="B27" s="18" t="s">
        <v>3</v>
      </c>
      <c r="C27" s="18" t="s">
        <v>47</v>
      </c>
      <c r="D27" s="13">
        <v>6800</v>
      </c>
      <c r="F27" s="13">
        <v>13.9</v>
      </c>
    </row>
    <row r="28" spans="1:6">
      <c r="A28" s="17"/>
      <c r="B28" s="18" t="s">
        <v>3</v>
      </c>
      <c r="C28" s="18" t="s">
        <v>122</v>
      </c>
      <c r="D28" s="13">
        <v>6700</v>
      </c>
      <c r="F28" s="13">
        <v>12.7</v>
      </c>
    </row>
    <row r="29" spans="1:6">
      <c r="A29" s="17"/>
      <c r="B29" s="18" t="s">
        <v>22</v>
      </c>
      <c r="C29" s="18" t="s">
        <v>68</v>
      </c>
      <c r="D29" s="13">
        <v>7200</v>
      </c>
      <c r="F29" s="13">
        <v>16.600000000000001</v>
      </c>
    </row>
    <row r="30" spans="1:6">
      <c r="A30" s="17"/>
      <c r="B30" s="18" t="s">
        <v>36</v>
      </c>
      <c r="C30" s="18" t="s">
        <v>190</v>
      </c>
      <c r="D30" s="13">
        <v>4500</v>
      </c>
      <c r="F30" s="13">
        <v>2.2999999999999998</v>
      </c>
    </row>
    <row r="31" spans="1:6">
      <c r="A31" s="17"/>
      <c r="B31" s="18" t="s">
        <v>22</v>
      </c>
      <c r="C31" s="18" t="s">
        <v>82</v>
      </c>
      <c r="D31" s="13">
        <v>6600</v>
      </c>
      <c r="F31" s="13">
        <v>15.4</v>
      </c>
    </row>
    <row r="32" spans="1:6">
      <c r="A32" s="17"/>
      <c r="B32" s="18" t="s">
        <v>3</v>
      </c>
      <c r="C32" s="18" t="s">
        <v>171</v>
      </c>
      <c r="D32" s="13">
        <v>4200</v>
      </c>
      <c r="F32" s="13">
        <v>0.6</v>
      </c>
    </row>
    <row r="33" spans="1:6">
      <c r="A33" s="17"/>
      <c r="B33" s="18" t="s">
        <v>22</v>
      </c>
      <c r="C33" s="18" t="s">
        <v>57</v>
      </c>
      <c r="D33" s="13">
        <v>6900</v>
      </c>
      <c r="F33" s="13">
        <v>16.899999999999999</v>
      </c>
    </row>
    <row r="34" spans="1:6">
      <c r="A34" s="17"/>
      <c r="B34" s="18" t="s">
        <v>36</v>
      </c>
      <c r="C34" s="18" t="s">
        <v>195</v>
      </c>
      <c r="D34" s="13">
        <v>4400</v>
      </c>
      <c r="F34" s="13">
        <v>1.9</v>
      </c>
    </row>
    <row r="35" spans="1:6">
      <c r="A35" s="17"/>
      <c r="B35" s="18" t="s">
        <v>36</v>
      </c>
      <c r="C35" s="18" t="s">
        <v>179</v>
      </c>
      <c r="D35" s="13">
        <v>4900</v>
      </c>
      <c r="F35" s="13">
        <v>4.5</v>
      </c>
    </row>
    <row r="36" spans="1:6">
      <c r="A36" s="17"/>
      <c r="B36" s="18" t="s">
        <v>31</v>
      </c>
      <c r="C36" s="18" t="s">
        <v>108</v>
      </c>
      <c r="D36" s="13">
        <v>7000</v>
      </c>
      <c r="F36" s="13">
        <v>11.7</v>
      </c>
    </row>
    <row r="37" spans="1:6">
      <c r="A37" s="17"/>
      <c r="B37" s="18" t="s">
        <v>3</v>
      </c>
      <c r="C37" s="18" t="s">
        <v>132</v>
      </c>
      <c r="D37" s="13">
        <v>5700</v>
      </c>
      <c r="F37" s="13">
        <v>6.2</v>
      </c>
    </row>
    <row r="38" spans="1:6">
      <c r="A38" s="17"/>
      <c r="B38" s="18" t="s">
        <v>45</v>
      </c>
      <c r="C38" s="18" t="s">
        <v>21</v>
      </c>
      <c r="D38" s="13">
        <v>3000</v>
      </c>
      <c r="F38" s="13">
        <v>5.5</v>
      </c>
    </row>
    <row r="39" spans="1:6">
      <c r="A39" s="17"/>
      <c r="B39" s="18" t="s">
        <v>31</v>
      </c>
      <c r="C39" s="18" t="s">
        <v>254</v>
      </c>
      <c r="D39" s="13">
        <v>4600</v>
      </c>
      <c r="F39" s="13">
        <v>1.8</v>
      </c>
    </row>
    <row r="40" spans="1:6">
      <c r="A40" s="17"/>
      <c r="B40" s="18" t="s">
        <v>3</v>
      </c>
      <c r="C40" s="18" t="s">
        <v>162</v>
      </c>
      <c r="D40" s="13">
        <v>4400</v>
      </c>
      <c r="F40" s="13">
        <v>1</v>
      </c>
    </row>
    <row r="41" spans="1:6">
      <c r="A41" s="17"/>
      <c r="B41" s="18" t="s">
        <v>45</v>
      </c>
      <c r="C41" s="18" t="s">
        <v>62</v>
      </c>
      <c r="D41" s="13">
        <v>3200</v>
      </c>
      <c r="F41" s="13">
        <v>5.5</v>
      </c>
    </row>
    <row r="42" spans="1:6">
      <c r="A42" s="17"/>
      <c r="B42" s="18" t="s">
        <v>3</v>
      </c>
      <c r="C42" s="18" t="s">
        <v>173</v>
      </c>
      <c r="D42" s="13">
        <v>4100</v>
      </c>
      <c r="F42" s="13">
        <v>1.6</v>
      </c>
    </row>
    <row r="43" spans="1:6">
      <c r="A43" s="17"/>
      <c r="B43" s="18" t="s">
        <v>3</v>
      </c>
      <c r="C43" s="18" t="s">
        <v>168</v>
      </c>
      <c r="D43" s="13">
        <v>4200</v>
      </c>
      <c r="F43" s="13">
        <v>0.7</v>
      </c>
    </row>
    <row r="44" spans="1:6">
      <c r="A44" s="17"/>
      <c r="B44" s="18" t="s">
        <v>31</v>
      </c>
      <c r="C44" s="18" t="s">
        <v>208</v>
      </c>
      <c r="D44" s="13">
        <v>6300</v>
      </c>
      <c r="F44" s="13">
        <v>11.2</v>
      </c>
    </row>
    <row r="45" spans="1:6">
      <c r="A45" s="17"/>
      <c r="B45" s="18" t="s">
        <v>31</v>
      </c>
      <c r="C45" s="18" t="s">
        <v>42</v>
      </c>
      <c r="D45" s="13">
        <v>7100</v>
      </c>
      <c r="F45" s="13">
        <v>12.1</v>
      </c>
    </row>
    <row r="46" spans="1:6">
      <c r="A46" s="17"/>
      <c r="B46" s="18" t="s">
        <v>31</v>
      </c>
      <c r="C46" s="18" t="s">
        <v>206</v>
      </c>
      <c r="D46" s="13">
        <v>6600</v>
      </c>
      <c r="F46" s="13">
        <v>11.2</v>
      </c>
    </row>
    <row r="47" spans="1:6">
      <c r="A47" s="17"/>
      <c r="B47" s="18" t="s">
        <v>3</v>
      </c>
      <c r="C47" s="18" t="s">
        <v>86</v>
      </c>
      <c r="D47" s="13">
        <v>10300</v>
      </c>
      <c r="F47" s="13">
        <v>20.7</v>
      </c>
    </row>
    <row r="48" spans="1:6">
      <c r="A48" s="17"/>
      <c r="B48" s="18" t="s">
        <v>3</v>
      </c>
      <c r="C48" s="18" t="s">
        <v>136</v>
      </c>
      <c r="D48" s="13">
        <v>5500</v>
      </c>
      <c r="F48" s="13">
        <v>6.6</v>
      </c>
    </row>
    <row r="49" spans="1:6">
      <c r="A49" s="17"/>
      <c r="B49" s="18" t="s">
        <v>45</v>
      </c>
      <c r="C49" s="18" t="s">
        <v>10</v>
      </c>
      <c r="D49" s="13">
        <v>4200</v>
      </c>
      <c r="F49" s="13">
        <v>5.9</v>
      </c>
    </row>
    <row r="50" spans="1:6">
      <c r="A50" s="17"/>
      <c r="B50" s="18" t="s">
        <v>45</v>
      </c>
      <c r="C50" s="18" t="s">
        <v>70</v>
      </c>
      <c r="D50" s="13">
        <v>3800</v>
      </c>
      <c r="F50" s="13">
        <v>6.4</v>
      </c>
    </row>
    <row r="51" spans="1:6">
      <c r="A51" s="17"/>
      <c r="B51" s="18" t="s">
        <v>36</v>
      </c>
      <c r="C51" s="18" t="s">
        <v>185</v>
      </c>
      <c r="D51" s="13">
        <v>4600</v>
      </c>
      <c r="F51" s="13">
        <v>2.8</v>
      </c>
    </row>
    <row r="52" spans="1:6">
      <c r="A52" s="17"/>
      <c r="B52" s="18" t="s">
        <v>36</v>
      </c>
      <c r="C52" s="18" t="s">
        <v>101</v>
      </c>
      <c r="D52" s="13">
        <v>6100</v>
      </c>
      <c r="F52" s="13">
        <v>7</v>
      </c>
    </row>
    <row r="53" spans="1:6">
      <c r="A53" s="17"/>
      <c r="B53" s="18" t="s">
        <v>36</v>
      </c>
      <c r="C53" s="18" t="s">
        <v>198</v>
      </c>
      <c r="D53" s="13">
        <v>4300</v>
      </c>
      <c r="F53" s="13">
        <v>1.6</v>
      </c>
    </row>
    <row r="54" spans="1:6">
      <c r="A54" s="17"/>
      <c r="B54" s="18" t="s">
        <v>31</v>
      </c>
      <c r="C54" s="18" t="s">
        <v>92</v>
      </c>
      <c r="D54" s="13">
        <v>8700</v>
      </c>
      <c r="F54" s="13">
        <v>15.4</v>
      </c>
    </row>
    <row r="55" spans="1:6">
      <c r="A55" s="17"/>
      <c r="B55" s="18" t="s">
        <v>3</v>
      </c>
      <c r="C55" s="18" t="s">
        <v>155</v>
      </c>
      <c r="D55" s="13">
        <v>4500</v>
      </c>
      <c r="F55" s="13">
        <v>2</v>
      </c>
    </row>
    <row r="56" spans="1:6">
      <c r="A56" s="17"/>
      <c r="B56" s="18" t="s">
        <v>3</v>
      </c>
      <c r="C56" s="18" t="s">
        <v>148</v>
      </c>
      <c r="D56" s="13">
        <v>4800</v>
      </c>
      <c r="F56" s="13">
        <v>0.8</v>
      </c>
    </row>
    <row r="57" spans="1:6">
      <c r="A57" s="17"/>
      <c r="B57" s="18" t="s">
        <v>3</v>
      </c>
      <c r="C57" s="18" t="s">
        <v>146</v>
      </c>
      <c r="D57" s="13">
        <v>4900</v>
      </c>
      <c r="F57" s="13">
        <v>5.2</v>
      </c>
    </row>
    <row r="58" spans="1:6">
      <c r="A58" s="17"/>
      <c r="B58" s="18" t="s">
        <v>31</v>
      </c>
      <c r="C58" s="18" t="s">
        <v>210</v>
      </c>
      <c r="D58" s="13">
        <v>6200</v>
      </c>
      <c r="F58" s="13">
        <v>7.8</v>
      </c>
    </row>
    <row r="59" spans="1:6">
      <c r="A59" s="17"/>
      <c r="B59" s="18" t="s">
        <v>36</v>
      </c>
      <c r="C59" s="18" t="s">
        <v>39</v>
      </c>
      <c r="D59" s="13">
        <v>6200</v>
      </c>
      <c r="F59" s="13">
        <v>7.6</v>
      </c>
    </row>
    <row r="60" spans="1:6">
      <c r="A60" s="17"/>
      <c r="B60" s="18" t="s">
        <v>36</v>
      </c>
      <c r="C60" s="18" t="s">
        <v>112</v>
      </c>
      <c r="D60" s="13">
        <v>5200</v>
      </c>
      <c r="F60" s="13">
        <v>6.7</v>
      </c>
    </row>
    <row r="61" spans="1:6">
      <c r="A61" s="17"/>
      <c r="B61" s="18" t="s">
        <v>3</v>
      </c>
      <c r="C61" s="18" t="s">
        <v>140</v>
      </c>
      <c r="D61" s="13">
        <v>5300</v>
      </c>
      <c r="F61" s="13">
        <v>5.6</v>
      </c>
    </row>
    <row r="62" spans="1:6">
      <c r="A62" s="17"/>
      <c r="B62" s="18" t="s">
        <v>3</v>
      </c>
      <c r="C62" s="18" t="s">
        <v>128</v>
      </c>
      <c r="D62" s="13">
        <v>5900</v>
      </c>
      <c r="F62" s="13">
        <v>11.7</v>
      </c>
    </row>
    <row r="63" spans="1:6">
      <c r="A63" s="17"/>
      <c r="B63" s="18" t="s">
        <v>3</v>
      </c>
      <c r="C63" s="18" t="s">
        <v>30</v>
      </c>
      <c r="D63" s="13">
        <v>7200</v>
      </c>
      <c r="F63" s="13">
        <v>13.6</v>
      </c>
    </row>
    <row r="64" spans="1:6">
      <c r="A64" s="17"/>
      <c r="B64" s="18" t="s">
        <v>31</v>
      </c>
      <c r="C64" s="18" t="s">
        <v>216</v>
      </c>
      <c r="D64" s="13">
        <v>5800</v>
      </c>
      <c r="F64" s="13">
        <v>6.7</v>
      </c>
    </row>
    <row r="65" spans="1:6">
      <c r="A65" s="17"/>
      <c r="B65" s="18" t="s">
        <v>31</v>
      </c>
      <c r="C65" s="18" t="s">
        <v>93</v>
      </c>
      <c r="D65" s="13">
        <v>8300</v>
      </c>
      <c r="F65" s="13">
        <v>14.1</v>
      </c>
    </row>
    <row r="66" spans="1:6">
      <c r="A66" s="17"/>
      <c r="B66" s="18" t="s">
        <v>3</v>
      </c>
      <c r="C66" s="18" t="s">
        <v>28</v>
      </c>
      <c r="D66" s="13">
        <v>8100</v>
      </c>
      <c r="F66" s="13">
        <v>16</v>
      </c>
    </row>
    <row r="67" spans="1:6">
      <c r="A67" s="17"/>
      <c r="B67" s="18" t="s">
        <v>36</v>
      </c>
      <c r="C67" s="18" t="s">
        <v>115</v>
      </c>
      <c r="D67" s="13">
        <v>5000</v>
      </c>
      <c r="F67" s="13">
        <v>6.6</v>
      </c>
    </row>
    <row r="68" spans="1:6">
      <c r="A68" s="17"/>
      <c r="B68" s="18" t="s">
        <v>31</v>
      </c>
      <c r="C68" s="18" t="s">
        <v>100</v>
      </c>
      <c r="D68" s="13">
        <v>7200</v>
      </c>
      <c r="F68" s="13">
        <v>11.5</v>
      </c>
    </row>
    <row r="69" spans="1:6">
      <c r="A69" s="17"/>
      <c r="B69" s="18" t="s">
        <v>31</v>
      </c>
      <c r="C69" s="18" t="s">
        <v>245</v>
      </c>
      <c r="D69" s="13">
        <v>4700</v>
      </c>
      <c r="E69" s="18" t="s">
        <v>75</v>
      </c>
      <c r="F69" s="13">
        <v>3.8</v>
      </c>
    </row>
    <row r="70" spans="1:6">
      <c r="A70" s="17"/>
      <c r="B70" s="18" t="s">
        <v>22</v>
      </c>
      <c r="C70" s="18" t="s">
        <v>81</v>
      </c>
      <c r="D70" s="13">
        <v>6600</v>
      </c>
      <c r="F70" s="13">
        <v>15.6</v>
      </c>
    </row>
    <row r="71" spans="1:6">
      <c r="A71" s="17"/>
      <c r="B71" s="18" t="s">
        <v>3</v>
      </c>
      <c r="C71" s="18" t="s">
        <v>167</v>
      </c>
      <c r="D71" s="13">
        <v>4200</v>
      </c>
      <c r="F71" s="13">
        <v>1.3</v>
      </c>
    </row>
    <row r="72" spans="1:6">
      <c r="A72" s="17"/>
      <c r="B72" s="18" t="s">
        <v>22</v>
      </c>
      <c r="C72" s="18" t="s">
        <v>74</v>
      </c>
      <c r="D72" s="13">
        <v>7000</v>
      </c>
      <c r="E72" s="18" t="s">
        <v>75</v>
      </c>
      <c r="F72" s="13">
        <v>16.2</v>
      </c>
    </row>
    <row r="73" spans="1:6">
      <c r="A73" s="17"/>
      <c r="B73" s="18" t="s">
        <v>22</v>
      </c>
      <c r="C73" s="18" t="s">
        <v>76</v>
      </c>
      <c r="D73" s="13">
        <v>6800</v>
      </c>
      <c r="F73" s="13">
        <v>14.8</v>
      </c>
    </row>
    <row r="74" spans="1:6">
      <c r="A74" s="17"/>
      <c r="B74" s="18" t="s">
        <v>45</v>
      </c>
      <c r="C74" s="18" t="s">
        <v>20</v>
      </c>
      <c r="D74" s="13">
        <v>4400</v>
      </c>
      <c r="F74" s="13">
        <v>6.8</v>
      </c>
    </row>
    <row r="75" spans="1:6">
      <c r="A75" s="17"/>
      <c r="B75" s="18" t="s">
        <v>31</v>
      </c>
      <c r="C75" s="18" t="s">
        <v>231</v>
      </c>
      <c r="D75" s="13">
        <v>5200</v>
      </c>
      <c r="F75" s="13">
        <v>6.6</v>
      </c>
    </row>
    <row r="76" spans="1:6">
      <c r="A76" s="17"/>
      <c r="B76" s="18" t="s">
        <v>31</v>
      </c>
      <c r="C76" s="18" t="s">
        <v>247</v>
      </c>
      <c r="D76" s="13">
        <v>4700</v>
      </c>
      <c r="F76" s="13">
        <v>2.4</v>
      </c>
    </row>
    <row r="77" spans="1:6">
      <c r="A77" s="17"/>
      <c r="B77" s="18" t="s">
        <v>3</v>
      </c>
      <c r="C77" s="18" t="s">
        <v>152</v>
      </c>
      <c r="D77" s="13">
        <v>4700</v>
      </c>
      <c r="F77" s="13">
        <v>4.5</v>
      </c>
    </row>
    <row r="78" spans="1:6">
      <c r="A78" s="17"/>
      <c r="B78" s="18" t="s">
        <v>31</v>
      </c>
      <c r="C78" s="18" t="s">
        <v>40</v>
      </c>
      <c r="D78" s="13">
        <v>7300</v>
      </c>
      <c r="F78" s="13">
        <v>11.9</v>
      </c>
    </row>
    <row r="79" spans="1:6">
      <c r="A79" s="17"/>
      <c r="B79" s="18" t="s">
        <v>31</v>
      </c>
      <c r="C79" s="18" t="s">
        <v>213</v>
      </c>
      <c r="D79" s="13">
        <v>6000</v>
      </c>
      <c r="F79" s="13">
        <v>7.2</v>
      </c>
    </row>
    <row r="80" spans="1:6">
      <c r="A80" s="17"/>
      <c r="B80" s="18" t="s">
        <v>31</v>
      </c>
      <c r="C80" s="18" t="s">
        <v>94</v>
      </c>
      <c r="D80" s="13">
        <v>8000</v>
      </c>
      <c r="F80" s="13">
        <v>12.5</v>
      </c>
    </row>
    <row r="81" spans="1:6">
      <c r="A81" s="17"/>
      <c r="B81" s="18" t="s">
        <v>31</v>
      </c>
      <c r="C81" s="18" t="s">
        <v>98</v>
      </c>
      <c r="D81" s="13">
        <v>7500</v>
      </c>
      <c r="F81" s="13">
        <v>12.2</v>
      </c>
    </row>
    <row r="82" spans="1:6">
      <c r="A82" s="17"/>
      <c r="B82" s="18" t="s">
        <v>31</v>
      </c>
      <c r="C82" s="18" t="s">
        <v>230</v>
      </c>
      <c r="D82" s="13">
        <v>5200</v>
      </c>
      <c r="F82" s="13">
        <v>3.6</v>
      </c>
    </row>
    <row r="83" spans="1:6">
      <c r="A83" s="17"/>
      <c r="B83" s="18" t="s">
        <v>3</v>
      </c>
      <c r="C83" s="18" t="s">
        <v>127</v>
      </c>
      <c r="D83" s="13">
        <v>6000</v>
      </c>
      <c r="F83" s="13">
        <v>7.8</v>
      </c>
    </row>
    <row r="84" spans="1:6">
      <c r="A84" s="17"/>
      <c r="B84" s="18" t="s">
        <v>31</v>
      </c>
      <c r="C84" s="18" t="s">
        <v>207</v>
      </c>
      <c r="D84" s="13">
        <v>6400</v>
      </c>
      <c r="F84" s="13">
        <v>9.4</v>
      </c>
    </row>
    <row r="85" spans="1:6">
      <c r="A85" s="17"/>
      <c r="B85" s="18" t="s">
        <v>36</v>
      </c>
      <c r="C85" s="18" t="s">
        <v>180</v>
      </c>
      <c r="D85" s="13">
        <v>4800</v>
      </c>
      <c r="F85" s="13">
        <v>5.3</v>
      </c>
    </row>
    <row r="86" spans="1:6">
      <c r="A86" s="17"/>
      <c r="B86" s="18" t="s">
        <v>31</v>
      </c>
      <c r="C86" s="18" t="s">
        <v>257</v>
      </c>
      <c r="D86" s="13">
        <v>4500</v>
      </c>
      <c r="F86" s="13">
        <v>3.6</v>
      </c>
    </row>
    <row r="87" spans="1:6">
      <c r="A87" s="17"/>
      <c r="B87" s="18" t="s">
        <v>31</v>
      </c>
      <c r="C87" s="18" t="s">
        <v>220</v>
      </c>
      <c r="D87" s="13">
        <v>5600</v>
      </c>
      <c r="F87" s="13">
        <v>8.4</v>
      </c>
    </row>
    <row r="88" spans="1:6">
      <c r="A88" s="17"/>
      <c r="B88" s="18" t="s">
        <v>3</v>
      </c>
      <c r="C88" s="18" t="s">
        <v>130</v>
      </c>
      <c r="D88" s="13">
        <v>5900</v>
      </c>
      <c r="F88" s="13">
        <v>9.1</v>
      </c>
    </row>
    <row r="89" spans="1:6">
      <c r="A89" s="17"/>
      <c r="B89" s="18" t="s">
        <v>31</v>
      </c>
      <c r="C89" s="18" t="s">
        <v>252</v>
      </c>
      <c r="D89" s="13">
        <v>4600</v>
      </c>
      <c r="E89" s="18" t="s">
        <v>75</v>
      </c>
      <c r="F89" s="13">
        <v>2.8</v>
      </c>
    </row>
    <row r="90" spans="1:6">
      <c r="A90" s="17"/>
      <c r="B90" s="18" t="s">
        <v>36</v>
      </c>
      <c r="C90" s="18" t="s">
        <v>104</v>
      </c>
      <c r="D90" s="13">
        <v>5500</v>
      </c>
      <c r="F90" s="13">
        <v>8.1999999999999993</v>
      </c>
    </row>
    <row r="91" spans="1:6">
      <c r="A91" s="17"/>
      <c r="B91" s="18" t="s">
        <v>3</v>
      </c>
      <c r="C91" s="18" t="s">
        <v>139</v>
      </c>
      <c r="D91" s="13">
        <v>5400</v>
      </c>
      <c r="F91" s="13">
        <v>7.2</v>
      </c>
    </row>
    <row r="92" spans="1:6">
      <c r="A92" s="17"/>
      <c r="B92" s="18" t="s">
        <v>36</v>
      </c>
      <c r="C92" s="18" t="s">
        <v>183</v>
      </c>
      <c r="D92" s="13">
        <v>4600</v>
      </c>
      <c r="F92" s="13">
        <v>3</v>
      </c>
    </row>
    <row r="93" spans="1:6">
      <c r="A93" s="17"/>
      <c r="B93" s="18" t="s">
        <v>22</v>
      </c>
      <c r="C93" s="18" t="s">
        <v>84</v>
      </c>
      <c r="D93" s="13">
        <v>6500</v>
      </c>
      <c r="F93" s="13">
        <v>16</v>
      </c>
    </row>
    <row r="94" spans="1:6">
      <c r="A94" s="17"/>
      <c r="B94" s="18" t="s">
        <v>31</v>
      </c>
      <c r="C94" s="18" t="s">
        <v>41</v>
      </c>
      <c r="D94" s="13">
        <v>6900</v>
      </c>
      <c r="F94" s="13">
        <v>11.1</v>
      </c>
    </row>
    <row r="95" spans="1:6">
      <c r="A95" s="17"/>
      <c r="B95" s="18" t="s">
        <v>22</v>
      </c>
      <c r="C95" s="18" t="s">
        <v>77</v>
      </c>
      <c r="D95" s="13">
        <v>6800</v>
      </c>
      <c r="E95" s="18" t="s">
        <v>75</v>
      </c>
      <c r="F95" s="13">
        <v>17</v>
      </c>
    </row>
    <row r="96" spans="1:6">
      <c r="B96" s="18" t="s">
        <v>36</v>
      </c>
      <c r="C96" s="18" t="s">
        <v>102</v>
      </c>
      <c r="D96" s="13">
        <v>5900</v>
      </c>
      <c r="F96" s="13">
        <v>8.1999999999999993</v>
      </c>
    </row>
    <row r="97" spans="2:6">
      <c r="B97" s="18" t="s">
        <v>36</v>
      </c>
      <c r="C97" s="18" t="s">
        <v>197</v>
      </c>
      <c r="D97" s="13">
        <v>4400</v>
      </c>
      <c r="F97" s="13">
        <v>1.5</v>
      </c>
    </row>
    <row r="98" spans="2:6">
      <c r="B98" s="18" t="s">
        <v>36</v>
      </c>
      <c r="C98" s="18" t="s">
        <v>178</v>
      </c>
      <c r="D98" s="13">
        <v>4900</v>
      </c>
      <c r="F98" s="13">
        <v>5.5</v>
      </c>
    </row>
    <row r="99" spans="2:6">
      <c r="B99" s="18" t="s">
        <v>45</v>
      </c>
      <c r="C99" s="18" t="s">
        <v>14</v>
      </c>
      <c r="D99" s="13">
        <v>3700</v>
      </c>
      <c r="F99" s="13">
        <v>6.2</v>
      </c>
    </row>
    <row r="100" spans="2:6">
      <c r="B100" s="18" t="s">
        <v>36</v>
      </c>
      <c r="C100" s="18" t="s">
        <v>103</v>
      </c>
      <c r="D100" s="13">
        <v>5600</v>
      </c>
      <c r="F100" s="13">
        <v>6</v>
      </c>
    </row>
    <row r="101" spans="2:6">
      <c r="B101" s="18" t="s">
        <v>31</v>
      </c>
      <c r="C101" s="18" t="s">
        <v>229</v>
      </c>
      <c r="D101" s="13">
        <v>5300</v>
      </c>
      <c r="F101" s="13">
        <v>4.0999999999999996</v>
      </c>
    </row>
    <row r="102" spans="2:6">
      <c r="B102" s="18" t="s">
        <v>45</v>
      </c>
      <c r="C102" s="18" t="s">
        <v>18</v>
      </c>
      <c r="D102" s="13">
        <v>3700</v>
      </c>
      <c r="F102" s="13">
        <v>5.6</v>
      </c>
    </row>
    <row r="103" spans="2:6">
      <c r="B103" s="18" t="s">
        <v>36</v>
      </c>
      <c r="C103" s="18" t="s">
        <v>187</v>
      </c>
      <c r="D103" s="13">
        <v>4500</v>
      </c>
      <c r="F103" s="13">
        <v>3.7</v>
      </c>
    </row>
    <row r="104" spans="2:6">
      <c r="B104" s="18" t="s">
        <v>31</v>
      </c>
      <c r="C104" s="18" t="s">
        <v>264</v>
      </c>
      <c r="D104" s="13">
        <v>4300</v>
      </c>
      <c r="F104" s="13">
        <v>1.6</v>
      </c>
    </row>
    <row r="105" spans="2:6">
      <c r="B105" s="18" t="s">
        <v>45</v>
      </c>
      <c r="C105" s="18" t="s">
        <v>65</v>
      </c>
      <c r="D105" s="13">
        <v>4500</v>
      </c>
      <c r="F105" s="13">
        <v>6.5</v>
      </c>
    </row>
    <row r="106" spans="2:6">
      <c r="B106" s="18" t="s">
        <v>31</v>
      </c>
      <c r="C106" s="18" t="s">
        <v>217</v>
      </c>
      <c r="D106" s="13">
        <v>5700</v>
      </c>
      <c r="F106" s="13">
        <v>8.1</v>
      </c>
    </row>
    <row r="107" spans="2:6">
      <c r="B107" s="18" t="s">
        <v>3</v>
      </c>
      <c r="C107" s="18" t="s">
        <v>19</v>
      </c>
      <c r="D107" s="13">
        <v>5800</v>
      </c>
      <c r="E107" s="18" t="s">
        <v>75</v>
      </c>
      <c r="F107" s="13">
        <v>5.8</v>
      </c>
    </row>
    <row r="108" spans="2:6">
      <c r="B108" s="18" t="s">
        <v>31</v>
      </c>
      <c r="C108" s="18" t="s">
        <v>262</v>
      </c>
      <c r="D108" s="13">
        <v>4400</v>
      </c>
      <c r="F108" s="13">
        <v>1.2</v>
      </c>
    </row>
    <row r="109" spans="2:6">
      <c r="B109" s="18" t="s">
        <v>3</v>
      </c>
      <c r="C109" s="18" t="s">
        <v>175</v>
      </c>
      <c r="D109" s="13">
        <v>4000</v>
      </c>
      <c r="F109" s="13">
        <v>0.4</v>
      </c>
    </row>
    <row r="110" spans="2:6">
      <c r="B110" s="18" t="s">
        <v>31</v>
      </c>
      <c r="C110" s="18" t="s">
        <v>201</v>
      </c>
      <c r="D110" s="13">
        <v>6700</v>
      </c>
      <c r="F110" s="13">
        <v>10</v>
      </c>
    </row>
    <row r="111" spans="2:6">
      <c r="B111" s="18" t="s">
        <v>22</v>
      </c>
      <c r="C111" s="18" t="s">
        <v>24</v>
      </c>
      <c r="D111" s="13">
        <v>8700</v>
      </c>
      <c r="F111" s="13">
        <v>22.2</v>
      </c>
    </row>
    <row r="112" spans="2:6">
      <c r="B112" s="18" t="s">
        <v>31</v>
      </c>
      <c r="C112" s="18" t="s">
        <v>255</v>
      </c>
      <c r="D112" s="13">
        <v>4500</v>
      </c>
      <c r="F112" s="13">
        <v>1.7</v>
      </c>
    </row>
    <row r="113" spans="2:6">
      <c r="B113" s="18" t="s">
        <v>31</v>
      </c>
      <c r="C113" s="18" t="s">
        <v>33</v>
      </c>
      <c r="D113" s="13">
        <v>9300</v>
      </c>
      <c r="F113" s="13">
        <v>16.7</v>
      </c>
    </row>
    <row r="114" spans="2:6">
      <c r="B114" s="18" t="s">
        <v>22</v>
      </c>
      <c r="C114" s="18" t="s">
        <v>120</v>
      </c>
      <c r="D114" s="13">
        <v>6200</v>
      </c>
      <c r="F114" s="13">
        <v>6.9</v>
      </c>
    </row>
    <row r="115" spans="2:6">
      <c r="B115" s="18" t="s">
        <v>31</v>
      </c>
      <c r="C115" s="18" t="s">
        <v>221</v>
      </c>
      <c r="D115" s="13">
        <v>5500</v>
      </c>
      <c r="F115" s="13">
        <v>4.9000000000000004</v>
      </c>
    </row>
    <row r="116" spans="2:6">
      <c r="B116" s="18" t="s">
        <v>3</v>
      </c>
      <c r="C116" s="18" t="s">
        <v>172</v>
      </c>
      <c r="D116" s="13">
        <v>4100</v>
      </c>
      <c r="F116" s="13">
        <v>0.9</v>
      </c>
    </row>
    <row r="117" spans="2:6">
      <c r="B117" s="18" t="s">
        <v>22</v>
      </c>
      <c r="C117" s="18" t="s">
        <v>56</v>
      </c>
      <c r="D117" s="13">
        <v>7800</v>
      </c>
      <c r="F117" s="13">
        <v>17.399999999999999</v>
      </c>
    </row>
    <row r="118" spans="2:6">
      <c r="B118" s="18" t="s">
        <v>31</v>
      </c>
      <c r="C118" s="18" t="s">
        <v>234</v>
      </c>
      <c r="D118" s="13">
        <v>5100</v>
      </c>
      <c r="F118" s="13">
        <v>2.8</v>
      </c>
    </row>
    <row r="119" spans="2:6">
      <c r="B119" s="18" t="s">
        <v>31</v>
      </c>
      <c r="C119" s="18" t="s">
        <v>243</v>
      </c>
      <c r="D119" s="13">
        <v>4800</v>
      </c>
      <c r="F119" s="13">
        <v>7</v>
      </c>
    </row>
    <row r="120" spans="2:6">
      <c r="B120" s="18" t="s">
        <v>31</v>
      </c>
      <c r="C120" s="18" t="s">
        <v>43</v>
      </c>
      <c r="D120" s="13">
        <v>6800</v>
      </c>
      <c r="F120" s="13">
        <v>12.4</v>
      </c>
    </row>
    <row r="121" spans="2:6">
      <c r="B121" s="18" t="s">
        <v>3</v>
      </c>
      <c r="C121" s="18" t="s">
        <v>124</v>
      </c>
      <c r="D121" s="13">
        <v>6400</v>
      </c>
      <c r="F121" s="13">
        <v>11.6</v>
      </c>
    </row>
    <row r="122" spans="2:6">
      <c r="B122" s="18" t="s">
        <v>22</v>
      </c>
      <c r="C122" s="18" t="s">
        <v>78</v>
      </c>
      <c r="D122" s="13">
        <v>6700</v>
      </c>
      <c r="F122" s="13">
        <v>15.1</v>
      </c>
    </row>
    <row r="123" spans="2:6">
      <c r="B123" s="18" t="s">
        <v>36</v>
      </c>
      <c r="C123" s="18" t="s">
        <v>199</v>
      </c>
      <c r="D123" s="13">
        <v>4200</v>
      </c>
      <c r="F123" s="13">
        <v>2.2999999999999998</v>
      </c>
    </row>
    <row r="124" spans="2:6">
      <c r="B124" s="18" t="s">
        <v>22</v>
      </c>
      <c r="C124" s="18" t="s">
        <v>46</v>
      </c>
      <c r="D124" s="13">
        <v>7500</v>
      </c>
      <c r="F124" s="13">
        <v>18.2</v>
      </c>
    </row>
    <row r="125" spans="2:6">
      <c r="B125" s="18" t="s">
        <v>3</v>
      </c>
      <c r="C125" s="18" t="s">
        <v>9</v>
      </c>
      <c r="D125" s="13">
        <v>7000</v>
      </c>
      <c r="F125" s="13">
        <v>13.6</v>
      </c>
    </row>
    <row r="126" spans="2:6">
      <c r="B126" s="18" t="s">
        <v>36</v>
      </c>
      <c r="C126" s="18" t="s">
        <v>192</v>
      </c>
      <c r="D126" s="13">
        <v>4400</v>
      </c>
      <c r="F126" s="13">
        <v>2.5</v>
      </c>
    </row>
    <row r="127" spans="2:6">
      <c r="B127" s="18" t="s">
        <v>31</v>
      </c>
      <c r="C127" s="18" t="s">
        <v>242</v>
      </c>
      <c r="D127" s="13">
        <v>4800</v>
      </c>
      <c r="F127" s="13">
        <v>3.4</v>
      </c>
    </row>
    <row r="128" spans="2:6">
      <c r="B128" s="18" t="s">
        <v>31</v>
      </c>
      <c r="C128" s="18" t="s">
        <v>240</v>
      </c>
      <c r="D128" s="13">
        <v>4900</v>
      </c>
      <c r="F128" s="13">
        <v>5.9</v>
      </c>
    </row>
    <row r="129" spans="2:6">
      <c r="B129" s="18" t="s">
        <v>3</v>
      </c>
      <c r="C129" s="18" t="s">
        <v>123</v>
      </c>
      <c r="D129" s="13">
        <v>6500</v>
      </c>
      <c r="F129" s="13">
        <v>12.2</v>
      </c>
    </row>
    <row r="130" spans="2:6">
      <c r="B130" s="18" t="s">
        <v>36</v>
      </c>
      <c r="C130" s="18" t="s">
        <v>114</v>
      </c>
      <c r="D130" s="13">
        <v>5100</v>
      </c>
      <c r="F130" s="13">
        <v>6.4</v>
      </c>
    </row>
    <row r="131" spans="2:6">
      <c r="B131" s="18" t="s">
        <v>31</v>
      </c>
      <c r="C131" s="18" t="s">
        <v>202</v>
      </c>
      <c r="D131" s="13">
        <v>6700</v>
      </c>
      <c r="F131" s="13">
        <v>10.9</v>
      </c>
    </row>
    <row r="132" spans="2:6">
      <c r="B132" s="18" t="s">
        <v>36</v>
      </c>
      <c r="C132" s="18" t="s">
        <v>200</v>
      </c>
      <c r="D132" s="13">
        <v>4200</v>
      </c>
      <c r="F132" s="13">
        <v>1.3</v>
      </c>
    </row>
    <row r="133" spans="2:6">
      <c r="B133" s="18" t="s">
        <v>3</v>
      </c>
      <c r="C133" s="18" t="s">
        <v>137</v>
      </c>
      <c r="D133" s="13">
        <v>5500</v>
      </c>
      <c r="F133" s="13">
        <v>4.3</v>
      </c>
    </row>
    <row r="134" spans="2:6">
      <c r="B134" s="18" t="s">
        <v>31</v>
      </c>
      <c r="C134" s="18" t="s">
        <v>219</v>
      </c>
      <c r="D134" s="13">
        <v>5600</v>
      </c>
      <c r="F134" s="13">
        <v>8.4</v>
      </c>
    </row>
    <row r="135" spans="2:6">
      <c r="B135" s="18" t="s">
        <v>3</v>
      </c>
      <c r="C135" s="18" t="s">
        <v>89</v>
      </c>
      <c r="D135" s="13">
        <v>8000</v>
      </c>
      <c r="F135" s="13">
        <v>15.5</v>
      </c>
    </row>
    <row r="136" spans="2:6">
      <c r="B136" s="18" t="s">
        <v>36</v>
      </c>
      <c r="C136" s="18" t="s">
        <v>188</v>
      </c>
      <c r="D136" s="13">
        <v>4500</v>
      </c>
      <c r="F136" s="13">
        <v>1.3</v>
      </c>
    </row>
    <row r="137" spans="2:6">
      <c r="B137" s="18" t="s">
        <v>31</v>
      </c>
      <c r="C137" s="18" t="s">
        <v>203</v>
      </c>
      <c r="D137" s="13">
        <v>6700</v>
      </c>
      <c r="F137" s="13">
        <v>8</v>
      </c>
    </row>
    <row r="138" spans="2:6">
      <c r="B138" s="18" t="s">
        <v>22</v>
      </c>
      <c r="C138" s="18" t="s">
        <v>80</v>
      </c>
      <c r="D138" s="13">
        <v>6700</v>
      </c>
      <c r="F138" s="13">
        <v>16.100000000000001</v>
      </c>
    </row>
    <row r="139" spans="2:6">
      <c r="B139" s="18" t="s">
        <v>31</v>
      </c>
      <c r="C139" s="18" t="s">
        <v>227</v>
      </c>
      <c r="D139" s="13">
        <v>5300</v>
      </c>
      <c r="E139" s="18" t="s">
        <v>75</v>
      </c>
      <c r="F139" s="13">
        <v>4.0999999999999996</v>
      </c>
    </row>
    <row r="140" spans="2:6">
      <c r="B140" s="18" t="s">
        <v>22</v>
      </c>
      <c r="C140" s="18" t="s">
        <v>61</v>
      </c>
      <c r="D140" s="13">
        <v>8500</v>
      </c>
      <c r="F140" s="13">
        <v>19.7</v>
      </c>
    </row>
    <row r="141" spans="2:6">
      <c r="B141" s="18" t="s">
        <v>31</v>
      </c>
      <c r="C141" s="18" t="s">
        <v>209</v>
      </c>
      <c r="D141" s="13">
        <v>6200</v>
      </c>
      <c r="F141" s="13">
        <v>8</v>
      </c>
    </row>
    <row r="142" spans="2:6">
      <c r="B142" s="18" t="s">
        <v>31</v>
      </c>
      <c r="C142" s="18" t="s">
        <v>237</v>
      </c>
      <c r="D142" s="13">
        <v>5100</v>
      </c>
      <c r="F142" s="13">
        <v>5.6</v>
      </c>
    </row>
    <row r="143" spans="2:6">
      <c r="B143" s="18" t="s">
        <v>3</v>
      </c>
      <c r="C143" s="18" t="s">
        <v>138</v>
      </c>
      <c r="D143" s="13">
        <v>5400</v>
      </c>
      <c r="F143" s="13">
        <v>4.3</v>
      </c>
    </row>
    <row r="144" spans="2:6">
      <c r="B144" s="18" t="s">
        <v>3</v>
      </c>
      <c r="C144" s="18" t="s">
        <v>134</v>
      </c>
      <c r="D144" s="13">
        <v>5600</v>
      </c>
      <c r="E144" s="18" t="s">
        <v>75</v>
      </c>
      <c r="F144" s="13">
        <v>1.7</v>
      </c>
    </row>
    <row r="145" spans="2:6">
      <c r="B145" s="18" t="s">
        <v>3</v>
      </c>
      <c r="C145" s="18" t="s">
        <v>151</v>
      </c>
      <c r="D145" s="13">
        <v>4700</v>
      </c>
      <c r="F145" s="13">
        <v>5.8</v>
      </c>
    </row>
    <row r="146" spans="2:6">
      <c r="B146" s="18" t="s">
        <v>31</v>
      </c>
      <c r="C146" s="18" t="s">
        <v>218</v>
      </c>
      <c r="D146" s="13">
        <v>5700</v>
      </c>
      <c r="F146" s="13">
        <v>6.7</v>
      </c>
    </row>
    <row r="147" spans="2:6">
      <c r="B147" s="18" t="s">
        <v>3</v>
      </c>
      <c r="C147" s="18" t="s">
        <v>144</v>
      </c>
      <c r="D147" s="13">
        <v>5000</v>
      </c>
      <c r="F147" s="13">
        <v>6.4</v>
      </c>
    </row>
    <row r="148" spans="2:6">
      <c r="B148" s="18" t="s">
        <v>3</v>
      </c>
      <c r="C148" s="18" t="s">
        <v>87</v>
      </c>
      <c r="D148" s="13">
        <v>8400</v>
      </c>
      <c r="F148" s="13">
        <v>15.7</v>
      </c>
    </row>
    <row r="149" spans="2:6">
      <c r="B149" s="18" t="s">
        <v>3</v>
      </c>
      <c r="C149" s="18" t="s">
        <v>158</v>
      </c>
      <c r="D149" s="13">
        <v>4500</v>
      </c>
      <c r="F149" s="13">
        <v>0.9</v>
      </c>
    </row>
    <row r="150" spans="2:6">
      <c r="B150" s="18" t="s">
        <v>31</v>
      </c>
      <c r="C150" s="18" t="s">
        <v>248</v>
      </c>
      <c r="D150" s="13">
        <v>4700</v>
      </c>
      <c r="F150" s="13">
        <v>1.9</v>
      </c>
    </row>
    <row r="151" spans="2:6">
      <c r="B151" s="18" t="s">
        <v>3</v>
      </c>
      <c r="C151" s="18" t="s">
        <v>159</v>
      </c>
      <c r="D151" s="13">
        <v>4500</v>
      </c>
      <c r="F151" s="13">
        <v>0.9</v>
      </c>
    </row>
    <row r="152" spans="2:6">
      <c r="B152" s="18" t="s">
        <v>22</v>
      </c>
      <c r="C152" s="18" t="s">
        <v>55</v>
      </c>
      <c r="D152" s="13">
        <v>8000</v>
      </c>
      <c r="F152" s="13">
        <v>19</v>
      </c>
    </row>
    <row r="153" spans="2:6">
      <c r="B153" s="18" t="s">
        <v>3</v>
      </c>
      <c r="C153" s="18" t="s">
        <v>174</v>
      </c>
      <c r="D153" s="13">
        <v>4100</v>
      </c>
      <c r="F153" s="13">
        <v>1.8</v>
      </c>
    </row>
    <row r="154" spans="2:6">
      <c r="B154" s="18" t="s">
        <v>36</v>
      </c>
      <c r="C154" s="18" t="s">
        <v>106</v>
      </c>
      <c r="D154" s="13">
        <v>5300</v>
      </c>
      <c r="F154" s="13">
        <v>6.9</v>
      </c>
    </row>
    <row r="155" spans="2:6">
      <c r="B155" s="18" t="s">
        <v>36</v>
      </c>
      <c r="C155" s="18" t="s">
        <v>184</v>
      </c>
      <c r="D155" s="13">
        <v>4600</v>
      </c>
      <c r="F155" s="13">
        <v>4.2</v>
      </c>
    </row>
    <row r="156" spans="2:6">
      <c r="B156" s="18" t="s">
        <v>3</v>
      </c>
      <c r="C156" s="18" t="s">
        <v>88</v>
      </c>
      <c r="D156" s="13">
        <v>8200</v>
      </c>
      <c r="F156" s="13">
        <v>14.7</v>
      </c>
    </row>
    <row r="157" spans="2:6">
      <c r="B157" s="18" t="s">
        <v>45</v>
      </c>
      <c r="C157" s="18" t="s">
        <v>26</v>
      </c>
      <c r="D157" s="13">
        <v>4100</v>
      </c>
      <c r="F157" s="13">
        <v>6</v>
      </c>
    </row>
    <row r="158" spans="2:6">
      <c r="B158" s="18" t="s">
        <v>31</v>
      </c>
      <c r="C158" s="18" t="s">
        <v>250</v>
      </c>
      <c r="D158" s="13">
        <v>4700</v>
      </c>
      <c r="F158" s="13">
        <v>3.8</v>
      </c>
    </row>
    <row r="159" spans="2:6">
      <c r="B159" s="18" t="s">
        <v>36</v>
      </c>
      <c r="C159" s="18" t="s">
        <v>105</v>
      </c>
      <c r="D159" s="13">
        <v>5400</v>
      </c>
      <c r="F159" s="13">
        <v>7.1</v>
      </c>
    </row>
    <row r="160" spans="2:6">
      <c r="B160" s="18" t="s">
        <v>45</v>
      </c>
      <c r="C160" s="18" t="s">
        <v>79</v>
      </c>
      <c r="D160" s="13">
        <v>4300</v>
      </c>
      <c r="F160" s="13">
        <v>6.2</v>
      </c>
    </row>
    <row r="161" spans="2:6">
      <c r="B161" s="18" t="s">
        <v>22</v>
      </c>
      <c r="C161" s="18" t="s">
        <v>85</v>
      </c>
      <c r="D161" s="13">
        <v>6400</v>
      </c>
      <c r="F161" s="13">
        <v>14.1</v>
      </c>
    </row>
    <row r="162" spans="2:6">
      <c r="B162" s="18" t="s">
        <v>31</v>
      </c>
      <c r="C162" s="18" t="s">
        <v>238</v>
      </c>
      <c r="D162" s="13">
        <v>5000</v>
      </c>
      <c r="F162" s="13">
        <v>4.3</v>
      </c>
    </row>
    <row r="163" spans="2:6">
      <c r="B163" s="18" t="s">
        <v>31</v>
      </c>
      <c r="C163" s="18" t="s">
        <v>17</v>
      </c>
      <c r="D163" s="13">
        <v>7000</v>
      </c>
      <c r="F163" s="13">
        <v>11.2</v>
      </c>
    </row>
    <row r="164" spans="2:6">
      <c r="B164" s="18" t="s">
        <v>31</v>
      </c>
      <c r="C164" s="18" t="s">
        <v>249</v>
      </c>
      <c r="D164" s="13">
        <v>4700</v>
      </c>
      <c r="F164" s="13">
        <v>3.1</v>
      </c>
    </row>
    <row r="165" spans="2:6">
      <c r="B165" s="18" t="s">
        <v>22</v>
      </c>
      <c r="C165" s="18" t="s">
        <v>67</v>
      </c>
      <c r="D165" s="13">
        <v>7300</v>
      </c>
      <c r="F165" s="13">
        <v>17.8</v>
      </c>
    </row>
    <row r="166" spans="2:6">
      <c r="B166" s="18" t="s">
        <v>45</v>
      </c>
      <c r="C166" s="18" t="s">
        <v>5</v>
      </c>
      <c r="D166" s="13">
        <v>4800</v>
      </c>
      <c r="F166" s="13">
        <v>7.2</v>
      </c>
    </row>
    <row r="167" spans="2:6">
      <c r="B167" s="18" t="s">
        <v>3</v>
      </c>
      <c r="C167" s="18" t="s">
        <v>150</v>
      </c>
      <c r="D167" s="13">
        <v>4700</v>
      </c>
      <c r="F167" s="13">
        <v>4</v>
      </c>
    </row>
    <row r="168" spans="2:6">
      <c r="B168" s="18" t="s">
        <v>36</v>
      </c>
      <c r="C168" s="18" t="s">
        <v>189</v>
      </c>
      <c r="D168" s="13">
        <v>4500</v>
      </c>
      <c r="F168" s="13">
        <v>2.9</v>
      </c>
    </row>
    <row r="169" spans="2:6">
      <c r="B169" s="18" t="s">
        <v>31</v>
      </c>
      <c r="C169" s="18" t="s">
        <v>44</v>
      </c>
      <c r="D169" s="13">
        <v>6500</v>
      </c>
      <c r="F169" s="13">
        <v>11.6</v>
      </c>
    </row>
    <row r="170" spans="2:6">
      <c r="B170" s="18" t="s">
        <v>31</v>
      </c>
      <c r="C170" s="18" t="s">
        <v>214</v>
      </c>
      <c r="D170" s="13">
        <v>5900</v>
      </c>
      <c r="F170" s="13">
        <v>9.3000000000000007</v>
      </c>
    </row>
    <row r="171" spans="2:6">
      <c r="B171" s="18" t="s">
        <v>31</v>
      </c>
      <c r="C171" s="18" t="s">
        <v>228</v>
      </c>
      <c r="D171" s="13">
        <v>5300</v>
      </c>
      <c r="F171" s="13">
        <v>7.7</v>
      </c>
    </row>
    <row r="172" spans="2:6">
      <c r="B172" s="18" t="s">
        <v>3</v>
      </c>
      <c r="C172" s="18" t="s">
        <v>170</v>
      </c>
      <c r="D172" s="13">
        <v>4200</v>
      </c>
      <c r="F172" s="13">
        <v>1.3</v>
      </c>
    </row>
    <row r="173" spans="2:6">
      <c r="B173" s="18" t="s">
        <v>31</v>
      </c>
      <c r="C173" s="18" t="s">
        <v>97</v>
      </c>
      <c r="D173" s="13">
        <v>7600</v>
      </c>
      <c r="E173" s="18" t="s">
        <v>75</v>
      </c>
      <c r="F173" s="13">
        <v>11.4</v>
      </c>
    </row>
    <row r="174" spans="2:6">
      <c r="B174" s="18" t="s">
        <v>36</v>
      </c>
      <c r="C174" s="18" t="s">
        <v>182</v>
      </c>
      <c r="D174" s="13">
        <v>4700</v>
      </c>
      <c r="F174" s="13">
        <v>4.0999999999999996</v>
      </c>
    </row>
    <row r="175" spans="2:6">
      <c r="B175" s="18" t="s">
        <v>3</v>
      </c>
      <c r="C175" s="18" t="s">
        <v>129</v>
      </c>
      <c r="D175" s="13">
        <v>5900</v>
      </c>
      <c r="F175" s="13">
        <v>10.5</v>
      </c>
    </row>
    <row r="176" spans="2:6">
      <c r="B176" s="18" t="s">
        <v>45</v>
      </c>
      <c r="C176" s="18" t="s">
        <v>16</v>
      </c>
      <c r="D176" s="13">
        <v>4000</v>
      </c>
      <c r="F176" s="13">
        <v>6.2</v>
      </c>
    </row>
    <row r="177" spans="2:6">
      <c r="B177" s="18" t="s">
        <v>36</v>
      </c>
      <c r="C177" s="18" t="s">
        <v>186</v>
      </c>
      <c r="D177" s="13">
        <v>4500</v>
      </c>
      <c r="E177" s="18" t="s">
        <v>75</v>
      </c>
      <c r="F177" s="13">
        <v>1.3</v>
      </c>
    </row>
    <row r="178" spans="2:6">
      <c r="B178" s="18" t="s">
        <v>45</v>
      </c>
      <c r="C178" s="18" t="s">
        <v>8</v>
      </c>
      <c r="D178" s="13">
        <v>3600</v>
      </c>
      <c r="F178" s="13">
        <v>6.4</v>
      </c>
    </row>
    <row r="179" spans="2:6">
      <c r="B179" s="18" t="s">
        <v>31</v>
      </c>
      <c r="C179" s="18" t="s">
        <v>13</v>
      </c>
      <c r="D179" s="13">
        <v>6800</v>
      </c>
      <c r="F179" s="13">
        <v>11.1</v>
      </c>
    </row>
    <row r="180" spans="2:6">
      <c r="B180" s="18" t="s">
        <v>31</v>
      </c>
      <c r="C180" s="18" t="s">
        <v>258</v>
      </c>
      <c r="D180" s="13">
        <v>4500</v>
      </c>
      <c r="F180" s="13">
        <v>2.2000000000000002</v>
      </c>
    </row>
    <row r="181" spans="2:6">
      <c r="B181" s="18" t="s">
        <v>45</v>
      </c>
      <c r="C181" s="18" t="s">
        <v>7</v>
      </c>
      <c r="D181" s="13">
        <v>4600</v>
      </c>
      <c r="F181" s="13">
        <v>6.8</v>
      </c>
    </row>
    <row r="182" spans="2:6">
      <c r="B182" s="18" t="s">
        <v>36</v>
      </c>
      <c r="C182" s="18" t="s">
        <v>113</v>
      </c>
      <c r="D182" s="13">
        <v>5100</v>
      </c>
      <c r="F182" s="13">
        <v>3.3</v>
      </c>
    </row>
    <row r="183" spans="2:6">
      <c r="B183" s="18" t="s">
        <v>45</v>
      </c>
      <c r="C183" s="18" t="s">
        <v>23</v>
      </c>
      <c r="D183" s="13">
        <v>3500</v>
      </c>
      <c r="F183" s="13">
        <v>6.1</v>
      </c>
    </row>
    <row r="184" spans="2:6">
      <c r="B184" s="18" t="s">
        <v>31</v>
      </c>
      <c r="C184" s="18" t="s">
        <v>260</v>
      </c>
      <c r="D184" s="13">
        <v>4500</v>
      </c>
      <c r="F184" s="13">
        <v>3.2</v>
      </c>
    </row>
    <row r="185" spans="2:6">
      <c r="B185" s="18" t="s">
        <v>45</v>
      </c>
      <c r="C185" s="18" t="s">
        <v>25</v>
      </c>
      <c r="D185" s="13">
        <v>4900</v>
      </c>
      <c r="F185" s="13">
        <v>8.3000000000000007</v>
      </c>
    </row>
    <row r="186" spans="2:6">
      <c r="B186" s="18" t="s">
        <v>3</v>
      </c>
      <c r="C186" s="18" t="s">
        <v>147</v>
      </c>
      <c r="D186" s="13">
        <v>4800</v>
      </c>
      <c r="F186" s="13">
        <v>0.8</v>
      </c>
    </row>
    <row r="187" spans="2:6">
      <c r="B187" s="18" t="s">
        <v>31</v>
      </c>
      <c r="C187" s="18" t="s">
        <v>35</v>
      </c>
      <c r="D187" s="13">
        <v>7900</v>
      </c>
      <c r="F187" s="13">
        <v>12.5</v>
      </c>
    </row>
    <row r="188" spans="2:6">
      <c r="B188" s="18" t="s">
        <v>31</v>
      </c>
      <c r="C188" s="18" t="s">
        <v>244</v>
      </c>
      <c r="D188" s="13">
        <v>4800</v>
      </c>
      <c r="F188" s="13">
        <v>2.7</v>
      </c>
    </row>
    <row r="189" spans="2:6">
      <c r="B189" s="18" t="s">
        <v>3</v>
      </c>
      <c r="C189" s="18" t="s">
        <v>125</v>
      </c>
      <c r="D189" s="13">
        <v>6300</v>
      </c>
      <c r="F189" s="13">
        <v>11.8</v>
      </c>
    </row>
    <row r="190" spans="2:6">
      <c r="B190" s="18" t="s">
        <v>3</v>
      </c>
      <c r="C190" s="18" t="s">
        <v>4</v>
      </c>
      <c r="D190" s="13">
        <v>8500</v>
      </c>
      <c r="F190" s="13">
        <v>14.5</v>
      </c>
    </row>
    <row r="191" spans="2:6">
      <c r="B191" s="18" t="s">
        <v>31</v>
      </c>
      <c r="C191" s="18" t="s">
        <v>251</v>
      </c>
      <c r="D191" s="13">
        <v>4700</v>
      </c>
      <c r="F191" s="13">
        <v>2.9</v>
      </c>
    </row>
    <row r="192" spans="2:6">
      <c r="B192" s="18" t="s">
        <v>31</v>
      </c>
      <c r="C192" s="18" t="s">
        <v>226</v>
      </c>
      <c r="D192" s="13">
        <v>5400</v>
      </c>
      <c r="F192" s="13">
        <v>7.3</v>
      </c>
    </row>
    <row r="193" spans="2:6">
      <c r="B193" s="18" t="s">
        <v>31</v>
      </c>
      <c r="C193" s="18" t="s">
        <v>259</v>
      </c>
      <c r="D193" s="13">
        <v>4500</v>
      </c>
      <c r="F193" s="13">
        <v>1.1000000000000001</v>
      </c>
    </row>
    <row r="194" spans="2:6">
      <c r="B194" s="18" t="s">
        <v>3</v>
      </c>
      <c r="C194" s="18" t="s">
        <v>126</v>
      </c>
      <c r="D194" s="13">
        <v>6200</v>
      </c>
      <c r="F194" s="13">
        <v>12.2</v>
      </c>
    </row>
    <row r="195" spans="2:6">
      <c r="B195" s="18" t="s">
        <v>36</v>
      </c>
      <c r="C195" s="18" t="s">
        <v>194</v>
      </c>
      <c r="D195" s="13">
        <v>4400</v>
      </c>
      <c r="F195" s="13">
        <v>2.4</v>
      </c>
    </row>
    <row r="196" spans="2:6">
      <c r="B196" s="18" t="s">
        <v>31</v>
      </c>
      <c r="C196" s="18" t="s">
        <v>225</v>
      </c>
      <c r="D196" s="13">
        <v>5500</v>
      </c>
      <c r="F196" s="13">
        <v>7.8</v>
      </c>
    </row>
    <row r="197" spans="2:6">
      <c r="B197" s="18" t="s">
        <v>31</v>
      </c>
      <c r="C197" s="18" t="s">
        <v>241</v>
      </c>
      <c r="D197" s="13">
        <v>4800</v>
      </c>
      <c r="F197" s="13">
        <v>5.6</v>
      </c>
    </row>
    <row r="198" spans="2:6">
      <c r="B198" s="18" t="s">
        <v>31</v>
      </c>
      <c r="C198" s="18" t="s">
        <v>246</v>
      </c>
      <c r="D198" s="13">
        <v>4700</v>
      </c>
      <c r="F198" s="13">
        <v>2</v>
      </c>
    </row>
    <row r="199" spans="2:6">
      <c r="B199" s="18" t="s">
        <v>3</v>
      </c>
      <c r="C199" s="18" t="s">
        <v>154</v>
      </c>
      <c r="D199" s="13">
        <v>4600</v>
      </c>
      <c r="F199" s="13">
        <v>2.8</v>
      </c>
    </row>
    <row r="200" spans="2:6">
      <c r="B200" s="18" t="s">
        <v>3</v>
      </c>
      <c r="C200" s="18" t="s">
        <v>131</v>
      </c>
      <c r="D200" s="13">
        <v>5800</v>
      </c>
      <c r="E200" s="18" t="s">
        <v>75</v>
      </c>
      <c r="F200" s="13">
        <v>8.3000000000000007</v>
      </c>
    </row>
    <row r="201" spans="2:6">
      <c r="B201" s="18" t="s">
        <v>3</v>
      </c>
      <c r="C201" s="18" t="s">
        <v>163</v>
      </c>
      <c r="D201" s="13">
        <v>4300</v>
      </c>
      <c r="F201" s="13">
        <v>2.5</v>
      </c>
    </row>
    <row r="202" spans="2:6">
      <c r="B202" s="18" t="s">
        <v>22</v>
      </c>
      <c r="C202" s="18" t="s">
        <v>72</v>
      </c>
      <c r="D202" s="13">
        <v>7000</v>
      </c>
      <c r="F202" s="13">
        <v>16.5</v>
      </c>
    </row>
    <row r="203" spans="2:6">
      <c r="B203" s="18" t="s">
        <v>36</v>
      </c>
      <c r="C203" s="18" t="s">
        <v>38</v>
      </c>
      <c r="D203" s="13">
        <v>6800</v>
      </c>
      <c r="F203" s="13">
        <v>9.4</v>
      </c>
    </row>
    <row r="204" spans="2:6">
      <c r="B204" s="18" t="s">
        <v>45</v>
      </c>
      <c r="C204" s="18" t="s">
        <v>66</v>
      </c>
      <c r="D204" s="13">
        <v>3900</v>
      </c>
      <c r="F204" s="13">
        <v>6</v>
      </c>
    </row>
    <row r="205" spans="2:6">
      <c r="B205" s="18" t="s">
        <v>3</v>
      </c>
      <c r="C205" s="18" t="s">
        <v>145</v>
      </c>
      <c r="D205" s="13">
        <v>4900</v>
      </c>
      <c r="F205" s="13">
        <v>2.2999999999999998</v>
      </c>
    </row>
    <row r="206" spans="2:6">
      <c r="B206" s="18" t="s">
        <v>45</v>
      </c>
      <c r="C206" s="18" t="s">
        <v>69</v>
      </c>
      <c r="D206" s="13">
        <v>5000</v>
      </c>
      <c r="F206" s="13">
        <v>7.5</v>
      </c>
    </row>
    <row r="207" spans="2:6">
      <c r="B207" s="18" t="s">
        <v>36</v>
      </c>
      <c r="C207" s="18" t="s">
        <v>37</v>
      </c>
      <c r="D207" s="13">
        <v>6700</v>
      </c>
      <c r="F207" s="13">
        <v>10.3</v>
      </c>
    </row>
    <row r="208" spans="2:6">
      <c r="B208" s="18" t="s">
        <v>3</v>
      </c>
      <c r="C208" s="18" t="s">
        <v>153</v>
      </c>
      <c r="D208" s="13">
        <v>4600</v>
      </c>
      <c r="F208" s="13">
        <v>5.3</v>
      </c>
    </row>
    <row r="209" spans="2:6">
      <c r="B209" s="18" t="s">
        <v>31</v>
      </c>
      <c r="C209" s="18" t="s">
        <v>212</v>
      </c>
      <c r="D209" s="13">
        <v>6000</v>
      </c>
      <c r="E209" s="18" t="s">
        <v>75</v>
      </c>
      <c r="F209" s="13">
        <v>9.1</v>
      </c>
    </row>
    <row r="210" spans="2:6">
      <c r="B210" s="18" t="s">
        <v>36</v>
      </c>
      <c r="C210" s="18" t="s">
        <v>116</v>
      </c>
      <c r="D210" s="13">
        <v>5000</v>
      </c>
      <c r="F210" s="13">
        <v>5.5</v>
      </c>
    </row>
    <row r="211" spans="2:6">
      <c r="B211" s="18" t="s">
        <v>45</v>
      </c>
      <c r="C211" s="18" t="s">
        <v>63</v>
      </c>
      <c r="D211" s="13">
        <v>3400</v>
      </c>
      <c r="F211" s="13">
        <v>6</v>
      </c>
    </row>
    <row r="212" spans="2:6">
      <c r="B212" s="18" t="s">
        <v>31</v>
      </c>
      <c r="C212" s="18" t="s">
        <v>109</v>
      </c>
      <c r="D212" s="13">
        <v>7000</v>
      </c>
      <c r="E212" s="18" t="s">
        <v>75</v>
      </c>
      <c r="F212" s="13">
        <v>5.6</v>
      </c>
    </row>
    <row r="213" spans="2:6">
      <c r="B213" s="18" t="s">
        <v>31</v>
      </c>
      <c r="C213" s="18" t="s">
        <v>232</v>
      </c>
      <c r="D213" s="13">
        <v>5200</v>
      </c>
      <c r="F213" s="13">
        <v>3.9</v>
      </c>
    </row>
    <row r="214" spans="2:6">
      <c r="B214" s="18" t="s">
        <v>31</v>
      </c>
      <c r="C214" s="18" t="s">
        <v>111</v>
      </c>
      <c r="D214" s="13">
        <v>6900</v>
      </c>
      <c r="F214" s="13">
        <v>11.1</v>
      </c>
    </row>
    <row r="215" spans="2:6">
      <c r="B215" s="18" t="s">
        <v>31</v>
      </c>
      <c r="C215" s="18" t="s">
        <v>261</v>
      </c>
      <c r="D215" s="13">
        <v>4400</v>
      </c>
      <c r="F215" s="13">
        <v>2.2999999999999998</v>
      </c>
    </row>
    <row r="216" spans="2:6">
      <c r="B216" s="18" t="s">
        <v>36</v>
      </c>
      <c r="C216" s="18" t="s">
        <v>191</v>
      </c>
      <c r="D216" s="13">
        <v>4500</v>
      </c>
      <c r="F216" s="13">
        <v>1.6</v>
      </c>
    </row>
    <row r="217" spans="2:6">
      <c r="B217" s="18" t="s">
        <v>3</v>
      </c>
      <c r="C217" s="18" t="s">
        <v>90</v>
      </c>
      <c r="D217" s="13">
        <v>7700</v>
      </c>
      <c r="F217" s="13">
        <v>16.2</v>
      </c>
    </row>
    <row r="218" spans="2:6">
      <c r="B218" s="18" t="s">
        <v>3</v>
      </c>
      <c r="C218" s="18" t="s">
        <v>156</v>
      </c>
      <c r="D218" s="13">
        <v>4500</v>
      </c>
      <c r="F218" s="13">
        <v>3.8</v>
      </c>
    </row>
    <row r="219" spans="2:6">
      <c r="B219" s="18" t="s">
        <v>31</v>
      </c>
      <c r="C219" s="18" t="s">
        <v>222</v>
      </c>
      <c r="D219" s="13">
        <v>5500</v>
      </c>
      <c r="F219" s="13">
        <v>4.5</v>
      </c>
    </row>
    <row r="220" spans="2:6">
      <c r="B220" s="18" t="s">
        <v>22</v>
      </c>
      <c r="C220" s="18" t="s">
        <v>64</v>
      </c>
      <c r="D220" s="13">
        <v>7600</v>
      </c>
      <c r="F220" s="13">
        <v>18.600000000000001</v>
      </c>
    </row>
    <row r="221" spans="2:6">
      <c r="B221" s="18" t="s">
        <v>36</v>
      </c>
      <c r="C221" s="18" t="s">
        <v>196</v>
      </c>
      <c r="D221" s="13">
        <v>4400</v>
      </c>
      <c r="F221" s="13">
        <v>3.3</v>
      </c>
    </row>
    <row r="222" spans="2:6">
      <c r="B222" s="18" t="s">
        <v>31</v>
      </c>
      <c r="C222" s="18" t="s">
        <v>236</v>
      </c>
      <c r="D222" s="13">
        <v>5100</v>
      </c>
      <c r="F222" s="13">
        <v>4.2</v>
      </c>
    </row>
    <row r="223" spans="2:6">
      <c r="B223" s="18" t="s">
        <v>3</v>
      </c>
      <c r="C223" s="18" t="s">
        <v>169</v>
      </c>
      <c r="D223" s="13">
        <v>4200</v>
      </c>
      <c r="F223" s="13">
        <v>1.1000000000000001</v>
      </c>
    </row>
    <row r="224" spans="2:6">
      <c r="B224" s="18" t="s">
        <v>22</v>
      </c>
      <c r="C224" s="18" t="s">
        <v>27</v>
      </c>
      <c r="D224" s="13">
        <v>8300</v>
      </c>
      <c r="F224" s="13">
        <v>20.399999999999999</v>
      </c>
    </row>
    <row r="225" spans="2:6">
      <c r="B225" s="18" t="s">
        <v>31</v>
      </c>
      <c r="C225" s="18" t="s">
        <v>224</v>
      </c>
      <c r="D225" s="13">
        <v>5500</v>
      </c>
      <c r="F225" s="13">
        <v>9.1999999999999993</v>
      </c>
    </row>
    <row r="226" spans="2:6">
      <c r="B226" s="18" t="s">
        <v>3</v>
      </c>
      <c r="C226" s="18" t="s">
        <v>161</v>
      </c>
      <c r="D226" s="13">
        <v>4400</v>
      </c>
      <c r="F226" s="13">
        <v>0.8</v>
      </c>
    </row>
    <row r="227" spans="2:6">
      <c r="B227" s="18" t="s">
        <v>3</v>
      </c>
      <c r="C227" s="18" t="s">
        <v>160</v>
      </c>
      <c r="D227" s="13">
        <v>4400</v>
      </c>
      <c r="F227" s="13">
        <v>1.4</v>
      </c>
    </row>
    <row r="228" spans="2:6">
      <c r="B228" s="18" t="s">
        <v>3</v>
      </c>
      <c r="C228" s="18" t="s">
        <v>133</v>
      </c>
      <c r="D228" s="13">
        <v>5700</v>
      </c>
      <c r="F228" s="13">
        <v>8.9</v>
      </c>
    </row>
    <row r="229" spans="2:6">
      <c r="B229" s="18" t="s">
        <v>31</v>
      </c>
      <c r="C229" s="18" t="s">
        <v>211</v>
      </c>
      <c r="D229" s="13">
        <v>6100</v>
      </c>
      <c r="F229" s="13">
        <v>8.5</v>
      </c>
    </row>
    <row r="230" spans="2:6">
      <c r="B230" s="18" t="s">
        <v>36</v>
      </c>
      <c r="C230" s="18" t="s">
        <v>177</v>
      </c>
      <c r="D230" s="13">
        <v>4900</v>
      </c>
      <c r="F230" s="13">
        <v>5.7</v>
      </c>
    </row>
    <row r="231" spans="2:6">
      <c r="B231" s="18" t="s">
        <v>36</v>
      </c>
      <c r="C231" s="18" t="s">
        <v>176</v>
      </c>
      <c r="D231" s="13">
        <v>5000</v>
      </c>
      <c r="F231" s="13">
        <v>5.9</v>
      </c>
    </row>
    <row r="232" spans="2:6">
      <c r="B232" s="18" t="s">
        <v>31</v>
      </c>
      <c r="C232" s="18" t="s">
        <v>205</v>
      </c>
      <c r="D232" s="13">
        <v>6600</v>
      </c>
      <c r="F232" s="13">
        <v>10.1</v>
      </c>
    </row>
    <row r="233" spans="2:6">
      <c r="B233" s="18" t="s">
        <v>31</v>
      </c>
      <c r="C233" s="18" t="s">
        <v>256</v>
      </c>
      <c r="D233" s="13">
        <v>4500</v>
      </c>
      <c r="F233" s="13">
        <v>3.1</v>
      </c>
    </row>
    <row r="234" spans="2:6">
      <c r="B234" s="18" t="s">
        <v>31</v>
      </c>
      <c r="C234" s="18" t="s">
        <v>32</v>
      </c>
      <c r="D234" s="13">
        <v>9800</v>
      </c>
      <c r="F234" s="13">
        <v>18.899999999999999</v>
      </c>
    </row>
    <row r="235" spans="2:6">
      <c r="B235" s="18" t="s">
        <v>3</v>
      </c>
      <c r="C235" s="18" t="s">
        <v>143</v>
      </c>
      <c r="D235" s="13">
        <v>5000</v>
      </c>
      <c r="F235" s="13">
        <v>1.2</v>
      </c>
    </row>
    <row r="236" spans="2:6">
      <c r="B236" s="18" t="s">
        <v>31</v>
      </c>
      <c r="C236" s="18" t="s">
        <v>253</v>
      </c>
      <c r="D236" s="13">
        <v>4600</v>
      </c>
      <c r="F236" s="13">
        <v>3.3</v>
      </c>
    </row>
    <row r="237" spans="2:6">
      <c r="B237" s="18" t="s">
        <v>45</v>
      </c>
      <c r="C237" s="18" t="s">
        <v>73</v>
      </c>
      <c r="D237" s="13">
        <v>4000</v>
      </c>
      <c r="F237" s="13">
        <v>6.4</v>
      </c>
    </row>
    <row r="238" spans="2:6">
      <c r="B238" s="18" t="s">
        <v>36</v>
      </c>
      <c r="C238" s="18" t="s">
        <v>193</v>
      </c>
      <c r="D238" s="13">
        <v>4400</v>
      </c>
      <c r="F238" s="13">
        <v>2.2999999999999998</v>
      </c>
    </row>
    <row r="239" spans="2:6">
      <c r="B239" s="18" t="s">
        <v>3</v>
      </c>
      <c r="C239" s="18" t="s">
        <v>149</v>
      </c>
      <c r="D239" s="13">
        <v>4800</v>
      </c>
      <c r="F239" s="13">
        <v>7.5</v>
      </c>
    </row>
    <row r="240" spans="2:6">
      <c r="B240" s="18" t="s">
        <v>36</v>
      </c>
      <c r="C240" s="18" t="s">
        <v>107</v>
      </c>
      <c r="D240" s="13">
        <v>5200</v>
      </c>
      <c r="F240" s="13">
        <v>7.4</v>
      </c>
    </row>
    <row r="241" spans="2:6">
      <c r="B241" s="18" t="s">
        <v>22</v>
      </c>
      <c r="C241" s="18" t="s">
        <v>83</v>
      </c>
      <c r="D241" s="13">
        <v>6500</v>
      </c>
      <c r="F241" s="13">
        <v>14.5</v>
      </c>
    </row>
    <row r="242" spans="2:6">
      <c r="B242" s="18" t="s">
        <v>3</v>
      </c>
      <c r="C242" s="18" t="s">
        <v>91</v>
      </c>
      <c r="D242" s="13">
        <v>7400</v>
      </c>
      <c r="F242" s="13">
        <v>11.2</v>
      </c>
    </row>
    <row r="243" spans="2:6">
      <c r="B243" s="18" t="s">
        <v>3</v>
      </c>
      <c r="C243" s="18" t="s">
        <v>135</v>
      </c>
      <c r="D243" s="13">
        <v>5600</v>
      </c>
      <c r="F243" s="13">
        <v>2.5</v>
      </c>
    </row>
    <row r="244" spans="2:6">
      <c r="B244" s="18" t="s">
        <v>31</v>
      </c>
      <c r="C244" s="18" t="s">
        <v>215</v>
      </c>
      <c r="D244" s="13">
        <v>5800</v>
      </c>
      <c r="E244" s="18" t="s">
        <v>75</v>
      </c>
      <c r="F244" s="13">
        <v>5.6</v>
      </c>
    </row>
    <row r="245" spans="2:6">
      <c r="B245" s="18" t="s">
        <v>3</v>
      </c>
      <c r="C245" s="18" t="s">
        <v>166</v>
      </c>
      <c r="D245" s="13">
        <v>4200</v>
      </c>
      <c r="E245" s="18" t="s">
        <v>75</v>
      </c>
      <c r="F245" s="13">
        <v>1.3</v>
      </c>
    </row>
    <row r="246" spans="2:6">
      <c r="B246" s="18"/>
      <c r="C246" s="13"/>
    </row>
    <row r="247" spans="2:6">
      <c r="B247" s="18"/>
      <c r="C247" s="13"/>
      <c r="F247" s="13"/>
    </row>
    <row r="248" spans="2:6">
      <c r="B248" s="18"/>
      <c r="C248" s="13"/>
      <c r="F248" s="13"/>
    </row>
    <row r="249" spans="2:6">
      <c r="B249" s="18"/>
      <c r="C249" s="13"/>
      <c r="F249" s="13"/>
    </row>
    <row r="250" spans="2:6">
      <c r="B250" s="18"/>
      <c r="C250" s="13"/>
      <c r="F250" s="13"/>
    </row>
    <row r="251" spans="2:6">
      <c r="B251" s="18"/>
      <c r="C251" s="13"/>
      <c r="F251" s="13"/>
    </row>
    <row r="252" spans="2:6">
      <c r="B252" s="18"/>
      <c r="C252" s="13"/>
      <c r="F252" s="13"/>
    </row>
    <row r="253" spans="2:6">
      <c r="B253" s="18"/>
      <c r="C253" s="13"/>
      <c r="F253" s="13"/>
    </row>
    <row r="254" spans="2:6">
      <c r="B254" s="18"/>
      <c r="C254" s="13"/>
      <c r="F254" s="13"/>
    </row>
    <row r="255" spans="2:6">
      <c r="B255" s="18"/>
      <c r="C255" s="13"/>
      <c r="F255" s="13"/>
    </row>
    <row r="256" spans="2:6">
      <c r="B256" s="18"/>
      <c r="C256" s="13"/>
      <c r="F256" s="13"/>
    </row>
    <row r="257" spans="2:6">
      <c r="B257" s="18"/>
      <c r="C257" s="13"/>
      <c r="F257" s="13"/>
    </row>
    <row r="258" spans="2:6">
      <c r="B258" s="18"/>
      <c r="C258" s="13"/>
      <c r="F258" s="13"/>
    </row>
    <row r="259" spans="2:6">
      <c r="B259" s="18"/>
      <c r="C259" s="13"/>
      <c r="F259" s="13"/>
    </row>
    <row r="260" spans="2:6">
      <c r="B260" s="18"/>
      <c r="C260" s="13"/>
      <c r="F260" s="13"/>
    </row>
    <row r="261" spans="2:6">
      <c r="B261" s="18"/>
      <c r="C261" s="13"/>
      <c r="F261" s="13"/>
    </row>
    <row r="262" spans="2:6">
      <c r="B262" s="18"/>
      <c r="C262" s="13"/>
      <c r="F262" s="13"/>
    </row>
    <row r="263" spans="2:6">
      <c r="B263" s="18"/>
      <c r="C263" s="13"/>
      <c r="F263" s="13"/>
    </row>
    <row r="264" spans="2:6">
      <c r="B264" s="18"/>
      <c r="C264" s="13"/>
      <c r="F264" s="13"/>
    </row>
    <row r="265" spans="2:6">
      <c r="B265" s="18"/>
      <c r="C265" s="13"/>
      <c r="F265" s="13"/>
    </row>
    <row r="266" spans="2:6">
      <c r="B266" s="18"/>
      <c r="C266" s="13"/>
      <c r="F266" s="13"/>
    </row>
    <row r="267" spans="2:6">
      <c r="B267" s="18"/>
      <c r="C267" s="13"/>
      <c r="F267" s="13"/>
    </row>
    <row r="268" spans="2:6">
      <c r="B268" s="18"/>
      <c r="C268" s="13"/>
      <c r="F268" s="13"/>
    </row>
    <row r="269" spans="2:6">
      <c r="B269" s="18"/>
      <c r="C269" s="13"/>
      <c r="F269" s="13"/>
    </row>
    <row r="270" spans="2:6">
      <c r="B270" s="18"/>
      <c r="C270" s="13"/>
      <c r="F270" s="13"/>
    </row>
    <row r="271" spans="2:6">
      <c r="B271" s="18"/>
      <c r="C271" s="13"/>
      <c r="F271" s="13"/>
    </row>
    <row r="272" spans="2:6">
      <c r="B272" s="18"/>
      <c r="C272" s="13"/>
      <c r="F272" s="13"/>
    </row>
    <row r="273" spans="2:6">
      <c r="B273" s="18"/>
      <c r="C273" s="13"/>
      <c r="F273" s="13"/>
    </row>
    <row r="274" spans="2:6">
      <c r="B274" s="18"/>
      <c r="C274" s="13"/>
      <c r="F274" s="13"/>
    </row>
    <row r="275" spans="2:6">
      <c r="B275" s="18"/>
      <c r="C275" s="13"/>
      <c r="F275" s="13"/>
    </row>
    <row r="276" spans="2:6">
      <c r="B276" s="18"/>
      <c r="C276" s="13"/>
      <c r="F276" s="13"/>
    </row>
    <row r="277" spans="2:6">
      <c r="B277" s="18"/>
      <c r="C277" s="13"/>
      <c r="F277" s="13"/>
    </row>
    <row r="278" spans="2:6">
      <c r="B278" s="18"/>
      <c r="C278" s="13"/>
      <c r="F278" s="13"/>
    </row>
    <row r="279" spans="2:6">
      <c r="B279" s="18"/>
      <c r="C279" s="13"/>
      <c r="F279" s="13"/>
    </row>
    <row r="280" spans="2:6">
      <c r="B280" s="18"/>
      <c r="C280" s="13"/>
      <c r="F280" s="13"/>
    </row>
    <row r="281" spans="2:6">
      <c r="B281" s="18"/>
      <c r="C281" s="13"/>
      <c r="F281" s="13"/>
    </row>
    <row r="282" spans="2:6">
      <c r="B282" s="18"/>
      <c r="C282" s="13"/>
      <c r="F282" s="13"/>
    </row>
    <row r="283" spans="2:6">
      <c r="B283" s="18"/>
      <c r="C283" s="13"/>
      <c r="F283" s="13"/>
    </row>
    <row r="284" spans="2:6">
      <c r="B284" s="18"/>
      <c r="C284" s="13"/>
      <c r="F284" s="13"/>
    </row>
    <row r="285" spans="2:6">
      <c r="B285" s="18"/>
      <c r="C285" s="13"/>
      <c r="F285" s="13"/>
    </row>
    <row r="286" spans="2:6">
      <c r="B286" s="18"/>
      <c r="C286" s="13"/>
      <c r="F286" s="13"/>
    </row>
    <row r="287" spans="2:6">
      <c r="B287" s="18"/>
      <c r="C287" s="13"/>
      <c r="F287" s="13"/>
    </row>
    <row r="288" spans="2:6">
      <c r="B288" s="18"/>
      <c r="C288" s="13"/>
      <c r="F288" s="13"/>
    </row>
    <row r="289" spans="2:6">
      <c r="B289" s="18"/>
      <c r="C289" s="13"/>
      <c r="F289" s="13"/>
    </row>
    <row r="290" spans="2:6">
      <c r="B290" s="18"/>
      <c r="C290" s="13"/>
      <c r="F290" s="13"/>
    </row>
    <row r="291" spans="2:6">
      <c r="B291" s="18"/>
      <c r="C291" s="13"/>
      <c r="F291" s="13"/>
    </row>
    <row r="292" spans="2:6">
      <c r="B292" s="18"/>
      <c r="C292" s="13"/>
      <c r="F292" s="13"/>
    </row>
    <row r="293" spans="2:6">
      <c r="B293" s="18"/>
      <c r="C293" s="13"/>
      <c r="F293" s="13"/>
    </row>
    <row r="294" spans="2:6">
      <c r="B294" s="18"/>
      <c r="C294" s="13"/>
      <c r="F294" s="13"/>
    </row>
    <row r="295" spans="2:6">
      <c r="B295" s="18"/>
      <c r="C295" s="13"/>
      <c r="F295" s="13"/>
    </row>
    <row r="296" spans="2:6">
      <c r="B296" s="18"/>
      <c r="C296" s="13"/>
      <c r="F296" s="13"/>
    </row>
    <row r="297" spans="2:6">
      <c r="B297" s="18"/>
      <c r="C297" s="13"/>
      <c r="F297" s="13"/>
    </row>
    <row r="298" spans="2:6">
      <c r="B298" s="18"/>
      <c r="C298" s="13"/>
      <c r="F298" s="13"/>
    </row>
    <row r="299" spans="2:6">
      <c r="B299" s="18"/>
      <c r="C299" s="13"/>
      <c r="F299" s="13"/>
    </row>
    <row r="300" spans="2:6">
      <c r="B300" s="18"/>
      <c r="C300" s="13"/>
      <c r="F300" s="13"/>
    </row>
    <row r="301" spans="2:6">
      <c r="B301" s="18"/>
      <c r="C301" s="13"/>
      <c r="F301" s="13"/>
    </row>
    <row r="302" spans="2:6">
      <c r="B302" s="18"/>
      <c r="C302" s="13"/>
      <c r="F302" s="13"/>
    </row>
    <row r="303" spans="2:6">
      <c r="B303" s="18"/>
      <c r="C303" s="13"/>
      <c r="F303" s="13"/>
    </row>
    <row r="304" spans="2:6">
      <c r="B304" s="18"/>
      <c r="C304" s="13"/>
      <c r="F304" s="13"/>
    </row>
    <row r="305" spans="2:6">
      <c r="B305" s="18"/>
      <c r="C305" s="13"/>
      <c r="F305" s="13"/>
    </row>
    <row r="306" spans="2:6">
      <c r="B306" s="18"/>
      <c r="C306" s="13"/>
      <c r="F306" s="13"/>
    </row>
    <row r="307" spans="2:6">
      <c r="B307" s="18"/>
      <c r="C307" s="13"/>
      <c r="F307" s="13"/>
    </row>
    <row r="308" spans="2:6">
      <c r="B308" s="18"/>
      <c r="C308" s="13"/>
      <c r="F308" s="13"/>
    </row>
    <row r="309" spans="2:6">
      <c r="B309" s="18"/>
      <c r="C309" s="13"/>
      <c r="F309" s="13"/>
    </row>
    <row r="310" spans="2:6">
      <c r="B310" s="18"/>
      <c r="C310" s="13"/>
      <c r="F310" s="13"/>
    </row>
    <row r="311" spans="2:6">
      <c r="B311" s="18"/>
      <c r="C311" s="13"/>
      <c r="F311" s="13"/>
    </row>
    <row r="312" spans="2:6">
      <c r="B312" s="18"/>
      <c r="C312" s="13"/>
      <c r="F312" s="13"/>
    </row>
    <row r="313" spans="2:6">
      <c r="B313" s="18"/>
      <c r="C313" s="13"/>
      <c r="F313" s="13"/>
    </row>
    <row r="314" spans="2:6">
      <c r="B314" s="18"/>
      <c r="C314" s="13"/>
      <c r="F314" s="13"/>
    </row>
    <row r="315" spans="2:6">
      <c r="B315" s="18"/>
      <c r="C315" s="13"/>
      <c r="F315" s="13"/>
    </row>
    <row r="316" spans="2:6">
      <c r="B316" s="18"/>
      <c r="C316" s="13"/>
      <c r="F316" s="13"/>
    </row>
    <row r="317" spans="2:6">
      <c r="B317" s="18"/>
      <c r="C317" s="13"/>
      <c r="F317" s="13"/>
    </row>
    <row r="318" spans="2:6">
      <c r="B318" s="18"/>
      <c r="C318" s="13"/>
      <c r="F318" s="13"/>
    </row>
    <row r="319" spans="2:6">
      <c r="B319" s="18"/>
      <c r="C319" s="13"/>
      <c r="F319" s="13"/>
    </row>
    <row r="320" spans="2:6">
      <c r="B320" s="18"/>
      <c r="C320" s="13"/>
      <c r="F320" s="13"/>
    </row>
    <row r="321" spans="2:6">
      <c r="B321" s="18"/>
      <c r="C321" s="13"/>
      <c r="F321" s="13"/>
    </row>
    <row r="322" spans="2:6">
      <c r="B322" s="18"/>
      <c r="C322" s="13"/>
      <c r="F322" s="13"/>
    </row>
    <row r="323" spans="2:6">
      <c r="B323" s="18"/>
      <c r="C323" s="13"/>
      <c r="F323" s="13"/>
    </row>
    <row r="324" spans="2:6">
      <c r="B324" s="18"/>
      <c r="C324" s="13"/>
      <c r="F324" s="13"/>
    </row>
    <row r="325" spans="2:6">
      <c r="B325" s="18"/>
      <c r="C325" s="13"/>
      <c r="F325" s="13"/>
    </row>
    <row r="326" spans="2:6">
      <c r="B326" s="18"/>
      <c r="C326" s="13"/>
      <c r="F326" s="13"/>
    </row>
    <row r="327" spans="2:6">
      <c r="B327" s="18"/>
      <c r="C327" s="13"/>
      <c r="F327" s="13"/>
    </row>
    <row r="328" spans="2:6">
      <c r="B328" s="18"/>
      <c r="C328" s="13"/>
      <c r="F328" s="13"/>
    </row>
    <row r="329" spans="2:6">
      <c r="B329" s="18"/>
      <c r="C329" s="13"/>
      <c r="F329" s="13"/>
    </row>
    <row r="330" spans="2:6">
      <c r="B330" s="18"/>
      <c r="C330" s="13"/>
      <c r="F330" s="13"/>
    </row>
    <row r="331" spans="2:6">
      <c r="B331" s="18"/>
      <c r="C331" s="13"/>
      <c r="F331" s="13"/>
    </row>
    <row r="332" spans="2:6">
      <c r="B332" s="18"/>
      <c r="C332" s="13"/>
      <c r="F332" s="13"/>
    </row>
    <row r="333" spans="2:6">
      <c r="B333" s="18"/>
      <c r="C333" s="13"/>
      <c r="F333" s="13"/>
    </row>
    <row r="334" spans="2:6">
      <c r="B334" s="18"/>
      <c r="C334" s="13"/>
      <c r="F334" s="13"/>
    </row>
    <row r="335" spans="2:6">
      <c r="B335" s="18"/>
      <c r="C335" s="13"/>
      <c r="F335" s="13"/>
    </row>
    <row r="336" spans="2:6">
      <c r="B336" s="18"/>
      <c r="C336" s="13"/>
      <c r="F336" s="13"/>
    </row>
    <row r="337" spans="2:6">
      <c r="B337" s="18"/>
      <c r="C337" s="13"/>
      <c r="F337" s="13"/>
    </row>
    <row r="338" spans="2:6">
      <c r="B338" s="18"/>
      <c r="C338" s="13"/>
      <c r="F338" s="13"/>
    </row>
    <row r="339" spans="2:6">
      <c r="B339" s="18"/>
      <c r="C339" s="13"/>
      <c r="F339" s="13"/>
    </row>
    <row r="340" spans="2:6">
      <c r="B340" s="18"/>
      <c r="C340" s="13"/>
      <c r="F340" s="13"/>
    </row>
    <row r="341" spans="2:6">
      <c r="B341" s="18"/>
      <c r="C341" s="13"/>
      <c r="F341" s="13"/>
    </row>
    <row r="342" spans="2:6">
      <c r="B342" s="18"/>
      <c r="C342" s="13"/>
      <c r="F342" s="13"/>
    </row>
    <row r="343" spans="2:6">
      <c r="B343" s="18"/>
      <c r="C343" s="13"/>
      <c r="F343" s="13"/>
    </row>
    <row r="344" spans="2:6">
      <c r="B344" s="18"/>
      <c r="C344" s="13"/>
      <c r="F344" s="13"/>
    </row>
    <row r="345" spans="2:6">
      <c r="B345" s="18"/>
      <c r="C345" s="13"/>
      <c r="F345" s="13"/>
    </row>
    <row r="346" spans="2:6">
      <c r="B346" s="18"/>
      <c r="C346" s="13"/>
      <c r="F346" s="13"/>
    </row>
    <row r="347" spans="2:6">
      <c r="B347" s="18"/>
      <c r="C347" s="13"/>
      <c r="F347" s="13"/>
    </row>
    <row r="348" spans="2:6">
      <c r="B348" s="18"/>
      <c r="C348" s="13"/>
      <c r="F348" s="13"/>
    </row>
    <row r="349" spans="2:6">
      <c r="B349" s="18"/>
      <c r="C349" s="13"/>
      <c r="F349" s="13"/>
    </row>
    <row r="350" spans="2:6">
      <c r="B350" s="18"/>
      <c r="C350" s="13"/>
      <c r="F350" s="13"/>
    </row>
    <row r="351" spans="2:6">
      <c r="B351" s="18"/>
      <c r="C351" s="13"/>
      <c r="F351" s="13"/>
    </row>
    <row r="352" spans="2:6">
      <c r="B352" s="18"/>
      <c r="C352" s="13"/>
      <c r="F352" s="13"/>
    </row>
    <row r="353" spans="2:6">
      <c r="B353" s="18"/>
      <c r="C353" s="13"/>
      <c r="F353" s="13"/>
    </row>
    <row r="354" spans="2:6">
      <c r="B354" s="18"/>
      <c r="C354" s="13"/>
      <c r="F354" s="13"/>
    </row>
    <row r="355" spans="2:6">
      <c r="B355" s="18"/>
      <c r="C355" s="13"/>
      <c r="F355" s="13"/>
    </row>
    <row r="356" spans="2:6">
      <c r="B356" s="18"/>
      <c r="C356" s="13"/>
      <c r="F356" s="13"/>
    </row>
    <row r="357" spans="2:6">
      <c r="B357" s="18"/>
      <c r="C357" s="13"/>
      <c r="F357" s="13"/>
    </row>
    <row r="358" spans="2:6">
      <c r="B358" s="18"/>
      <c r="C358" s="13"/>
      <c r="F358" s="13"/>
    </row>
    <row r="359" spans="2:6">
      <c r="B359" s="18"/>
      <c r="C359" s="13"/>
      <c r="F359" s="13"/>
    </row>
    <row r="360" spans="2:6">
      <c r="B360" s="18"/>
      <c r="C360" s="13"/>
      <c r="F360" s="13"/>
    </row>
    <row r="361" spans="2:6">
      <c r="B361" s="18"/>
      <c r="C361" s="13"/>
      <c r="F361" s="13"/>
    </row>
    <row r="362" spans="2:6">
      <c r="B362" s="18"/>
      <c r="C362" s="13"/>
      <c r="F362" s="13"/>
    </row>
    <row r="363" spans="2:6">
      <c r="B363" s="18"/>
      <c r="C363" s="13"/>
      <c r="F363" s="13"/>
    </row>
    <row r="364" spans="2:6">
      <c r="B364" s="18"/>
      <c r="C364" s="13"/>
      <c r="F364" s="13"/>
    </row>
    <row r="365" spans="2:6">
      <c r="B365" s="18"/>
      <c r="C365" s="13"/>
      <c r="F365" s="13"/>
    </row>
    <row r="366" spans="2:6">
      <c r="B366" s="18"/>
      <c r="C366" s="13"/>
      <c r="F366" s="13"/>
    </row>
    <row r="367" spans="2:6">
      <c r="B367" s="18"/>
      <c r="C367" s="13"/>
      <c r="F367" s="13"/>
    </row>
    <row r="368" spans="2:6">
      <c r="B368" s="18"/>
      <c r="C368" s="13"/>
      <c r="F368" s="13"/>
    </row>
    <row r="369" spans="2:6">
      <c r="B369" s="18"/>
      <c r="C369" s="13"/>
      <c r="F369" s="13"/>
    </row>
    <row r="370" spans="2:6">
      <c r="B370" s="18"/>
      <c r="C370" s="13"/>
      <c r="F370" s="13"/>
    </row>
    <row r="371" spans="2:6">
      <c r="B371" s="18"/>
      <c r="C371" s="13"/>
      <c r="F371" s="13"/>
    </row>
    <row r="372" spans="2:6">
      <c r="B372" s="18"/>
      <c r="C372" s="13"/>
      <c r="F372" s="13"/>
    </row>
    <row r="373" spans="2:6">
      <c r="B373" s="18"/>
      <c r="C373" s="13"/>
      <c r="F373" s="13"/>
    </row>
    <row r="374" spans="2:6">
      <c r="B374" s="18"/>
      <c r="C374" s="13"/>
      <c r="F374" s="13"/>
    </row>
    <row r="375" spans="2:6">
      <c r="B375" s="18"/>
      <c r="C375" s="13"/>
      <c r="F375" s="13"/>
    </row>
    <row r="376" spans="2:6">
      <c r="B376" s="18"/>
      <c r="C376" s="13"/>
      <c r="F376" s="13"/>
    </row>
    <row r="377" spans="2:6">
      <c r="B377" s="18"/>
      <c r="C377" s="13"/>
      <c r="F377" s="13"/>
    </row>
    <row r="378" spans="2:6">
      <c r="B378" s="18"/>
      <c r="C378" s="13"/>
      <c r="F378" s="13"/>
    </row>
    <row r="379" spans="2:6">
      <c r="B379" s="18"/>
      <c r="C379" s="13"/>
      <c r="F379" s="13"/>
    </row>
    <row r="380" spans="2:6">
      <c r="B380" s="18"/>
      <c r="C380" s="13"/>
      <c r="F380" s="13"/>
    </row>
    <row r="381" spans="2:6">
      <c r="B381" s="18"/>
      <c r="C381" s="13"/>
      <c r="F381" s="13"/>
    </row>
    <row r="382" spans="2:6">
      <c r="B382" s="18"/>
      <c r="C382" s="13"/>
      <c r="F382" s="13"/>
    </row>
    <row r="383" spans="2:6">
      <c r="B383" s="18"/>
      <c r="C383" s="13"/>
      <c r="F383" s="13"/>
    </row>
    <row r="384" spans="2:6">
      <c r="B384" s="18"/>
      <c r="C384" s="13"/>
      <c r="F384" s="13"/>
    </row>
    <row r="385" spans="2:6">
      <c r="B385" s="18"/>
      <c r="C385" s="13"/>
      <c r="F385" s="13"/>
    </row>
    <row r="386" spans="2:6">
      <c r="B386" s="18"/>
      <c r="C386" s="13"/>
      <c r="F386" s="13"/>
    </row>
    <row r="387" spans="2:6">
      <c r="B387" s="18"/>
      <c r="C387" s="13"/>
      <c r="F387" s="13"/>
    </row>
    <row r="388" spans="2:6">
      <c r="B388" s="18"/>
      <c r="C388" s="13"/>
      <c r="F388" s="13"/>
    </row>
    <row r="389" spans="2:6">
      <c r="B389" s="18"/>
      <c r="C389" s="13"/>
      <c r="F389" s="13"/>
    </row>
    <row r="390" spans="2:6">
      <c r="B390" s="18"/>
      <c r="C390" s="13"/>
      <c r="F390" s="13"/>
    </row>
    <row r="391" spans="2:6">
      <c r="B391" s="18"/>
      <c r="C391" s="13"/>
      <c r="F391" s="13"/>
    </row>
    <row r="392" spans="2:6">
      <c r="B392" s="18"/>
      <c r="C392" s="13"/>
      <c r="F392" s="13"/>
    </row>
    <row r="393" spans="2:6">
      <c r="B393" s="18"/>
      <c r="C393" s="13"/>
      <c r="F393" s="13"/>
    </row>
    <row r="394" spans="2:6">
      <c r="B394" s="18"/>
      <c r="C394" s="13"/>
      <c r="F394" s="13"/>
    </row>
    <row r="395" spans="2:6">
      <c r="B395" s="18"/>
      <c r="C395" s="13"/>
      <c r="F395" s="13"/>
    </row>
    <row r="396" spans="2:6">
      <c r="B396" s="18"/>
      <c r="C396" s="13"/>
      <c r="F396" s="13"/>
    </row>
    <row r="397" spans="2:6">
      <c r="B397" s="18"/>
      <c r="C397" s="13"/>
      <c r="F397" s="13"/>
    </row>
    <row r="398" spans="2:6">
      <c r="B398" s="18"/>
      <c r="C398" s="13"/>
      <c r="F398" s="13"/>
    </row>
    <row r="399" spans="2:6">
      <c r="B399" s="18"/>
      <c r="C399" s="13"/>
      <c r="F399" s="13"/>
    </row>
    <row r="400" spans="2:6">
      <c r="B400" s="18"/>
      <c r="C400" s="13"/>
      <c r="F400" s="13"/>
    </row>
    <row r="401" spans="2:6">
      <c r="B401" s="18"/>
      <c r="C401" s="13"/>
      <c r="F401" s="13"/>
    </row>
    <row r="402" spans="2:6">
      <c r="B402" s="18"/>
      <c r="C402" s="13"/>
      <c r="F402" s="13"/>
    </row>
    <row r="403" spans="2:6">
      <c r="B403" s="18"/>
      <c r="C403" s="13"/>
      <c r="F403" s="13"/>
    </row>
    <row r="404" spans="2:6">
      <c r="B404" s="18"/>
      <c r="C404" s="13"/>
      <c r="F404" s="13"/>
    </row>
    <row r="405" spans="2:6">
      <c r="B405" s="18"/>
      <c r="C405" s="13"/>
      <c r="F405" s="13"/>
    </row>
    <row r="406" spans="2:6">
      <c r="B406" s="18"/>
      <c r="C406" s="13"/>
      <c r="F406" s="13"/>
    </row>
    <row r="407" spans="2:6">
      <c r="B407" s="18"/>
      <c r="C407" s="13"/>
      <c r="F407" s="13"/>
    </row>
    <row r="408" spans="2:6">
      <c r="B408" s="18"/>
      <c r="C408" s="13"/>
      <c r="F408" s="13"/>
    </row>
    <row r="409" spans="2:6">
      <c r="B409" s="18"/>
      <c r="C409" s="13"/>
      <c r="F409" s="13"/>
    </row>
    <row r="410" spans="2:6">
      <c r="B410" s="18"/>
      <c r="C410" s="13"/>
      <c r="F410" s="13"/>
    </row>
    <row r="411" spans="2:6">
      <c r="B411" s="18"/>
      <c r="C411" s="13"/>
      <c r="F411" s="13"/>
    </row>
    <row r="412" spans="2:6">
      <c r="B412" s="18"/>
      <c r="C412" s="13"/>
      <c r="F412" s="13"/>
    </row>
    <row r="413" spans="2:6">
      <c r="B413" s="18"/>
      <c r="C413" s="13"/>
      <c r="F413" s="13"/>
    </row>
    <row r="414" spans="2:6">
      <c r="B414" s="18"/>
      <c r="C414" s="13"/>
      <c r="F414" s="13"/>
    </row>
    <row r="415" spans="2:6">
      <c r="B415" s="18"/>
      <c r="C415" s="13"/>
      <c r="F415" s="13"/>
    </row>
    <row r="416" spans="2:6">
      <c r="B416" s="18"/>
      <c r="C416" s="13"/>
      <c r="F416" s="13"/>
    </row>
    <row r="417" spans="2:6">
      <c r="B417" s="18"/>
      <c r="C417" s="13"/>
      <c r="F417" s="13"/>
    </row>
    <row r="418" spans="2:6">
      <c r="B418" s="18"/>
      <c r="C418" s="13"/>
      <c r="F418" s="13"/>
    </row>
    <row r="419" spans="2:6">
      <c r="B419" s="18"/>
      <c r="C419" s="13"/>
      <c r="F419" s="13"/>
    </row>
    <row r="420" spans="2:6">
      <c r="B420" s="18"/>
      <c r="C420" s="13"/>
      <c r="F420" s="13"/>
    </row>
    <row r="421" spans="2:6">
      <c r="B421" s="18"/>
      <c r="C421" s="13"/>
      <c r="F421" s="13"/>
    </row>
    <row r="422" spans="2:6">
      <c r="B422" s="18"/>
      <c r="C422" s="13"/>
      <c r="F422" s="13"/>
    </row>
    <row r="423" spans="2:6">
      <c r="B423" s="18"/>
      <c r="C423" s="13"/>
      <c r="F423" s="13"/>
    </row>
    <row r="424" spans="2:6">
      <c r="B424" s="18"/>
      <c r="C424" s="13"/>
      <c r="F424" s="13"/>
    </row>
    <row r="425" spans="2:6">
      <c r="B425" s="18"/>
      <c r="C425" s="13"/>
      <c r="F425" s="13"/>
    </row>
    <row r="426" spans="2:6">
      <c r="B426" s="18"/>
      <c r="C426" s="13"/>
      <c r="F426" s="13"/>
    </row>
    <row r="427" spans="2:6">
      <c r="B427" s="18"/>
      <c r="C427" s="13"/>
      <c r="F427" s="13"/>
    </row>
    <row r="428" spans="2:6">
      <c r="B428" s="18"/>
      <c r="C428" s="13"/>
      <c r="F428" s="13"/>
    </row>
    <row r="429" spans="2:6">
      <c r="B429" s="18"/>
      <c r="C429" s="13"/>
      <c r="F429" s="13"/>
    </row>
    <row r="430" spans="2:6">
      <c r="B430" s="18"/>
      <c r="C430" s="13"/>
      <c r="F430" s="13"/>
    </row>
    <row r="431" spans="2:6">
      <c r="B431" s="18"/>
      <c r="C431" s="13"/>
      <c r="F431" s="13"/>
    </row>
    <row r="432" spans="2:6">
      <c r="B432" s="18"/>
      <c r="C432" s="13"/>
      <c r="F432" s="13"/>
    </row>
    <row r="433" spans="2:6">
      <c r="B433" s="18"/>
      <c r="C433" s="13"/>
      <c r="F433" s="13"/>
    </row>
    <row r="434" spans="2:6">
      <c r="B434" s="18"/>
      <c r="C434" s="13"/>
      <c r="F434" s="13"/>
    </row>
    <row r="435" spans="2:6">
      <c r="B435" s="18"/>
      <c r="C435" s="13"/>
      <c r="F435" s="13"/>
    </row>
    <row r="436" spans="2:6">
      <c r="B436" s="18"/>
      <c r="C436" s="13"/>
      <c r="F436" s="13"/>
    </row>
    <row r="437" spans="2:6">
      <c r="B437" s="18"/>
      <c r="C437" s="13"/>
      <c r="F437" s="13"/>
    </row>
    <row r="438" spans="2:6">
      <c r="B438" s="18"/>
      <c r="C438" s="13"/>
      <c r="F438" s="13"/>
    </row>
    <row r="439" spans="2:6">
      <c r="B439" s="18"/>
      <c r="C439" s="13"/>
      <c r="F439" s="13"/>
    </row>
    <row r="440" spans="2:6">
      <c r="B440" s="18"/>
      <c r="C440" s="13"/>
      <c r="F440" s="13"/>
    </row>
    <row r="441" spans="2:6">
      <c r="B441" s="18"/>
      <c r="C441" s="13"/>
      <c r="F441" s="13"/>
    </row>
    <row r="442" spans="2:6">
      <c r="F442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442"/>
  <sheetViews>
    <sheetView workbookViewId="0">
      <selection activeCell="E1" sqref="E1"/>
    </sheetView>
  </sheetViews>
  <sheetFormatPr defaultRowHeight="15"/>
  <cols>
    <col min="1" max="1" width="9.5703125" style="18" bestFit="1" customWidth="1"/>
    <col min="2" max="2" width="22.5703125" style="18" bestFit="1" customWidth="1"/>
    <col min="3" max="3" width="7.5703125" style="18" bestFit="1" customWidth="1"/>
    <col min="4" max="4" width="3.7109375" style="18" bestFit="1" customWidth="1"/>
    <col min="5" max="5" width="4.85546875" style="18" bestFit="1" customWidth="1"/>
  </cols>
  <sheetData>
    <row r="1" spans="1:6">
      <c r="A1" s="18" t="s">
        <v>0</v>
      </c>
      <c r="B1" s="18" t="s">
        <v>1</v>
      </c>
      <c r="C1" s="18" t="s">
        <v>2</v>
      </c>
      <c r="D1" s="18" t="s">
        <v>117</v>
      </c>
      <c r="E1" s="18" t="s">
        <v>265</v>
      </c>
    </row>
    <row r="2" spans="1:6">
      <c r="A2" s="21" t="s">
        <v>45</v>
      </c>
      <c r="B2" s="22" t="s">
        <v>16</v>
      </c>
      <c r="C2" s="23">
        <v>5000</v>
      </c>
      <c r="E2" s="24">
        <v>7.3529411764705799</v>
      </c>
    </row>
    <row r="3" spans="1:6">
      <c r="A3" s="21" t="s">
        <v>45</v>
      </c>
      <c r="B3" s="22" t="s">
        <v>63</v>
      </c>
      <c r="C3" s="23">
        <v>4900</v>
      </c>
      <c r="E3" s="24">
        <v>7.6315789473684204</v>
      </c>
    </row>
    <row r="4" spans="1:6">
      <c r="A4" s="21" t="s">
        <v>45</v>
      </c>
      <c r="B4" s="22" t="s">
        <v>10</v>
      </c>
      <c r="C4" s="23">
        <v>4800</v>
      </c>
      <c r="E4" s="24">
        <v>6.9411764705882302</v>
      </c>
    </row>
    <row r="5" spans="1:6">
      <c r="A5" s="21" t="s">
        <v>45</v>
      </c>
      <c r="B5" s="22" t="s">
        <v>7</v>
      </c>
      <c r="C5" s="23">
        <v>4700</v>
      </c>
      <c r="E5" s="24">
        <v>8.4117647058823497</v>
      </c>
    </row>
    <row r="6" spans="1:6">
      <c r="A6" s="21" t="s">
        <v>45</v>
      </c>
      <c r="B6" s="22" t="s">
        <v>266</v>
      </c>
      <c r="C6" s="23">
        <v>4600</v>
      </c>
      <c r="E6" s="24">
        <v>8.8947368421052602</v>
      </c>
      <c r="F6" s="53">
        <v>8.8947368421052602</v>
      </c>
    </row>
    <row r="7" spans="1:6">
      <c r="A7" s="21" t="s">
        <v>45</v>
      </c>
      <c r="B7" s="22" t="s">
        <v>267</v>
      </c>
      <c r="C7" s="23">
        <v>4500</v>
      </c>
      <c r="E7" s="24">
        <v>9.6666666666666607</v>
      </c>
      <c r="F7" s="53">
        <v>9.6666666666666607</v>
      </c>
    </row>
    <row r="8" spans="1:6">
      <c r="A8" s="21" t="s">
        <v>45</v>
      </c>
      <c r="B8" s="22" t="s">
        <v>66</v>
      </c>
      <c r="C8" s="23">
        <v>4400</v>
      </c>
      <c r="E8" s="24">
        <v>6.4117647058823497</v>
      </c>
    </row>
    <row r="9" spans="1:6">
      <c r="A9" s="21" t="s">
        <v>45</v>
      </c>
      <c r="B9" s="22" t="s">
        <v>268</v>
      </c>
      <c r="C9" s="23">
        <v>4300</v>
      </c>
      <c r="E9" s="24">
        <v>8.1111111111111107</v>
      </c>
    </row>
    <row r="10" spans="1:6">
      <c r="A10" s="21" t="s">
        <v>45</v>
      </c>
      <c r="B10" s="22" t="s">
        <v>5</v>
      </c>
      <c r="C10" s="23">
        <v>4200</v>
      </c>
      <c r="E10" s="24">
        <v>8.6111111111111107</v>
      </c>
    </row>
    <row r="11" spans="1:6">
      <c r="A11" s="21" t="s">
        <v>45</v>
      </c>
      <c r="B11" s="22" t="s">
        <v>70</v>
      </c>
      <c r="C11" s="23">
        <v>4100</v>
      </c>
      <c r="E11" s="24">
        <v>8.7222222222222197</v>
      </c>
      <c r="F11" s="53">
        <v>8.7222222222222197</v>
      </c>
    </row>
    <row r="12" spans="1:6">
      <c r="A12" s="21" t="s">
        <v>45</v>
      </c>
      <c r="B12" s="22" t="s">
        <v>62</v>
      </c>
      <c r="C12" s="23">
        <v>4000</v>
      </c>
      <c r="E12" s="24">
        <v>7.0588235294117601</v>
      </c>
    </row>
    <row r="13" spans="1:6">
      <c r="A13" s="21" t="s">
        <v>45</v>
      </c>
      <c r="B13" s="22" t="s">
        <v>269</v>
      </c>
      <c r="C13" s="23">
        <v>4000</v>
      </c>
      <c r="E13" s="24">
        <v>6.5882352941176396</v>
      </c>
    </row>
    <row r="14" spans="1:6">
      <c r="A14" s="21" t="s">
        <v>45</v>
      </c>
      <c r="B14" s="22" t="s">
        <v>20</v>
      </c>
      <c r="C14" s="23">
        <v>3900</v>
      </c>
      <c r="E14" s="24">
        <v>6.1</v>
      </c>
    </row>
    <row r="15" spans="1:6">
      <c r="A15" s="21" t="s">
        <v>45</v>
      </c>
      <c r="B15" s="22" t="s">
        <v>14</v>
      </c>
      <c r="C15" s="23">
        <v>3900</v>
      </c>
      <c r="E15" s="24">
        <v>8.4210526315789398</v>
      </c>
    </row>
    <row r="16" spans="1:6">
      <c r="A16" s="21" t="s">
        <v>45</v>
      </c>
      <c r="B16" s="22" t="s">
        <v>79</v>
      </c>
      <c r="C16" s="23">
        <v>3800</v>
      </c>
      <c r="E16" s="24">
        <v>8.5882352941176396</v>
      </c>
    </row>
    <row r="17" spans="1:5">
      <c r="A17" s="21" t="s">
        <v>45</v>
      </c>
      <c r="B17" s="22" t="s">
        <v>270</v>
      </c>
      <c r="C17" s="23">
        <v>3800</v>
      </c>
      <c r="E17" s="24">
        <v>7.7058823529411704</v>
      </c>
    </row>
    <row r="18" spans="1:5">
      <c r="A18" s="21" t="s">
        <v>45</v>
      </c>
      <c r="B18" s="22" t="s">
        <v>271</v>
      </c>
      <c r="C18" s="23">
        <v>3700</v>
      </c>
      <c r="E18" s="24">
        <v>6</v>
      </c>
    </row>
    <row r="19" spans="1:5">
      <c r="A19" s="21" t="s">
        <v>45</v>
      </c>
      <c r="B19" s="22" t="s">
        <v>65</v>
      </c>
      <c r="C19" s="23">
        <v>3700</v>
      </c>
      <c r="E19" s="24">
        <v>7.23529411764705</v>
      </c>
    </row>
    <row r="20" spans="1:5">
      <c r="A20" s="21" t="s">
        <v>45</v>
      </c>
      <c r="B20" s="22" t="s">
        <v>15</v>
      </c>
      <c r="C20" s="23">
        <v>3600</v>
      </c>
      <c r="E20" s="24">
        <v>5.8235294117647003</v>
      </c>
    </row>
    <row r="21" spans="1:5">
      <c r="A21" s="21" t="s">
        <v>45</v>
      </c>
      <c r="B21" s="22" t="s">
        <v>18</v>
      </c>
      <c r="C21" s="23">
        <v>3500</v>
      </c>
      <c r="E21" s="24">
        <v>8.2352941176470509</v>
      </c>
    </row>
    <row r="22" spans="1:5">
      <c r="A22" s="21" t="s">
        <v>45</v>
      </c>
      <c r="B22" s="22" t="s">
        <v>272</v>
      </c>
      <c r="C22" s="23">
        <v>3400</v>
      </c>
      <c r="E22" s="24">
        <v>6.9411764705882302</v>
      </c>
    </row>
    <row r="23" spans="1:5">
      <c r="A23" s="21" t="s">
        <v>45</v>
      </c>
      <c r="B23" s="22" t="s">
        <v>73</v>
      </c>
      <c r="C23" s="23">
        <v>3400</v>
      </c>
      <c r="E23" s="24">
        <v>3.4117647058823501</v>
      </c>
    </row>
    <row r="24" spans="1:5">
      <c r="A24" s="21" t="s">
        <v>45</v>
      </c>
      <c r="B24" s="22" t="s">
        <v>26</v>
      </c>
      <c r="C24" s="23">
        <v>3300</v>
      </c>
      <c r="E24" s="24">
        <v>5</v>
      </c>
    </row>
    <row r="25" spans="1:5">
      <c r="A25" s="21" t="s">
        <v>45</v>
      </c>
      <c r="B25" s="22" t="s">
        <v>21</v>
      </c>
      <c r="C25" s="23">
        <v>3200</v>
      </c>
      <c r="E25" s="24">
        <v>4.1764705882352899</v>
      </c>
    </row>
    <row r="26" spans="1:5">
      <c r="A26" s="21" t="s">
        <v>45</v>
      </c>
      <c r="B26" s="22" t="s">
        <v>8</v>
      </c>
      <c r="C26" s="23">
        <v>3100</v>
      </c>
      <c r="E26" s="24">
        <v>6.4705882352941098</v>
      </c>
    </row>
    <row r="27" spans="1:5">
      <c r="A27" s="21" t="s">
        <v>45</v>
      </c>
      <c r="B27" s="22" t="s">
        <v>11</v>
      </c>
      <c r="C27" s="23">
        <v>3000</v>
      </c>
      <c r="E27" s="24">
        <v>3.8235294117646998</v>
      </c>
    </row>
    <row r="28" spans="1:5">
      <c r="C28" s="13"/>
      <c r="E28" s="13"/>
    </row>
    <row r="29" spans="1:5">
      <c r="C29" s="13"/>
      <c r="E29" s="13"/>
    </row>
    <row r="30" spans="1:5">
      <c r="C30" s="13"/>
      <c r="E30" s="13"/>
    </row>
    <row r="31" spans="1:5">
      <c r="C31" s="13"/>
      <c r="E31" s="13"/>
    </row>
    <row r="32" spans="1:5">
      <c r="C32" s="13"/>
      <c r="E32" s="13"/>
    </row>
    <row r="33" spans="3:5">
      <c r="C33" s="13"/>
      <c r="E33" s="13"/>
    </row>
    <row r="34" spans="3:5">
      <c r="C34" s="13"/>
      <c r="E34" s="13"/>
    </row>
    <row r="35" spans="3:5">
      <c r="C35" s="13"/>
      <c r="E35" s="13"/>
    </row>
    <row r="36" spans="3:5">
      <c r="C36" s="13"/>
      <c r="E36" s="13"/>
    </row>
    <row r="37" spans="3:5">
      <c r="C37" s="13"/>
      <c r="E37" s="13"/>
    </row>
    <row r="38" spans="3:5">
      <c r="C38" s="13"/>
      <c r="E38" s="13"/>
    </row>
    <row r="39" spans="3:5">
      <c r="C39" s="13"/>
      <c r="E39" s="13"/>
    </row>
    <row r="40" spans="3:5">
      <c r="C40" s="13"/>
      <c r="E40" s="13"/>
    </row>
    <row r="41" spans="3:5">
      <c r="C41" s="13"/>
      <c r="E41" s="13"/>
    </row>
    <row r="42" spans="3:5">
      <c r="C42" s="13"/>
      <c r="E42" s="13"/>
    </row>
    <row r="43" spans="3:5">
      <c r="C43" s="13"/>
      <c r="E43" s="13"/>
    </row>
    <row r="44" spans="3:5">
      <c r="C44" s="13"/>
      <c r="E44" s="13"/>
    </row>
    <row r="45" spans="3:5">
      <c r="C45" s="13"/>
      <c r="E45" s="13"/>
    </row>
    <row r="46" spans="3:5">
      <c r="C46" s="13"/>
      <c r="E46" s="13"/>
    </row>
    <row r="47" spans="3:5">
      <c r="C47" s="13"/>
      <c r="E47" s="13"/>
    </row>
    <row r="48" spans="3:5">
      <c r="C48" s="13"/>
      <c r="E48" s="13"/>
    </row>
    <row r="49" spans="3:5">
      <c r="C49" s="13"/>
      <c r="E49" s="13"/>
    </row>
    <row r="50" spans="3:5">
      <c r="C50" s="13"/>
      <c r="E50" s="13"/>
    </row>
    <row r="51" spans="3:5">
      <c r="C51" s="13"/>
      <c r="E51" s="13"/>
    </row>
    <row r="52" spans="3:5">
      <c r="C52" s="13"/>
      <c r="E52" s="13"/>
    </row>
    <row r="53" spans="3:5">
      <c r="C53" s="13"/>
      <c r="E53" s="13"/>
    </row>
    <row r="54" spans="3:5">
      <c r="C54" s="13"/>
      <c r="E54" s="13"/>
    </row>
    <row r="55" spans="3:5">
      <c r="C55" s="13"/>
      <c r="E55" s="13"/>
    </row>
    <row r="56" spans="3:5">
      <c r="C56" s="13"/>
      <c r="E56" s="13"/>
    </row>
    <row r="57" spans="3:5">
      <c r="C57" s="13"/>
      <c r="E57" s="13"/>
    </row>
    <row r="58" spans="3:5">
      <c r="C58" s="13"/>
      <c r="E58" s="13"/>
    </row>
    <row r="59" spans="3:5">
      <c r="C59" s="13"/>
      <c r="E59" s="13"/>
    </row>
    <row r="60" spans="3:5">
      <c r="C60" s="13"/>
      <c r="E60" s="13"/>
    </row>
    <row r="61" spans="3:5">
      <c r="C61" s="13"/>
      <c r="E61" s="13"/>
    </row>
    <row r="62" spans="3:5">
      <c r="C62" s="13"/>
      <c r="E62" s="13"/>
    </row>
    <row r="63" spans="3:5">
      <c r="C63" s="13"/>
      <c r="E63" s="13"/>
    </row>
    <row r="64" spans="3:5">
      <c r="C64" s="13"/>
      <c r="E64" s="13"/>
    </row>
    <row r="65" spans="3:5">
      <c r="C65" s="13"/>
      <c r="E65" s="13"/>
    </row>
    <row r="66" spans="3:5">
      <c r="C66" s="13"/>
      <c r="E66" s="13"/>
    </row>
    <row r="67" spans="3:5">
      <c r="C67" s="13"/>
      <c r="E67" s="13"/>
    </row>
    <row r="68" spans="3:5">
      <c r="C68" s="13"/>
      <c r="E68" s="13"/>
    </row>
    <row r="69" spans="3:5">
      <c r="C69" s="13"/>
      <c r="E69" s="13"/>
    </row>
    <row r="70" spans="3:5">
      <c r="C70" s="13"/>
      <c r="E70" s="13"/>
    </row>
    <row r="71" spans="3:5">
      <c r="C71" s="13"/>
      <c r="E71" s="13"/>
    </row>
    <row r="72" spans="3:5">
      <c r="C72" s="13"/>
      <c r="E72" s="13"/>
    </row>
    <row r="73" spans="3:5">
      <c r="C73" s="13"/>
      <c r="E73" s="13"/>
    </row>
    <row r="74" spans="3:5">
      <c r="C74" s="13"/>
      <c r="E74" s="13"/>
    </row>
    <row r="75" spans="3:5">
      <c r="C75" s="13"/>
      <c r="E75" s="13"/>
    </row>
    <row r="76" spans="3:5">
      <c r="C76" s="13"/>
      <c r="E76" s="13"/>
    </row>
    <row r="77" spans="3:5">
      <c r="C77" s="13"/>
      <c r="E77" s="13"/>
    </row>
    <row r="78" spans="3:5">
      <c r="C78" s="13"/>
      <c r="E78" s="13"/>
    </row>
    <row r="79" spans="3:5">
      <c r="C79" s="13"/>
      <c r="E79" s="13"/>
    </row>
    <row r="80" spans="3:5">
      <c r="C80" s="13"/>
      <c r="E80" s="13"/>
    </row>
    <row r="81" spans="3:5">
      <c r="C81" s="13"/>
      <c r="E81" s="13"/>
    </row>
    <row r="82" spans="3:5">
      <c r="C82" s="13"/>
      <c r="E82" s="13"/>
    </row>
    <row r="83" spans="3:5">
      <c r="C83" s="13"/>
      <c r="E83" s="13"/>
    </row>
    <row r="84" spans="3:5">
      <c r="C84" s="13"/>
      <c r="E84" s="13"/>
    </row>
    <row r="85" spans="3:5">
      <c r="C85" s="13"/>
      <c r="E85" s="13"/>
    </row>
    <row r="86" spans="3:5">
      <c r="C86" s="13"/>
      <c r="E86" s="13"/>
    </row>
    <row r="87" spans="3:5">
      <c r="C87" s="13"/>
      <c r="E87" s="13"/>
    </row>
    <row r="88" spans="3:5">
      <c r="C88" s="13"/>
      <c r="E88" s="13"/>
    </row>
    <row r="89" spans="3:5">
      <c r="C89" s="13"/>
      <c r="E89" s="13"/>
    </row>
    <row r="90" spans="3:5">
      <c r="C90" s="13"/>
      <c r="E90" s="13"/>
    </row>
    <row r="91" spans="3:5">
      <c r="C91" s="13"/>
      <c r="E91" s="13"/>
    </row>
    <row r="92" spans="3:5">
      <c r="C92" s="13"/>
      <c r="E92" s="13"/>
    </row>
    <row r="93" spans="3:5">
      <c r="C93" s="13"/>
      <c r="E93" s="13"/>
    </row>
    <row r="94" spans="3:5">
      <c r="C94" s="13"/>
      <c r="E94" s="13"/>
    </row>
    <row r="95" spans="3:5">
      <c r="C95" s="13"/>
      <c r="E95" s="13"/>
    </row>
    <row r="96" spans="3:5">
      <c r="C96" s="13"/>
      <c r="E96" s="13"/>
    </row>
    <row r="97" spans="3:5">
      <c r="C97" s="13"/>
      <c r="E97" s="13"/>
    </row>
    <row r="98" spans="3:5">
      <c r="C98" s="13"/>
      <c r="E98" s="13"/>
    </row>
    <row r="99" spans="3:5">
      <c r="C99" s="13"/>
      <c r="E99" s="13"/>
    </row>
    <row r="100" spans="3:5">
      <c r="C100" s="13"/>
      <c r="E100" s="13"/>
    </row>
    <row r="101" spans="3:5">
      <c r="C101" s="13"/>
      <c r="E101" s="13"/>
    </row>
    <row r="102" spans="3:5">
      <c r="C102" s="13"/>
      <c r="E102" s="13"/>
    </row>
    <row r="103" spans="3:5">
      <c r="C103" s="13"/>
      <c r="E103" s="13"/>
    </row>
    <row r="104" spans="3:5">
      <c r="C104" s="13"/>
      <c r="E104" s="13"/>
    </row>
    <row r="105" spans="3:5">
      <c r="C105" s="13"/>
      <c r="E105" s="13"/>
    </row>
    <row r="106" spans="3:5">
      <c r="C106" s="13"/>
      <c r="E106" s="13"/>
    </row>
    <row r="107" spans="3:5">
      <c r="C107" s="13"/>
      <c r="E107" s="13"/>
    </row>
    <row r="108" spans="3:5">
      <c r="C108" s="13"/>
      <c r="E108" s="13"/>
    </row>
    <row r="109" spans="3:5">
      <c r="C109" s="13"/>
      <c r="E109" s="13"/>
    </row>
    <row r="110" spans="3:5">
      <c r="C110" s="13"/>
      <c r="E110" s="13"/>
    </row>
    <row r="111" spans="3:5">
      <c r="C111" s="13"/>
      <c r="E111" s="13"/>
    </row>
    <row r="112" spans="3:5">
      <c r="C112" s="13"/>
      <c r="E112" s="13"/>
    </row>
    <row r="113" spans="3:5">
      <c r="C113" s="13"/>
      <c r="E113" s="13"/>
    </row>
    <row r="114" spans="3:5">
      <c r="C114" s="13"/>
      <c r="E114" s="13"/>
    </row>
    <row r="115" spans="3:5">
      <c r="C115" s="13"/>
      <c r="E115" s="13"/>
    </row>
    <row r="116" spans="3:5">
      <c r="C116" s="13"/>
      <c r="E116" s="13"/>
    </row>
    <row r="117" spans="3:5">
      <c r="C117" s="13"/>
      <c r="E117" s="13"/>
    </row>
    <row r="118" spans="3:5">
      <c r="C118" s="13"/>
      <c r="E118" s="13"/>
    </row>
    <row r="119" spans="3:5">
      <c r="C119" s="13"/>
      <c r="E119" s="13"/>
    </row>
    <row r="120" spans="3:5">
      <c r="C120" s="13"/>
      <c r="E120" s="13"/>
    </row>
    <row r="121" spans="3:5">
      <c r="C121" s="13"/>
      <c r="E121" s="13"/>
    </row>
    <row r="122" spans="3:5">
      <c r="C122" s="13"/>
      <c r="E122" s="13"/>
    </row>
    <row r="123" spans="3:5">
      <c r="C123" s="13"/>
      <c r="E123" s="13"/>
    </row>
    <row r="124" spans="3:5">
      <c r="C124" s="13"/>
      <c r="E124" s="13"/>
    </row>
    <row r="125" spans="3:5">
      <c r="C125" s="13"/>
      <c r="E125" s="13"/>
    </row>
    <row r="126" spans="3:5">
      <c r="C126" s="13"/>
      <c r="E126" s="13"/>
    </row>
    <row r="127" spans="3:5">
      <c r="C127" s="13"/>
      <c r="E127" s="13"/>
    </row>
    <row r="128" spans="3:5">
      <c r="C128" s="13"/>
      <c r="E128" s="13"/>
    </row>
    <row r="129" spans="3:5">
      <c r="C129" s="13"/>
      <c r="E129" s="13"/>
    </row>
    <row r="130" spans="3:5">
      <c r="C130" s="13"/>
      <c r="E130" s="13"/>
    </row>
    <row r="131" spans="3:5">
      <c r="C131" s="13"/>
      <c r="E131" s="13"/>
    </row>
    <row r="132" spans="3:5">
      <c r="C132" s="13"/>
      <c r="E132" s="13"/>
    </row>
    <row r="133" spans="3:5">
      <c r="C133" s="13"/>
      <c r="E133" s="13"/>
    </row>
    <row r="134" spans="3:5">
      <c r="C134" s="13"/>
      <c r="E134" s="13"/>
    </row>
    <row r="135" spans="3:5">
      <c r="C135" s="13"/>
      <c r="E135" s="13"/>
    </row>
    <row r="136" spans="3:5">
      <c r="C136" s="13"/>
      <c r="E136" s="13"/>
    </row>
    <row r="137" spans="3:5">
      <c r="C137" s="13"/>
      <c r="E137" s="13"/>
    </row>
    <row r="138" spans="3:5">
      <c r="C138" s="13"/>
      <c r="E138" s="13"/>
    </row>
    <row r="139" spans="3:5">
      <c r="C139" s="13"/>
      <c r="E139" s="13"/>
    </row>
    <row r="140" spans="3:5">
      <c r="C140" s="13"/>
      <c r="E140" s="13"/>
    </row>
    <row r="141" spans="3:5">
      <c r="C141" s="13"/>
      <c r="E141" s="13"/>
    </row>
    <row r="142" spans="3:5">
      <c r="C142" s="13"/>
      <c r="E142" s="13"/>
    </row>
    <row r="143" spans="3:5">
      <c r="C143" s="13"/>
      <c r="E143" s="13"/>
    </row>
    <row r="144" spans="3:5">
      <c r="C144" s="13"/>
      <c r="E144" s="13"/>
    </row>
    <row r="145" spans="3:5">
      <c r="C145" s="13"/>
      <c r="E145" s="13"/>
    </row>
    <row r="146" spans="3:5">
      <c r="C146" s="13"/>
      <c r="E146" s="13"/>
    </row>
    <row r="147" spans="3:5">
      <c r="C147" s="13"/>
      <c r="E147" s="13"/>
    </row>
    <row r="148" spans="3:5">
      <c r="C148" s="13"/>
      <c r="E148" s="13"/>
    </row>
    <row r="149" spans="3:5">
      <c r="C149" s="13"/>
      <c r="E149" s="13"/>
    </row>
    <row r="150" spans="3:5">
      <c r="C150" s="13"/>
      <c r="E150" s="13"/>
    </row>
    <row r="151" spans="3:5">
      <c r="C151" s="13"/>
      <c r="E151" s="13"/>
    </row>
    <row r="152" spans="3:5">
      <c r="C152" s="13"/>
      <c r="E152" s="13"/>
    </row>
    <row r="153" spans="3:5">
      <c r="C153" s="13"/>
      <c r="E153" s="13"/>
    </row>
    <row r="154" spans="3:5">
      <c r="C154" s="13"/>
      <c r="E154" s="13"/>
    </row>
    <row r="155" spans="3:5">
      <c r="C155" s="13"/>
      <c r="E155" s="13"/>
    </row>
    <row r="156" spans="3:5">
      <c r="C156" s="13"/>
      <c r="E156" s="13"/>
    </row>
    <row r="157" spans="3:5">
      <c r="C157" s="13"/>
      <c r="E157" s="13"/>
    </row>
    <row r="158" spans="3:5">
      <c r="C158" s="13"/>
      <c r="E158" s="13"/>
    </row>
    <row r="159" spans="3:5">
      <c r="C159" s="13"/>
      <c r="E159" s="13"/>
    </row>
    <row r="160" spans="3:5">
      <c r="C160" s="13"/>
      <c r="E160" s="13"/>
    </row>
    <row r="161" spans="3:5">
      <c r="C161" s="13"/>
      <c r="E161" s="13"/>
    </row>
    <row r="162" spans="3:5">
      <c r="C162" s="13"/>
      <c r="E162" s="13"/>
    </row>
    <row r="163" spans="3:5">
      <c r="C163" s="13"/>
      <c r="E163" s="13"/>
    </row>
    <row r="164" spans="3:5">
      <c r="C164" s="13"/>
      <c r="E164" s="13"/>
    </row>
    <row r="165" spans="3:5">
      <c r="C165" s="13"/>
      <c r="E165" s="13"/>
    </row>
    <row r="166" spans="3:5">
      <c r="C166" s="13"/>
      <c r="E166" s="13"/>
    </row>
    <row r="167" spans="3:5">
      <c r="C167" s="13"/>
      <c r="E167" s="13"/>
    </row>
    <row r="168" spans="3:5">
      <c r="C168" s="13"/>
      <c r="E168" s="13"/>
    </row>
    <row r="169" spans="3:5">
      <c r="C169" s="13"/>
      <c r="E169" s="13"/>
    </row>
    <row r="170" spans="3:5">
      <c r="C170" s="13"/>
      <c r="E170" s="13"/>
    </row>
    <row r="171" spans="3:5">
      <c r="C171" s="13"/>
      <c r="E171" s="13"/>
    </row>
    <row r="172" spans="3:5">
      <c r="C172" s="13"/>
      <c r="E172" s="13"/>
    </row>
    <row r="173" spans="3:5">
      <c r="C173" s="13"/>
      <c r="E173" s="13"/>
    </row>
    <row r="174" spans="3:5">
      <c r="C174" s="13"/>
      <c r="E174" s="13"/>
    </row>
    <row r="175" spans="3:5">
      <c r="C175" s="13"/>
      <c r="E175" s="13"/>
    </row>
    <row r="176" spans="3:5">
      <c r="C176" s="13"/>
      <c r="E176" s="13"/>
    </row>
    <row r="177" spans="3:5">
      <c r="C177" s="13"/>
      <c r="E177" s="13"/>
    </row>
    <row r="178" spans="3:5">
      <c r="C178" s="13"/>
      <c r="E178" s="13"/>
    </row>
    <row r="179" spans="3:5">
      <c r="C179" s="13"/>
      <c r="E179" s="13"/>
    </row>
    <row r="180" spans="3:5">
      <c r="C180" s="13"/>
      <c r="E180" s="13"/>
    </row>
    <row r="181" spans="3:5">
      <c r="C181" s="13"/>
      <c r="E181" s="13"/>
    </row>
    <row r="182" spans="3:5">
      <c r="C182" s="13"/>
      <c r="E182" s="13"/>
    </row>
    <row r="183" spans="3:5">
      <c r="C183" s="13"/>
      <c r="E183" s="13"/>
    </row>
    <row r="184" spans="3:5">
      <c r="C184" s="13"/>
      <c r="E184" s="13"/>
    </row>
    <row r="185" spans="3:5">
      <c r="C185" s="13"/>
      <c r="E185" s="13"/>
    </row>
    <row r="186" spans="3:5">
      <c r="C186" s="13"/>
      <c r="E186" s="13"/>
    </row>
    <row r="187" spans="3:5">
      <c r="C187" s="13"/>
      <c r="E187" s="13"/>
    </row>
    <row r="188" spans="3:5">
      <c r="C188" s="13"/>
      <c r="E188" s="13"/>
    </row>
    <row r="189" spans="3:5">
      <c r="C189" s="13"/>
      <c r="E189" s="13"/>
    </row>
    <row r="190" spans="3:5">
      <c r="C190" s="13"/>
      <c r="E190" s="13"/>
    </row>
    <row r="191" spans="3:5">
      <c r="C191" s="13"/>
      <c r="E191" s="13"/>
    </row>
    <row r="192" spans="3:5">
      <c r="C192" s="13"/>
      <c r="E192" s="13"/>
    </row>
    <row r="193" spans="3:5">
      <c r="C193" s="13"/>
      <c r="E193" s="13"/>
    </row>
    <row r="194" spans="3:5">
      <c r="C194" s="13"/>
      <c r="E194" s="13"/>
    </row>
    <row r="195" spans="3:5">
      <c r="C195" s="13"/>
      <c r="E195" s="13"/>
    </row>
    <row r="196" spans="3:5">
      <c r="C196" s="13"/>
      <c r="E196" s="13"/>
    </row>
    <row r="197" spans="3:5">
      <c r="C197" s="13"/>
      <c r="E197" s="13"/>
    </row>
    <row r="198" spans="3:5">
      <c r="C198" s="13"/>
      <c r="E198" s="13"/>
    </row>
    <row r="199" spans="3:5">
      <c r="C199" s="13"/>
      <c r="E199" s="13"/>
    </row>
    <row r="200" spans="3:5">
      <c r="C200" s="13"/>
      <c r="E200" s="13"/>
    </row>
    <row r="201" spans="3:5">
      <c r="C201" s="13"/>
      <c r="E201" s="13"/>
    </row>
    <row r="202" spans="3:5">
      <c r="C202" s="13"/>
      <c r="E202" s="13"/>
    </row>
    <row r="203" spans="3:5">
      <c r="C203" s="13"/>
      <c r="E203" s="13"/>
    </row>
    <row r="204" spans="3:5">
      <c r="C204" s="13"/>
      <c r="E204" s="13"/>
    </row>
    <row r="205" spans="3:5">
      <c r="C205" s="13"/>
      <c r="E205" s="13"/>
    </row>
    <row r="206" spans="3:5">
      <c r="C206" s="13"/>
      <c r="E206" s="13"/>
    </row>
    <row r="207" spans="3:5">
      <c r="C207" s="13"/>
      <c r="E207" s="13"/>
    </row>
    <row r="208" spans="3:5">
      <c r="C208" s="13"/>
      <c r="E208" s="13"/>
    </row>
    <row r="209" spans="3:5">
      <c r="C209" s="13"/>
      <c r="E209" s="13"/>
    </row>
    <row r="210" spans="3:5">
      <c r="C210" s="13"/>
      <c r="E210" s="13"/>
    </row>
    <row r="211" spans="3:5">
      <c r="C211" s="13"/>
      <c r="E211" s="13"/>
    </row>
    <row r="212" spans="3:5">
      <c r="C212" s="13"/>
      <c r="E212" s="13"/>
    </row>
    <row r="213" spans="3:5">
      <c r="C213" s="13"/>
      <c r="E213" s="13"/>
    </row>
    <row r="214" spans="3:5">
      <c r="C214" s="13"/>
      <c r="E214" s="13"/>
    </row>
    <row r="215" spans="3:5">
      <c r="C215" s="13"/>
      <c r="E215" s="13"/>
    </row>
    <row r="216" spans="3:5">
      <c r="C216" s="13"/>
      <c r="E216" s="13"/>
    </row>
    <row r="217" spans="3:5">
      <c r="C217" s="13"/>
      <c r="E217" s="13"/>
    </row>
    <row r="218" spans="3:5">
      <c r="C218" s="13"/>
      <c r="E218" s="13"/>
    </row>
    <row r="219" spans="3:5">
      <c r="C219" s="13"/>
      <c r="E219" s="13"/>
    </row>
    <row r="220" spans="3:5">
      <c r="C220" s="13"/>
      <c r="E220" s="13"/>
    </row>
    <row r="221" spans="3:5">
      <c r="C221" s="13"/>
      <c r="E221" s="13"/>
    </row>
    <row r="222" spans="3:5">
      <c r="C222" s="13"/>
      <c r="E222" s="13"/>
    </row>
    <row r="223" spans="3:5">
      <c r="C223" s="13"/>
      <c r="E223" s="13"/>
    </row>
    <row r="224" spans="3:5">
      <c r="C224" s="13"/>
      <c r="E224" s="13"/>
    </row>
    <row r="225" spans="3:5">
      <c r="C225" s="13"/>
      <c r="E225" s="13"/>
    </row>
    <row r="226" spans="3:5">
      <c r="C226" s="13"/>
      <c r="E226" s="13"/>
    </row>
    <row r="227" spans="3:5">
      <c r="C227" s="13"/>
      <c r="E227" s="13"/>
    </row>
    <row r="228" spans="3:5">
      <c r="C228" s="13"/>
      <c r="E228" s="13"/>
    </row>
    <row r="229" spans="3:5">
      <c r="C229" s="13"/>
      <c r="E229" s="13"/>
    </row>
    <row r="230" spans="3:5">
      <c r="C230" s="13"/>
      <c r="E230" s="13"/>
    </row>
    <row r="231" spans="3:5">
      <c r="C231" s="13"/>
      <c r="E231" s="13"/>
    </row>
    <row r="232" spans="3:5">
      <c r="C232" s="13"/>
      <c r="E232" s="13"/>
    </row>
    <row r="233" spans="3:5">
      <c r="C233" s="13"/>
      <c r="E233" s="13"/>
    </row>
    <row r="234" spans="3:5">
      <c r="C234" s="13"/>
      <c r="E234" s="13"/>
    </row>
    <row r="235" spans="3:5">
      <c r="C235" s="13"/>
      <c r="E235" s="13"/>
    </row>
    <row r="236" spans="3:5">
      <c r="C236" s="13"/>
      <c r="E236" s="13"/>
    </row>
    <row r="237" spans="3:5">
      <c r="C237" s="13"/>
      <c r="E237" s="13"/>
    </row>
    <row r="238" spans="3:5">
      <c r="C238" s="13"/>
      <c r="E238" s="13"/>
    </row>
    <row r="239" spans="3:5">
      <c r="C239" s="13"/>
      <c r="E239" s="13"/>
    </row>
    <row r="240" spans="3:5">
      <c r="C240" s="13"/>
      <c r="E240" s="13"/>
    </row>
    <row r="241" spans="3:5">
      <c r="C241" s="13"/>
      <c r="E241" s="13"/>
    </row>
    <row r="242" spans="3:5">
      <c r="C242" s="13"/>
      <c r="E242" s="13"/>
    </row>
    <row r="243" spans="3:5">
      <c r="C243" s="13"/>
      <c r="E243" s="13"/>
    </row>
    <row r="244" spans="3:5">
      <c r="C244" s="13"/>
      <c r="E244" s="13"/>
    </row>
    <row r="245" spans="3:5">
      <c r="C245" s="13"/>
      <c r="E245" s="13"/>
    </row>
    <row r="246" spans="3:5">
      <c r="C246" s="13"/>
    </row>
    <row r="247" spans="3:5">
      <c r="C247" s="13"/>
    </row>
    <row r="248" spans="3:5">
      <c r="C248" s="13"/>
    </row>
    <row r="249" spans="3:5">
      <c r="C249" s="13"/>
    </row>
    <row r="250" spans="3:5">
      <c r="C250" s="13"/>
    </row>
    <row r="251" spans="3:5">
      <c r="C251" s="13"/>
    </row>
    <row r="252" spans="3:5">
      <c r="C252" s="13"/>
    </row>
    <row r="253" spans="3:5">
      <c r="C253" s="13"/>
    </row>
    <row r="254" spans="3:5">
      <c r="C254" s="13"/>
    </row>
    <row r="255" spans="3:5">
      <c r="C255" s="13"/>
    </row>
    <row r="256" spans="3:5">
      <c r="C256" s="13"/>
    </row>
    <row r="257" spans="3:3">
      <c r="C257" s="13"/>
    </row>
    <row r="258" spans="3:3">
      <c r="C258" s="13"/>
    </row>
    <row r="259" spans="3:3">
      <c r="C259" s="13"/>
    </row>
    <row r="260" spans="3:3">
      <c r="C260" s="13"/>
    </row>
    <row r="261" spans="3:3">
      <c r="C261" s="13"/>
    </row>
    <row r="262" spans="3:3">
      <c r="C262" s="13"/>
    </row>
    <row r="263" spans="3:3">
      <c r="C263" s="13"/>
    </row>
    <row r="264" spans="3:3">
      <c r="C264" s="13"/>
    </row>
    <row r="265" spans="3:3">
      <c r="C265" s="13"/>
    </row>
    <row r="266" spans="3:3">
      <c r="C266" s="13"/>
    </row>
    <row r="267" spans="3:3">
      <c r="C267" s="13"/>
    </row>
    <row r="268" spans="3:3">
      <c r="C268" s="13"/>
    </row>
    <row r="269" spans="3:3">
      <c r="C269" s="13"/>
    </row>
    <row r="270" spans="3:3">
      <c r="C270" s="13"/>
    </row>
    <row r="271" spans="3:3">
      <c r="C271" s="13"/>
    </row>
    <row r="272" spans="3:3">
      <c r="C272" s="13"/>
    </row>
    <row r="273" spans="3:3">
      <c r="C273" s="13"/>
    </row>
    <row r="274" spans="3:3">
      <c r="C274" s="13"/>
    </row>
    <row r="275" spans="3:3">
      <c r="C275" s="13"/>
    </row>
    <row r="276" spans="3:3">
      <c r="C276" s="13"/>
    </row>
    <row r="277" spans="3:3">
      <c r="C277" s="13"/>
    </row>
    <row r="278" spans="3:3">
      <c r="C278" s="13"/>
    </row>
    <row r="279" spans="3:3">
      <c r="C279" s="13"/>
    </row>
    <row r="280" spans="3:3">
      <c r="C280" s="13"/>
    </row>
    <row r="281" spans="3:3">
      <c r="C281" s="13"/>
    </row>
    <row r="282" spans="3:3">
      <c r="C282" s="13"/>
    </row>
    <row r="283" spans="3:3">
      <c r="C283" s="13"/>
    </row>
    <row r="284" spans="3:3">
      <c r="C284" s="13"/>
    </row>
    <row r="285" spans="3:3">
      <c r="C285" s="13"/>
    </row>
    <row r="286" spans="3:3">
      <c r="C286" s="13"/>
    </row>
    <row r="287" spans="3:3">
      <c r="C287" s="13"/>
    </row>
    <row r="288" spans="3:3">
      <c r="C288" s="13"/>
    </row>
    <row r="289" spans="3:3">
      <c r="C289" s="13"/>
    </row>
    <row r="290" spans="3:3">
      <c r="C290" s="13"/>
    </row>
    <row r="291" spans="3:3">
      <c r="C291" s="13"/>
    </row>
    <row r="292" spans="3:3">
      <c r="C292" s="13"/>
    </row>
    <row r="293" spans="3:3">
      <c r="C293" s="13"/>
    </row>
    <row r="294" spans="3:3">
      <c r="C294" s="13"/>
    </row>
    <row r="295" spans="3:3">
      <c r="C295" s="13"/>
    </row>
    <row r="296" spans="3:3">
      <c r="C296" s="13"/>
    </row>
    <row r="297" spans="3:3">
      <c r="C297" s="13"/>
    </row>
    <row r="298" spans="3:3">
      <c r="C298" s="13"/>
    </row>
    <row r="299" spans="3:3">
      <c r="C299" s="13"/>
    </row>
    <row r="300" spans="3:3">
      <c r="C300" s="13"/>
    </row>
    <row r="301" spans="3:3">
      <c r="C301" s="13"/>
    </row>
    <row r="302" spans="3:3">
      <c r="C302" s="13"/>
    </row>
    <row r="303" spans="3:3">
      <c r="C303" s="13"/>
    </row>
    <row r="304" spans="3:3">
      <c r="C304" s="13"/>
    </row>
    <row r="305" spans="3:3">
      <c r="C305" s="13"/>
    </row>
    <row r="306" spans="3:3">
      <c r="C306" s="13"/>
    </row>
    <row r="307" spans="3:3">
      <c r="C307" s="13"/>
    </row>
    <row r="308" spans="3:3">
      <c r="C308" s="13"/>
    </row>
    <row r="309" spans="3:3">
      <c r="C309" s="13"/>
    </row>
    <row r="310" spans="3:3">
      <c r="C310" s="13"/>
    </row>
    <row r="311" spans="3:3">
      <c r="C311" s="13"/>
    </row>
    <row r="312" spans="3:3">
      <c r="C312" s="13"/>
    </row>
    <row r="313" spans="3:3">
      <c r="C313" s="13"/>
    </row>
    <row r="314" spans="3:3">
      <c r="C314" s="13"/>
    </row>
    <row r="315" spans="3:3">
      <c r="C315" s="13"/>
    </row>
    <row r="316" spans="3:3">
      <c r="C316" s="13"/>
    </row>
    <row r="317" spans="3:3">
      <c r="C317" s="13"/>
    </row>
    <row r="318" spans="3:3">
      <c r="C318" s="13"/>
    </row>
    <row r="319" spans="3:3">
      <c r="C319" s="13"/>
    </row>
    <row r="320" spans="3:3">
      <c r="C320" s="13"/>
    </row>
    <row r="321" spans="3:3">
      <c r="C321" s="13"/>
    </row>
    <row r="322" spans="3:3">
      <c r="C322" s="13"/>
    </row>
    <row r="323" spans="3:3">
      <c r="C323" s="13"/>
    </row>
    <row r="324" spans="3:3">
      <c r="C324" s="13"/>
    </row>
    <row r="325" spans="3:3">
      <c r="C325" s="13"/>
    </row>
    <row r="326" spans="3:3">
      <c r="C326" s="13"/>
    </row>
    <row r="327" spans="3:3">
      <c r="C327" s="13"/>
    </row>
    <row r="328" spans="3:3">
      <c r="C328" s="13"/>
    </row>
    <row r="329" spans="3:3">
      <c r="C329" s="13"/>
    </row>
    <row r="330" spans="3:3">
      <c r="C330" s="13"/>
    </row>
    <row r="331" spans="3:3">
      <c r="C331" s="13"/>
    </row>
    <row r="332" spans="3:3">
      <c r="C332" s="13"/>
    </row>
    <row r="333" spans="3:3">
      <c r="C333" s="13"/>
    </row>
    <row r="334" spans="3:3">
      <c r="C334" s="13"/>
    </row>
    <row r="335" spans="3:3">
      <c r="C335" s="13"/>
    </row>
    <row r="336" spans="3:3">
      <c r="C336" s="13"/>
    </row>
    <row r="337" spans="3:3">
      <c r="C337" s="13"/>
    </row>
    <row r="338" spans="3:3">
      <c r="C338" s="13"/>
    </row>
    <row r="339" spans="3:3">
      <c r="C339" s="13"/>
    </row>
    <row r="340" spans="3:3">
      <c r="C340" s="13"/>
    </row>
    <row r="341" spans="3:3">
      <c r="C341" s="13"/>
    </row>
    <row r="342" spans="3:3">
      <c r="C342" s="13"/>
    </row>
    <row r="343" spans="3:3">
      <c r="C343" s="13"/>
    </row>
    <row r="344" spans="3:3">
      <c r="C344" s="13"/>
    </row>
    <row r="345" spans="3:3">
      <c r="C345" s="13"/>
    </row>
    <row r="346" spans="3:3">
      <c r="C346" s="13"/>
    </row>
    <row r="347" spans="3:3">
      <c r="C347" s="13"/>
    </row>
    <row r="348" spans="3:3">
      <c r="C348" s="13"/>
    </row>
    <row r="349" spans="3:3">
      <c r="C349" s="13"/>
    </row>
    <row r="350" spans="3:3">
      <c r="C350" s="13"/>
    </row>
    <row r="351" spans="3:3">
      <c r="C351" s="13"/>
    </row>
    <row r="352" spans="3:3">
      <c r="C352" s="13"/>
    </row>
    <row r="353" spans="3:3">
      <c r="C353" s="13"/>
    </row>
    <row r="354" spans="3:3">
      <c r="C354" s="13"/>
    </row>
    <row r="355" spans="3:3">
      <c r="C355" s="13"/>
    </row>
    <row r="356" spans="3:3">
      <c r="C356" s="13"/>
    </row>
    <row r="357" spans="3:3">
      <c r="C357" s="13"/>
    </row>
    <row r="358" spans="3:3">
      <c r="C358" s="13"/>
    </row>
    <row r="359" spans="3:3">
      <c r="C359" s="13"/>
    </row>
    <row r="360" spans="3:3">
      <c r="C360" s="13"/>
    </row>
    <row r="361" spans="3:3">
      <c r="C361" s="13"/>
    </row>
    <row r="362" spans="3:3">
      <c r="C362" s="13"/>
    </row>
    <row r="363" spans="3:3">
      <c r="C363" s="13"/>
    </row>
    <row r="364" spans="3:3">
      <c r="C364" s="13"/>
    </row>
    <row r="365" spans="3:3">
      <c r="C365" s="13"/>
    </row>
    <row r="366" spans="3:3">
      <c r="C366" s="13"/>
    </row>
    <row r="367" spans="3:3">
      <c r="C367" s="13"/>
    </row>
    <row r="368" spans="3:3">
      <c r="C368" s="13"/>
    </row>
    <row r="369" spans="3:3">
      <c r="C369" s="13"/>
    </row>
    <row r="370" spans="3:3">
      <c r="C370" s="13"/>
    </row>
    <row r="371" spans="3:3">
      <c r="C371" s="13"/>
    </row>
    <row r="372" spans="3:3">
      <c r="C372" s="13"/>
    </row>
    <row r="373" spans="3:3">
      <c r="C373" s="13"/>
    </row>
    <row r="374" spans="3:3">
      <c r="C374" s="13"/>
    </row>
    <row r="375" spans="3:3">
      <c r="C375" s="13"/>
    </row>
    <row r="376" spans="3:3">
      <c r="C376" s="13"/>
    </row>
    <row r="377" spans="3:3">
      <c r="C377" s="13"/>
    </row>
    <row r="378" spans="3:3">
      <c r="C378" s="13"/>
    </row>
    <row r="379" spans="3:3">
      <c r="C379" s="13"/>
    </row>
    <row r="380" spans="3:3">
      <c r="C380" s="13"/>
    </row>
    <row r="381" spans="3:3">
      <c r="C381" s="13"/>
    </row>
    <row r="382" spans="3:3">
      <c r="C382" s="13"/>
    </row>
    <row r="383" spans="3:3">
      <c r="C383" s="13"/>
    </row>
    <row r="384" spans="3:3">
      <c r="C384" s="13"/>
    </row>
    <row r="385" spans="3:3">
      <c r="C385" s="13"/>
    </row>
    <row r="386" spans="3:3">
      <c r="C386" s="13"/>
    </row>
    <row r="387" spans="3:3">
      <c r="C387" s="13"/>
    </row>
    <row r="388" spans="3:3">
      <c r="C388" s="13"/>
    </row>
    <row r="389" spans="3:3">
      <c r="C389" s="13"/>
    </row>
    <row r="390" spans="3:3">
      <c r="C390" s="13"/>
    </row>
    <row r="391" spans="3:3">
      <c r="C391" s="13"/>
    </row>
    <row r="392" spans="3:3">
      <c r="C392" s="13"/>
    </row>
    <row r="393" spans="3:3">
      <c r="C393" s="13"/>
    </row>
    <row r="394" spans="3:3">
      <c r="C394" s="13"/>
    </row>
    <row r="395" spans="3:3">
      <c r="C395" s="13"/>
    </row>
    <row r="396" spans="3:3">
      <c r="C396" s="13"/>
    </row>
    <row r="397" spans="3:3">
      <c r="C397" s="13"/>
    </row>
    <row r="398" spans="3:3">
      <c r="C398" s="13"/>
    </row>
    <row r="399" spans="3:3">
      <c r="C399" s="13"/>
    </row>
    <row r="400" spans="3:3">
      <c r="C400" s="13"/>
    </row>
    <row r="401" spans="3:3">
      <c r="C401" s="13"/>
    </row>
    <row r="402" spans="3:3">
      <c r="C402" s="13"/>
    </row>
    <row r="403" spans="3:3">
      <c r="C403" s="13"/>
    </row>
    <row r="404" spans="3:3">
      <c r="C404" s="13"/>
    </row>
    <row r="405" spans="3:3">
      <c r="C405" s="13"/>
    </row>
    <row r="406" spans="3:3">
      <c r="C406" s="13"/>
    </row>
    <row r="407" spans="3:3">
      <c r="C407" s="13"/>
    </row>
    <row r="408" spans="3:3">
      <c r="C408" s="13"/>
    </row>
    <row r="409" spans="3:3">
      <c r="C409" s="13"/>
    </row>
    <row r="410" spans="3:3">
      <c r="C410" s="13"/>
    </row>
    <row r="411" spans="3:3">
      <c r="C411" s="13"/>
    </row>
    <row r="412" spans="3:3">
      <c r="C412" s="13"/>
    </row>
    <row r="413" spans="3:3">
      <c r="C413" s="13"/>
    </row>
    <row r="414" spans="3:3">
      <c r="C414" s="13"/>
    </row>
    <row r="415" spans="3:3">
      <c r="C415" s="13"/>
    </row>
    <row r="416" spans="3:3">
      <c r="C416" s="13"/>
    </row>
    <row r="417" spans="3:3">
      <c r="C417" s="13"/>
    </row>
    <row r="418" spans="3:3">
      <c r="C418" s="13"/>
    </row>
    <row r="419" spans="3:3">
      <c r="C419" s="13"/>
    </row>
    <row r="420" spans="3:3">
      <c r="C420" s="13"/>
    </row>
    <row r="421" spans="3:3">
      <c r="C421" s="13"/>
    </row>
    <row r="422" spans="3:3">
      <c r="C422" s="13"/>
    </row>
    <row r="423" spans="3:3">
      <c r="C423" s="13"/>
    </row>
    <row r="424" spans="3:3">
      <c r="C424" s="13"/>
    </row>
    <row r="425" spans="3:3">
      <c r="C425" s="13"/>
    </row>
    <row r="426" spans="3:3">
      <c r="C426" s="13"/>
    </row>
    <row r="427" spans="3:3">
      <c r="C427" s="13"/>
    </row>
    <row r="428" spans="3:3">
      <c r="C428" s="13"/>
    </row>
    <row r="429" spans="3:3">
      <c r="C429" s="13"/>
    </row>
    <row r="430" spans="3:3">
      <c r="C430" s="13"/>
    </row>
    <row r="431" spans="3:3">
      <c r="C431" s="13"/>
    </row>
    <row r="432" spans="3:3">
      <c r="C432" s="13"/>
    </row>
    <row r="433" spans="3:3">
      <c r="C433" s="13"/>
    </row>
    <row r="434" spans="3:3">
      <c r="C434" s="13"/>
    </row>
    <row r="435" spans="3:3">
      <c r="C435" s="13"/>
    </row>
    <row r="436" spans="3:3">
      <c r="C436" s="13"/>
    </row>
    <row r="437" spans="3:3">
      <c r="C437" s="13"/>
    </row>
    <row r="438" spans="3:3">
      <c r="C438" s="13"/>
    </row>
    <row r="439" spans="3:3">
      <c r="C439" s="13"/>
    </row>
    <row r="440" spans="3:3">
      <c r="C440" s="13"/>
    </row>
    <row r="441" spans="3:3">
      <c r="C441" s="13"/>
    </row>
    <row r="442" spans="3:3">
      <c r="C442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420"/>
  <sheetViews>
    <sheetView workbookViewId="0">
      <selection activeCell="E14" sqref="E14"/>
    </sheetView>
  </sheetViews>
  <sheetFormatPr defaultRowHeight="15"/>
  <cols>
    <col min="1" max="1" width="9.5703125" style="18" bestFit="1" customWidth="1"/>
    <col min="2" max="2" width="18.5703125" style="18" bestFit="1" customWidth="1"/>
    <col min="3" max="3" width="7.5703125" style="18" bestFit="1" customWidth="1"/>
    <col min="4" max="4" width="3.7109375" style="18" bestFit="1" customWidth="1"/>
    <col min="5" max="5" width="5.5703125" style="18" bestFit="1" customWidth="1"/>
  </cols>
  <sheetData>
    <row r="1" spans="1:7">
      <c r="A1" s="18" t="s">
        <v>0</v>
      </c>
      <c r="B1" s="18" t="s">
        <v>1</v>
      </c>
      <c r="C1" s="18" t="s">
        <v>2</v>
      </c>
      <c r="D1" s="18" t="s">
        <v>117</v>
      </c>
      <c r="E1" s="18" t="s">
        <v>265</v>
      </c>
    </row>
    <row r="2" spans="1:7">
      <c r="A2" s="18" t="s">
        <v>22</v>
      </c>
      <c r="B2" s="18" t="s">
        <v>273</v>
      </c>
      <c r="C2" s="18">
        <v>9200</v>
      </c>
      <c r="D2" s="28"/>
      <c r="E2" s="18">
        <v>24.989473041735199</v>
      </c>
      <c r="F2" s="18">
        <v>24.989473041735199</v>
      </c>
    </row>
    <row r="3" spans="1:7">
      <c r="A3" s="18" t="s">
        <v>22</v>
      </c>
      <c r="B3" s="18" t="s">
        <v>57</v>
      </c>
      <c r="C3" s="18">
        <v>8500</v>
      </c>
      <c r="D3" s="28"/>
      <c r="E3" s="18">
        <v>18.322353587431</v>
      </c>
    </row>
    <row r="4" spans="1:7">
      <c r="A4" s="18" t="s">
        <v>22</v>
      </c>
      <c r="B4" s="18" t="s">
        <v>46</v>
      </c>
      <c r="C4" s="18">
        <v>8400</v>
      </c>
      <c r="D4" s="28"/>
      <c r="E4" s="18">
        <v>15.316000366210901</v>
      </c>
    </row>
    <row r="5" spans="1:7">
      <c r="A5" s="18" t="s">
        <v>22</v>
      </c>
      <c r="B5" s="18" t="s">
        <v>274</v>
      </c>
      <c r="C5" s="18">
        <v>8300</v>
      </c>
      <c r="D5" s="28"/>
      <c r="E5" s="18">
        <v>18.420000076293899</v>
      </c>
    </row>
    <row r="6" spans="1:7">
      <c r="A6" s="18" t="s">
        <v>22</v>
      </c>
      <c r="B6" s="18" t="s">
        <v>275</v>
      </c>
      <c r="C6" s="18">
        <v>7900</v>
      </c>
      <c r="D6" s="28"/>
      <c r="E6" s="18">
        <v>18.920000076293899</v>
      </c>
    </row>
    <row r="7" spans="1:7">
      <c r="A7" s="18" t="s">
        <v>22</v>
      </c>
      <c r="B7" s="18" t="s">
        <v>276</v>
      </c>
      <c r="C7" s="18">
        <v>7800</v>
      </c>
      <c r="D7" s="28"/>
      <c r="E7" s="18">
        <v>21.358888414170998</v>
      </c>
      <c r="G7" s="18"/>
    </row>
    <row r="8" spans="1:7">
      <c r="A8" s="18" t="s">
        <v>22</v>
      </c>
      <c r="B8" s="18" t="s">
        <v>27</v>
      </c>
      <c r="C8" s="18">
        <v>7700</v>
      </c>
      <c r="D8" s="28"/>
      <c r="E8" s="18">
        <v>16.545555962456501</v>
      </c>
    </row>
    <row r="9" spans="1:7">
      <c r="A9" s="18" t="s">
        <v>22</v>
      </c>
      <c r="B9" s="18" t="s">
        <v>277</v>
      </c>
      <c r="C9" s="18">
        <v>7600</v>
      </c>
      <c r="D9" s="28"/>
      <c r="E9" s="18">
        <v>18.512307974008401</v>
      </c>
      <c r="F9" s="18">
        <v>18.512307974008401</v>
      </c>
    </row>
    <row r="10" spans="1:7">
      <c r="A10" s="18" t="s">
        <v>22</v>
      </c>
      <c r="B10" s="18" t="s">
        <v>55</v>
      </c>
      <c r="C10" s="18">
        <v>7500</v>
      </c>
      <c r="D10" s="28"/>
      <c r="E10" s="18">
        <v>19.342500686645501</v>
      </c>
      <c r="G10" s="18"/>
    </row>
    <row r="11" spans="1:7">
      <c r="A11" s="18" t="s">
        <v>22</v>
      </c>
      <c r="B11" s="18" t="s">
        <v>56</v>
      </c>
      <c r="C11" s="18">
        <v>7500</v>
      </c>
      <c r="D11" s="28"/>
      <c r="E11" s="18">
        <v>17.544000244140602</v>
      </c>
    </row>
    <row r="12" spans="1:7">
      <c r="A12" s="18" t="s">
        <v>22</v>
      </c>
      <c r="B12" s="18" t="s">
        <v>64</v>
      </c>
      <c r="C12" s="18">
        <v>7400</v>
      </c>
      <c r="D12" s="28"/>
      <c r="E12" s="18">
        <v>17.283750534057599</v>
      </c>
    </row>
    <row r="13" spans="1:7">
      <c r="A13" s="18" t="s">
        <v>22</v>
      </c>
      <c r="B13" s="18" t="s">
        <v>67</v>
      </c>
      <c r="C13" s="18">
        <v>7300</v>
      </c>
      <c r="D13" s="28"/>
      <c r="E13" s="18">
        <v>16.281176398782101</v>
      </c>
    </row>
    <row r="14" spans="1:7">
      <c r="A14" s="18" t="s">
        <v>22</v>
      </c>
      <c r="B14" s="18" t="s">
        <v>71</v>
      </c>
      <c r="C14" s="18">
        <v>7200</v>
      </c>
      <c r="D14" s="28"/>
      <c r="E14" s="18">
        <v>17.7157897949218</v>
      </c>
      <c r="F14" s="18">
        <v>17.7157897949218</v>
      </c>
    </row>
    <row r="15" spans="1:7">
      <c r="A15" s="18" t="s">
        <v>22</v>
      </c>
      <c r="B15" s="18" t="s">
        <v>74</v>
      </c>
      <c r="C15" s="18">
        <v>7100</v>
      </c>
      <c r="D15" s="28"/>
      <c r="E15" s="18">
        <v>12.971429007393899</v>
      </c>
    </row>
    <row r="16" spans="1:7">
      <c r="A16" s="18" t="s">
        <v>22</v>
      </c>
      <c r="B16" s="18" t="s">
        <v>278</v>
      </c>
      <c r="C16" s="18">
        <v>7100</v>
      </c>
      <c r="D16" s="28"/>
    </row>
    <row r="17" spans="1:5">
      <c r="A17" s="18" t="s">
        <v>22</v>
      </c>
      <c r="B17" s="18" t="s">
        <v>77</v>
      </c>
      <c r="C17" s="18">
        <v>7000</v>
      </c>
      <c r="D17" s="28"/>
      <c r="E17" s="18">
        <v>15.717332967122299</v>
      </c>
    </row>
    <row r="18" spans="1:5">
      <c r="A18" s="18" t="s">
        <v>22</v>
      </c>
      <c r="B18" s="18" t="s">
        <v>81</v>
      </c>
      <c r="C18" s="18">
        <v>7000</v>
      </c>
      <c r="D18" s="28"/>
      <c r="E18" s="18">
        <v>14.654117359834499</v>
      </c>
    </row>
    <row r="19" spans="1:5">
      <c r="A19" s="18" t="s">
        <v>22</v>
      </c>
      <c r="B19" s="18" t="s">
        <v>279</v>
      </c>
      <c r="C19" s="18">
        <v>7000</v>
      </c>
      <c r="D19" s="28"/>
    </row>
    <row r="20" spans="1:5">
      <c r="A20" s="18" t="s">
        <v>22</v>
      </c>
      <c r="B20" s="18" t="s">
        <v>281</v>
      </c>
      <c r="C20" s="18">
        <v>6900</v>
      </c>
      <c r="D20" s="28"/>
      <c r="E20" s="18">
        <v>17.659999593098899</v>
      </c>
    </row>
    <row r="21" spans="1:5">
      <c r="A21" s="18" t="s">
        <v>22</v>
      </c>
      <c r="B21" s="18" t="s">
        <v>280</v>
      </c>
      <c r="C21" s="18">
        <v>6900</v>
      </c>
      <c r="D21" s="28"/>
      <c r="E21" s="18">
        <v>11.7799996270073</v>
      </c>
    </row>
    <row r="22" spans="1:5">
      <c r="A22" s="18" t="s">
        <v>22</v>
      </c>
      <c r="B22" s="18" t="s">
        <v>84</v>
      </c>
      <c r="C22" s="18">
        <v>6800</v>
      </c>
      <c r="D22" s="28"/>
      <c r="E22" s="18">
        <v>12.824999809265099</v>
      </c>
    </row>
    <row r="23" spans="1:5">
      <c r="A23" s="18" t="s">
        <v>22</v>
      </c>
      <c r="B23" s="18" t="s">
        <v>282</v>
      </c>
      <c r="C23" s="18">
        <v>6800</v>
      </c>
      <c r="D23" s="28"/>
      <c r="E23" s="18">
        <v>10.493333180745401</v>
      </c>
    </row>
    <row r="24" spans="1:5">
      <c r="A24" s="18" t="s">
        <v>22</v>
      </c>
      <c r="B24" s="18" t="s">
        <v>82</v>
      </c>
      <c r="C24" s="18">
        <v>6700</v>
      </c>
      <c r="D24" s="28"/>
      <c r="E24" s="18">
        <v>10.3987503051757</v>
      </c>
    </row>
    <row r="25" spans="1:5">
      <c r="A25" s="18" t="s">
        <v>22</v>
      </c>
      <c r="B25" s="18" t="s">
        <v>283</v>
      </c>
      <c r="C25" s="18">
        <v>6700</v>
      </c>
      <c r="D25" s="28"/>
      <c r="E25" s="18">
        <v>2.21636356006969</v>
      </c>
    </row>
    <row r="26" spans="1:5">
      <c r="A26" s="18" t="s">
        <v>22</v>
      </c>
      <c r="B26" s="18" t="s">
        <v>285</v>
      </c>
      <c r="C26" s="18">
        <v>6600</v>
      </c>
      <c r="D26" s="28"/>
    </row>
    <row r="27" spans="1:5">
      <c r="A27" s="18" t="s">
        <v>22</v>
      </c>
      <c r="B27" s="18" t="s">
        <v>288</v>
      </c>
      <c r="C27" s="18">
        <v>6500</v>
      </c>
      <c r="D27" s="28"/>
      <c r="E27" s="18">
        <v>7.6200002034505196</v>
      </c>
    </row>
    <row r="28" spans="1:5">
      <c r="A28" s="26"/>
      <c r="B28" s="25"/>
      <c r="C28" s="27"/>
      <c r="D28" s="28"/>
      <c r="E28" s="29"/>
    </row>
    <row r="29" spans="1:5">
      <c r="A29" s="26"/>
      <c r="B29" s="25"/>
      <c r="C29" s="27"/>
      <c r="D29" s="28"/>
      <c r="E29" s="29"/>
    </row>
    <row r="30" spans="1:5">
      <c r="A30" s="26"/>
      <c r="B30" s="25"/>
      <c r="C30" s="27"/>
      <c r="D30" s="28"/>
      <c r="E30" s="29"/>
    </row>
    <row r="31" spans="1:5">
      <c r="A31" s="26"/>
      <c r="B31" s="25"/>
      <c r="C31" s="27"/>
      <c r="D31" s="28"/>
      <c r="E31" s="29"/>
    </row>
    <row r="32" spans="1:5">
      <c r="A32" s="26"/>
      <c r="B32" s="25"/>
      <c r="C32" s="27"/>
      <c r="D32" s="28"/>
      <c r="E32" s="29"/>
    </row>
    <row r="33" spans="1:5">
      <c r="A33" s="26"/>
      <c r="B33" s="25"/>
      <c r="C33" s="27"/>
      <c r="D33" s="28"/>
      <c r="E33" s="29"/>
    </row>
    <row r="34" spans="1:5">
      <c r="A34" s="26"/>
      <c r="B34" s="25"/>
      <c r="C34" s="27"/>
      <c r="D34" s="28"/>
      <c r="E34" s="29"/>
    </row>
    <row r="35" spans="1:5">
      <c r="A35" s="26"/>
      <c r="B35" s="25"/>
      <c r="C35" s="27"/>
      <c r="D35" s="28"/>
      <c r="E35" s="29"/>
    </row>
    <row r="36" spans="1:5">
      <c r="A36" s="26"/>
      <c r="B36" s="25"/>
      <c r="C36" s="27"/>
      <c r="D36" s="28"/>
      <c r="E36" s="29"/>
    </row>
    <row r="37" spans="1:5">
      <c r="A37" s="26"/>
      <c r="B37" s="25"/>
      <c r="C37" s="27"/>
      <c r="D37" s="28"/>
      <c r="E37" s="29"/>
    </row>
    <row r="38" spans="1:5">
      <c r="A38" s="26"/>
      <c r="B38" s="25"/>
      <c r="C38" s="27"/>
      <c r="D38" s="28"/>
      <c r="E38" s="29"/>
    </row>
    <row r="39" spans="1:5">
      <c r="A39" s="26"/>
      <c r="B39" s="25"/>
      <c r="C39" s="27"/>
      <c r="D39" s="28"/>
      <c r="E39" s="29"/>
    </row>
    <row r="40" spans="1:5">
      <c r="A40" s="26"/>
      <c r="B40" s="25"/>
      <c r="C40" s="27"/>
      <c r="D40" s="28"/>
      <c r="E40" s="29"/>
    </row>
    <row r="41" spans="1:5">
      <c r="A41" s="26"/>
      <c r="B41" s="25"/>
      <c r="C41" s="27"/>
      <c r="D41" s="28"/>
      <c r="E41" s="29"/>
    </row>
    <row r="42" spans="1:5">
      <c r="A42" s="26"/>
      <c r="B42" s="25"/>
      <c r="C42" s="27"/>
      <c r="D42" s="28"/>
      <c r="E42" s="29"/>
    </row>
    <row r="43" spans="1:5">
      <c r="A43" s="26"/>
      <c r="B43" s="25"/>
      <c r="C43" s="27"/>
      <c r="D43" s="28"/>
      <c r="E43" s="29"/>
    </row>
    <row r="44" spans="1:5">
      <c r="A44" s="26"/>
      <c r="B44" s="25"/>
      <c r="C44" s="27"/>
      <c r="D44" s="28"/>
      <c r="E44" s="29"/>
    </row>
    <row r="45" spans="1:5">
      <c r="A45" s="26"/>
      <c r="B45" s="25"/>
      <c r="C45" s="27"/>
      <c r="D45" s="28"/>
      <c r="E45" s="29"/>
    </row>
    <row r="46" spans="1:5">
      <c r="A46" s="26"/>
      <c r="B46" s="25"/>
      <c r="C46" s="27"/>
      <c r="D46" s="28"/>
      <c r="E46" s="29"/>
    </row>
    <row r="47" spans="1:5">
      <c r="A47" s="26"/>
      <c r="B47" s="25"/>
      <c r="C47" s="27"/>
      <c r="D47" s="28"/>
      <c r="E47" s="29"/>
    </row>
    <row r="48" spans="1:5">
      <c r="A48" s="26"/>
      <c r="B48" s="25"/>
      <c r="C48" s="27"/>
      <c r="D48" s="28"/>
      <c r="E48" s="29"/>
    </row>
    <row r="49" spans="1:5">
      <c r="A49" s="26"/>
      <c r="B49" s="25"/>
      <c r="C49" s="27"/>
      <c r="D49" s="28"/>
      <c r="E49" s="29"/>
    </row>
    <row r="50" spans="1:5">
      <c r="A50" s="26"/>
      <c r="B50" s="25"/>
      <c r="C50" s="27"/>
      <c r="D50" s="28"/>
      <c r="E50" s="29"/>
    </row>
    <row r="51" spans="1:5">
      <c r="A51" s="26"/>
      <c r="B51" s="25"/>
      <c r="C51" s="27"/>
      <c r="D51" s="28"/>
      <c r="E51" s="29"/>
    </row>
    <row r="52" spans="1:5">
      <c r="A52" s="26"/>
      <c r="B52" s="25"/>
      <c r="C52" s="27"/>
      <c r="D52" s="28"/>
      <c r="E52" s="29"/>
    </row>
    <row r="53" spans="1:5">
      <c r="A53" s="26"/>
      <c r="B53" s="25"/>
      <c r="C53" s="27"/>
      <c r="D53" s="28"/>
      <c r="E53" s="29"/>
    </row>
    <row r="54" spans="1:5">
      <c r="A54" s="26"/>
      <c r="B54" s="25"/>
      <c r="C54" s="27"/>
      <c r="D54" s="28"/>
      <c r="E54" s="29"/>
    </row>
    <row r="55" spans="1:5">
      <c r="A55" s="26"/>
      <c r="B55" s="25"/>
      <c r="C55" s="27"/>
      <c r="D55" s="28"/>
      <c r="E55" s="29"/>
    </row>
    <row r="56" spans="1:5">
      <c r="A56" s="26"/>
      <c r="B56" s="25"/>
      <c r="C56" s="27"/>
      <c r="D56" s="28"/>
      <c r="E56" s="29"/>
    </row>
    <row r="57" spans="1:5">
      <c r="A57" s="26"/>
      <c r="B57" s="25"/>
      <c r="C57" s="27"/>
      <c r="D57" s="28"/>
      <c r="E57" s="29"/>
    </row>
    <row r="58" spans="1:5">
      <c r="A58" s="26"/>
      <c r="B58" s="25"/>
      <c r="C58" s="27"/>
      <c r="D58" s="28"/>
      <c r="E58" s="29"/>
    </row>
    <row r="59" spans="1:5">
      <c r="A59" s="26"/>
      <c r="B59" s="25"/>
      <c r="C59" s="27"/>
      <c r="D59" s="28"/>
      <c r="E59" s="29"/>
    </row>
    <row r="60" spans="1:5">
      <c r="A60" s="26"/>
      <c r="B60" s="25"/>
      <c r="C60" s="27"/>
      <c r="D60" s="28"/>
      <c r="E60" s="29"/>
    </row>
    <row r="61" spans="1:5">
      <c r="A61" s="26"/>
      <c r="B61" s="25"/>
      <c r="C61" s="27"/>
      <c r="D61" s="28"/>
      <c r="E61" s="29"/>
    </row>
    <row r="62" spans="1:5">
      <c r="A62" s="26"/>
      <c r="B62" s="25"/>
      <c r="C62" s="27"/>
      <c r="D62" s="28"/>
      <c r="E62" s="29"/>
    </row>
    <row r="63" spans="1:5">
      <c r="A63" s="26"/>
      <c r="B63" s="25"/>
      <c r="C63" s="27"/>
      <c r="D63" s="28"/>
      <c r="E63" s="29"/>
    </row>
    <row r="64" spans="1:5">
      <c r="A64" s="26"/>
      <c r="B64" s="25"/>
      <c r="C64" s="27"/>
      <c r="D64" s="28"/>
      <c r="E64" s="29"/>
    </row>
    <row r="65" spans="1:5">
      <c r="A65" s="26"/>
      <c r="B65" s="25"/>
      <c r="C65" s="27"/>
      <c r="D65" s="28"/>
      <c r="E65" s="29"/>
    </row>
    <row r="66" spans="1:5">
      <c r="A66" s="26"/>
      <c r="B66" s="25"/>
      <c r="C66" s="27"/>
      <c r="D66" s="28"/>
      <c r="E66" s="29"/>
    </row>
    <row r="67" spans="1:5">
      <c r="A67" s="26"/>
      <c r="B67" s="25"/>
      <c r="C67" s="27"/>
      <c r="D67" s="28"/>
      <c r="E67" s="29"/>
    </row>
    <row r="68" spans="1:5">
      <c r="A68" s="26"/>
      <c r="B68" s="25"/>
      <c r="C68" s="27"/>
      <c r="D68" s="28"/>
      <c r="E68" s="29"/>
    </row>
    <row r="69" spans="1:5">
      <c r="A69" s="26"/>
      <c r="B69" s="25"/>
      <c r="C69" s="27"/>
      <c r="D69" s="28"/>
      <c r="E69" s="29"/>
    </row>
    <row r="70" spans="1:5">
      <c r="A70" s="26"/>
      <c r="B70" s="25"/>
      <c r="C70" s="27"/>
      <c r="D70" s="28"/>
      <c r="E70" s="29"/>
    </row>
    <row r="71" spans="1:5">
      <c r="A71" s="26"/>
      <c r="B71" s="25"/>
      <c r="C71" s="27"/>
      <c r="D71" s="28"/>
      <c r="E71" s="29"/>
    </row>
    <row r="72" spans="1:5">
      <c r="A72" s="26"/>
      <c r="B72" s="25"/>
      <c r="C72" s="27"/>
      <c r="D72" s="28"/>
      <c r="E72" s="29"/>
    </row>
    <row r="73" spans="1:5">
      <c r="A73" s="26"/>
      <c r="B73" s="25"/>
      <c r="C73" s="27"/>
      <c r="D73" s="28"/>
      <c r="E73" s="29"/>
    </row>
    <row r="74" spans="1:5">
      <c r="A74" s="26"/>
      <c r="B74" s="25"/>
      <c r="C74" s="27"/>
      <c r="D74" s="28"/>
      <c r="E74" s="29"/>
    </row>
    <row r="75" spans="1:5">
      <c r="A75" s="26"/>
      <c r="B75" s="25"/>
      <c r="C75" s="27"/>
      <c r="D75" s="28"/>
      <c r="E75" s="29"/>
    </row>
    <row r="76" spans="1:5">
      <c r="A76" s="26"/>
      <c r="B76" s="25"/>
      <c r="C76" s="27"/>
      <c r="D76" s="28"/>
      <c r="E76" s="29"/>
    </row>
    <row r="77" spans="1:5">
      <c r="A77" s="26"/>
      <c r="B77" s="25"/>
      <c r="C77" s="27"/>
      <c r="D77" s="28"/>
      <c r="E77" s="29"/>
    </row>
    <row r="78" spans="1:5">
      <c r="A78" s="26"/>
      <c r="B78" s="25"/>
      <c r="C78" s="27"/>
      <c r="D78" s="28"/>
      <c r="E78" s="29"/>
    </row>
    <row r="79" spans="1:5">
      <c r="A79" s="26"/>
      <c r="B79" s="25"/>
      <c r="C79" s="27"/>
      <c r="D79" s="28"/>
      <c r="E79" s="29"/>
    </row>
    <row r="80" spans="1:5">
      <c r="A80" s="26"/>
      <c r="B80" s="25"/>
      <c r="C80" s="27"/>
      <c r="D80" s="28"/>
      <c r="E80" s="29"/>
    </row>
    <row r="81" spans="1:5">
      <c r="A81" s="26"/>
      <c r="B81" s="25"/>
      <c r="C81" s="27"/>
      <c r="D81" s="28"/>
      <c r="E81" s="29"/>
    </row>
    <row r="82" spans="1:5">
      <c r="A82" s="26"/>
      <c r="B82" s="25"/>
      <c r="C82" s="27"/>
      <c r="D82" s="28"/>
      <c r="E82" s="29"/>
    </row>
    <row r="83" spans="1:5">
      <c r="A83" s="26"/>
      <c r="B83" s="25"/>
      <c r="C83" s="27"/>
      <c r="D83" s="28"/>
      <c r="E83" s="29"/>
    </row>
    <row r="84" spans="1:5">
      <c r="A84" s="26"/>
      <c r="B84" s="25"/>
      <c r="C84" s="27"/>
      <c r="D84" s="28"/>
      <c r="E84" s="29"/>
    </row>
    <row r="85" spans="1:5">
      <c r="A85" s="26"/>
      <c r="B85" s="25"/>
      <c r="C85" s="27"/>
      <c r="D85" s="28"/>
      <c r="E85" s="29"/>
    </row>
    <row r="86" spans="1:5">
      <c r="A86" s="26"/>
      <c r="B86" s="25"/>
      <c r="C86" s="27"/>
      <c r="D86" s="28"/>
      <c r="E86" s="29"/>
    </row>
    <row r="87" spans="1:5">
      <c r="A87" s="26"/>
      <c r="B87" s="25"/>
      <c r="C87" s="27"/>
      <c r="D87" s="28"/>
      <c r="E87" s="29"/>
    </row>
    <row r="88" spans="1:5">
      <c r="A88" s="26"/>
      <c r="B88" s="25"/>
      <c r="C88" s="27"/>
      <c r="D88" s="28"/>
      <c r="E88" s="29"/>
    </row>
    <row r="89" spans="1:5">
      <c r="A89" s="26"/>
      <c r="B89" s="25"/>
      <c r="C89" s="27"/>
      <c r="D89" s="28"/>
      <c r="E89" s="29"/>
    </row>
    <row r="90" spans="1:5">
      <c r="A90" s="26"/>
      <c r="B90" s="25"/>
      <c r="C90" s="27"/>
      <c r="D90" s="28"/>
      <c r="E90" s="29"/>
    </row>
    <row r="91" spans="1:5">
      <c r="A91" s="26"/>
      <c r="B91" s="25"/>
      <c r="C91" s="27"/>
      <c r="D91" s="28"/>
      <c r="E91" s="29"/>
    </row>
    <row r="92" spans="1:5">
      <c r="A92" s="26"/>
      <c r="B92" s="25"/>
      <c r="C92" s="27"/>
      <c r="D92" s="28"/>
      <c r="E92" s="29"/>
    </row>
    <row r="93" spans="1:5">
      <c r="A93" s="26"/>
      <c r="B93" s="25"/>
      <c r="C93" s="27"/>
      <c r="D93" s="28"/>
      <c r="E93" s="29"/>
    </row>
    <row r="94" spans="1:5">
      <c r="A94" s="26"/>
      <c r="B94" s="25"/>
      <c r="C94" s="27"/>
      <c r="D94" s="28"/>
      <c r="E94" s="29"/>
    </row>
    <row r="95" spans="1:5">
      <c r="A95" s="26"/>
      <c r="B95" s="25"/>
      <c r="C95" s="27"/>
      <c r="D95" s="28"/>
      <c r="E95" s="29"/>
    </row>
    <row r="96" spans="1:5">
      <c r="A96" s="26"/>
      <c r="B96" s="25"/>
      <c r="C96" s="27"/>
      <c r="D96" s="28"/>
      <c r="E96" s="29"/>
    </row>
    <row r="97" spans="1:5">
      <c r="A97" s="26"/>
      <c r="B97" s="25"/>
      <c r="C97" s="27"/>
      <c r="D97" s="28"/>
      <c r="E97" s="29"/>
    </row>
    <row r="98" spans="1:5">
      <c r="A98" s="26"/>
      <c r="B98" s="25"/>
      <c r="C98" s="27"/>
      <c r="D98" s="28"/>
      <c r="E98" s="29"/>
    </row>
    <row r="99" spans="1:5">
      <c r="A99" s="26"/>
      <c r="B99" s="25"/>
      <c r="C99" s="27"/>
      <c r="D99" s="28"/>
      <c r="E99" s="29"/>
    </row>
    <row r="100" spans="1:5">
      <c r="A100" s="26"/>
      <c r="B100" s="25"/>
      <c r="C100" s="27"/>
      <c r="D100" s="28"/>
      <c r="E100" s="13"/>
    </row>
    <row r="101" spans="1:5">
      <c r="A101" s="26"/>
      <c r="B101" s="25"/>
      <c r="C101" s="27"/>
      <c r="D101" s="28"/>
      <c r="E101" s="13"/>
    </row>
    <row r="102" spans="1:5">
      <c r="C102" s="13"/>
      <c r="E102" s="13"/>
    </row>
    <row r="103" spans="1:5">
      <c r="C103" s="13"/>
      <c r="E103" s="13"/>
    </row>
    <row r="104" spans="1:5">
      <c r="C104" s="13"/>
      <c r="E104" s="13"/>
    </row>
    <row r="105" spans="1:5">
      <c r="C105" s="13"/>
      <c r="E105" s="13"/>
    </row>
    <row r="106" spans="1:5">
      <c r="C106" s="13"/>
      <c r="E106" s="13"/>
    </row>
    <row r="107" spans="1:5">
      <c r="C107" s="13"/>
      <c r="E107" s="13"/>
    </row>
    <row r="108" spans="1:5">
      <c r="C108" s="13"/>
      <c r="E108" s="13"/>
    </row>
    <row r="109" spans="1:5">
      <c r="C109" s="13"/>
      <c r="E109" s="13"/>
    </row>
    <row r="110" spans="1:5">
      <c r="C110" s="13"/>
      <c r="E110" s="13"/>
    </row>
    <row r="111" spans="1:5">
      <c r="C111" s="13"/>
      <c r="E111" s="13"/>
    </row>
    <row r="112" spans="1:5">
      <c r="C112" s="13"/>
      <c r="E112" s="13"/>
    </row>
    <row r="113" spans="3:5">
      <c r="C113" s="13"/>
      <c r="E113" s="13"/>
    </row>
    <row r="114" spans="3:5">
      <c r="C114" s="13"/>
      <c r="E114" s="13"/>
    </row>
    <row r="115" spans="3:5">
      <c r="C115" s="13"/>
      <c r="E115" s="13"/>
    </row>
    <row r="116" spans="3:5">
      <c r="C116" s="13"/>
      <c r="E116" s="13"/>
    </row>
    <row r="117" spans="3:5">
      <c r="C117" s="13"/>
      <c r="E117" s="13"/>
    </row>
    <row r="118" spans="3:5">
      <c r="C118" s="13"/>
      <c r="E118" s="13"/>
    </row>
    <row r="119" spans="3:5">
      <c r="C119" s="13"/>
      <c r="E119" s="13"/>
    </row>
    <row r="120" spans="3:5">
      <c r="C120" s="13"/>
      <c r="E120" s="13"/>
    </row>
    <row r="121" spans="3:5">
      <c r="C121" s="13"/>
      <c r="E121" s="13"/>
    </row>
    <row r="122" spans="3:5">
      <c r="C122" s="13"/>
      <c r="E122" s="13"/>
    </row>
    <row r="123" spans="3:5">
      <c r="C123" s="13"/>
      <c r="E123" s="13"/>
    </row>
    <row r="124" spans="3:5">
      <c r="C124" s="13"/>
      <c r="E124" s="13"/>
    </row>
    <row r="125" spans="3:5">
      <c r="C125" s="13"/>
      <c r="E125" s="13"/>
    </row>
    <row r="126" spans="3:5">
      <c r="C126" s="13"/>
      <c r="D126" s="18" t="s">
        <v>75</v>
      </c>
      <c r="E126" s="13"/>
    </row>
    <row r="127" spans="3:5">
      <c r="C127" s="13"/>
      <c r="E127" s="13"/>
    </row>
    <row r="128" spans="3:5">
      <c r="C128" s="13"/>
      <c r="E128" s="13"/>
    </row>
    <row r="129" spans="3:5">
      <c r="C129" s="13"/>
      <c r="E129" s="13"/>
    </row>
    <row r="130" spans="3:5">
      <c r="C130" s="13"/>
      <c r="E130" s="13"/>
    </row>
    <row r="131" spans="3:5">
      <c r="C131" s="13"/>
      <c r="E131" s="13"/>
    </row>
    <row r="132" spans="3:5">
      <c r="C132" s="13"/>
      <c r="E132" s="13"/>
    </row>
    <row r="133" spans="3:5">
      <c r="C133" s="13"/>
      <c r="E133" s="13"/>
    </row>
    <row r="134" spans="3:5">
      <c r="C134" s="13"/>
      <c r="E134" s="13"/>
    </row>
    <row r="135" spans="3:5">
      <c r="C135" s="13"/>
      <c r="E135" s="13"/>
    </row>
    <row r="136" spans="3:5">
      <c r="C136" s="13"/>
      <c r="E136" s="13"/>
    </row>
    <row r="137" spans="3:5">
      <c r="C137" s="13"/>
      <c r="E137" s="13"/>
    </row>
    <row r="138" spans="3:5">
      <c r="C138" s="13"/>
      <c r="E138" s="13"/>
    </row>
    <row r="139" spans="3:5">
      <c r="C139" s="13"/>
      <c r="E139" s="13"/>
    </row>
    <row r="140" spans="3:5">
      <c r="C140" s="13"/>
      <c r="E140" s="13"/>
    </row>
    <row r="141" spans="3:5">
      <c r="C141" s="13"/>
      <c r="E141" s="13"/>
    </row>
    <row r="142" spans="3:5">
      <c r="C142" s="13"/>
      <c r="E142" s="13"/>
    </row>
    <row r="143" spans="3:5">
      <c r="C143" s="13"/>
      <c r="E143" s="13"/>
    </row>
    <row r="144" spans="3:5">
      <c r="C144" s="13"/>
      <c r="D144" s="18" t="s">
        <v>75</v>
      </c>
      <c r="E144" s="13"/>
    </row>
    <row r="145" spans="3:5">
      <c r="C145" s="13"/>
      <c r="E145" s="13"/>
    </row>
    <row r="146" spans="3:5">
      <c r="C146" s="13"/>
      <c r="D146" s="18" t="s">
        <v>75</v>
      </c>
      <c r="E146" s="13"/>
    </row>
    <row r="147" spans="3:5">
      <c r="C147" s="13"/>
      <c r="E147" s="13"/>
    </row>
    <row r="148" spans="3:5">
      <c r="C148" s="13"/>
      <c r="E148" s="13"/>
    </row>
    <row r="149" spans="3:5">
      <c r="C149" s="13"/>
      <c r="E149" s="13"/>
    </row>
    <row r="150" spans="3:5">
      <c r="C150" s="13"/>
      <c r="E150" s="13"/>
    </row>
    <row r="151" spans="3:5">
      <c r="C151" s="13"/>
      <c r="E151" s="13"/>
    </row>
    <row r="152" spans="3:5">
      <c r="C152" s="13"/>
      <c r="E152" s="13"/>
    </row>
    <row r="153" spans="3:5">
      <c r="C153" s="13"/>
      <c r="E153" s="13"/>
    </row>
    <row r="154" spans="3:5">
      <c r="C154" s="13"/>
      <c r="D154" s="18" t="s">
        <v>75</v>
      </c>
      <c r="E154" s="13"/>
    </row>
    <row r="155" spans="3:5">
      <c r="C155" s="13"/>
      <c r="E155" s="13"/>
    </row>
    <row r="156" spans="3:5">
      <c r="C156" s="13"/>
      <c r="E156" s="13"/>
    </row>
    <row r="157" spans="3:5">
      <c r="C157" s="13"/>
      <c r="E157" s="13"/>
    </row>
    <row r="158" spans="3:5">
      <c r="C158" s="13"/>
      <c r="E158" s="13"/>
    </row>
    <row r="159" spans="3:5">
      <c r="C159" s="13"/>
      <c r="E159" s="13"/>
    </row>
    <row r="160" spans="3:5">
      <c r="C160" s="13"/>
      <c r="E160" s="13"/>
    </row>
    <row r="161" spans="3:5">
      <c r="C161" s="13"/>
      <c r="E161" s="13"/>
    </row>
    <row r="162" spans="3:5">
      <c r="C162" s="13"/>
      <c r="E162" s="13"/>
    </row>
    <row r="163" spans="3:5">
      <c r="C163" s="13"/>
      <c r="E163" s="13"/>
    </row>
    <row r="164" spans="3:5">
      <c r="C164" s="13"/>
      <c r="E164" s="13"/>
    </row>
    <row r="165" spans="3:5">
      <c r="C165" s="13"/>
      <c r="E165" s="13"/>
    </row>
    <row r="166" spans="3:5">
      <c r="C166" s="13"/>
      <c r="E166" s="13"/>
    </row>
    <row r="167" spans="3:5">
      <c r="C167" s="13"/>
      <c r="E167" s="13"/>
    </row>
    <row r="168" spans="3:5">
      <c r="C168" s="13"/>
      <c r="E168" s="13"/>
    </row>
    <row r="169" spans="3:5">
      <c r="C169" s="13"/>
      <c r="E169" s="13"/>
    </row>
    <row r="170" spans="3:5">
      <c r="C170" s="13"/>
      <c r="E170" s="13"/>
    </row>
    <row r="171" spans="3:5">
      <c r="C171" s="13"/>
      <c r="E171" s="13"/>
    </row>
    <row r="172" spans="3:5">
      <c r="C172" s="13"/>
      <c r="D172" s="18" t="s">
        <v>75</v>
      </c>
      <c r="E172" s="13"/>
    </row>
    <row r="173" spans="3:5">
      <c r="C173" s="13"/>
      <c r="E173" s="13"/>
    </row>
    <row r="174" spans="3:5">
      <c r="C174" s="13"/>
      <c r="E174" s="13"/>
    </row>
    <row r="175" spans="3:5">
      <c r="C175" s="13"/>
      <c r="D175" s="18" t="s">
        <v>75</v>
      </c>
      <c r="E175" s="13"/>
    </row>
    <row r="176" spans="3:5">
      <c r="C176" s="13"/>
      <c r="E176" s="13"/>
    </row>
    <row r="177" spans="3:5">
      <c r="C177" s="13"/>
      <c r="E177" s="13"/>
    </row>
    <row r="178" spans="3:5">
      <c r="C178" s="13"/>
      <c r="E178" s="13"/>
    </row>
    <row r="179" spans="3:5">
      <c r="C179" s="13"/>
      <c r="E179" s="13"/>
    </row>
    <row r="180" spans="3:5">
      <c r="C180" s="13"/>
      <c r="E180" s="13"/>
    </row>
    <row r="181" spans="3:5">
      <c r="C181" s="13"/>
      <c r="E181" s="13"/>
    </row>
    <row r="182" spans="3:5">
      <c r="C182" s="13"/>
      <c r="E182" s="13"/>
    </row>
    <row r="183" spans="3:5">
      <c r="C183" s="13"/>
      <c r="E183" s="13"/>
    </row>
    <row r="184" spans="3:5">
      <c r="C184" s="13"/>
      <c r="E184" s="13"/>
    </row>
    <row r="185" spans="3:5">
      <c r="C185" s="13"/>
      <c r="E185" s="13"/>
    </row>
    <row r="186" spans="3:5">
      <c r="C186" s="13"/>
      <c r="E186" s="13"/>
    </row>
    <row r="187" spans="3:5">
      <c r="C187" s="13"/>
      <c r="D187" s="18" t="s">
        <v>75</v>
      </c>
      <c r="E187" s="13"/>
    </row>
    <row r="188" spans="3:5">
      <c r="C188" s="13"/>
      <c r="E188" s="13"/>
    </row>
    <row r="189" spans="3:5">
      <c r="C189" s="13"/>
      <c r="E189" s="13"/>
    </row>
    <row r="190" spans="3:5">
      <c r="C190" s="13"/>
      <c r="E190" s="13"/>
    </row>
    <row r="191" spans="3:5">
      <c r="C191" s="13"/>
      <c r="E191" s="13"/>
    </row>
    <row r="192" spans="3:5">
      <c r="C192" s="13"/>
      <c r="E192" s="13"/>
    </row>
    <row r="193" spans="3:5">
      <c r="C193" s="13"/>
      <c r="E193" s="13"/>
    </row>
    <row r="194" spans="3:5">
      <c r="C194" s="13"/>
      <c r="E194" s="13"/>
    </row>
    <row r="195" spans="3:5">
      <c r="C195" s="13"/>
      <c r="E195" s="13"/>
    </row>
    <row r="196" spans="3:5">
      <c r="C196" s="13"/>
      <c r="E196" s="13"/>
    </row>
    <row r="197" spans="3:5">
      <c r="C197" s="13"/>
      <c r="E197" s="13"/>
    </row>
    <row r="198" spans="3:5">
      <c r="C198" s="13"/>
      <c r="E198" s="13"/>
    </row>
    <row r="199" spans="3:5">
      <c r="C199" s="13"/>
      <c r="E199" s="13"/>
    </row>
    <row r="200" spans="3:5">
      <c r="C200" s="13"/>
      <c r="E200" s="13"/>
    </row>
    <row r="201" spans="3:5">
      <c r="C201" s="13"/>
      <c r="E201" s="13"/>
    </row>
    <row r="202" spans="3:5">
      <c r="C202" s="13"/>
      <c r="E202" s="13"/>
    </row>
    <row r="203" spans="3:5">
      <c r="C203" s="13"/>
      <c r="E203" s="13"/>
    </row>
    <row r="204" spans="3:5">
      <c r="C204" s="13"/>
      <c r="D204" s="18" t="s">
        <v>75</v>
      </c>
      <c r="E204" s="13"/>
    </row>
    <row r="205" spans="3:5">
      <c r="C205" s="13"/>
      <c r="E205" s="13"/>
    </row>
    <row r="206" spans="3:5">
      <c r="C206" s="13"/>
      <c r="E206" s="13"/>
    </row>
    <row r="207" spans="3:5">
      <c r="C207" s="13"/>
      <c r="E207" s="13"/>
    </row>
    <row r="208" spans="3:5">
      <c r="C208" s="13"/>
      <c r="E208" s="13"/>
    </row>
    <row r="209" spans="3:5">
      <c r="C209" s="13"/>
      <c r="E209" s="13"/>
    </row>
    <row r="210" spans="3:5">
      <c r="C210" s="13"/>
      <c r="E210" s="13"/>
    </row>
    <row r="211" spans="3:5">
      <c r="C211" s="13"/>
      <c r="E211" s="13"/>
    </row>
    <row r="212" spans="3:5">
      <c r="C212" s="13"/>
      <c r="D212" s="18" t="s">
        <v>75</v>
      </c>
      <c r="E212" s="13"/>
    </row>
    <row r="213" spans="3:5">
      <c r="C213" s="13"/>
      <c r="E213" s="13"/>
    </row>
    <row r="214" spans="3:5">
      <c r="C214" s="13"/>
      <c r="E214" s="13"/>
    </row>
    <row r="215" spans="3:5">
      <c r="C215" s="13"/>
      <c r="E215" s="13"/>
    </row>
    <row r="216" spans="3:5">
      <c r="C216" s="13"/>
      <c r="E216" s="13"/>
    </row>
    <row r="217" spans="3:5">
      <c r="C217" s="13"/>
      <c r="E217" s="13"/>
    </row>
    <row r="218" spans="3:5">
      <c r="C218" s="13"/>
      <c r="E218" s="13"/>
    </row>
    <row r="219" spans="3:5">
      <c r="C219" s="13"/>
      <c r="E219" s="13"/>
    </row>
    <row r="220" spans="3:5">
      <c r="C220" s="13"/>
      <c r="E220" s="13"/>
    </row>
    <row r="221" spans="3:5">
      <c r="C221" s="13"/>
      <c r="E221" s="13"/>
    </row>
    <row r="222" spans="3:5">
      <c r="C222" s="13"/>
      <c r="E222" s="13"/>
    </row>
    <row r="223" spans="3:5">
      <c r="C223" s="13"/>
      <c r="E223" s="13"/>
    </row>
    <row r="224" spans="3:5">
      <c r="C224" s="13"/>
    </row>
    <row r="225" spans="3:3">
      <c r="C225" s="13"/>
    </row>
    <row r="226" spans="3:3">
      <c r="C226" s="13"/>
    </row>
    <row r="227" spans="3:3">
      <c r="C227" s="13"/>
    </row>
    <row r="228" spans="3:3">
      <c r="C228" s="13"/>
    </row>
    <row r="229" spans="3:3">
      <c r="C229" s="13"/>
    </row>
    <row r="230" spans="3:3">
      <c r="C230" s="13"/>
    </row>
    <row r="231" spans="3:3">
      <c r="C231" s="13"/>
    </row>
    <row r="232" spans="3:3">
      <c r="C232" s="13"/>
    </row>
    <row r="233" spans="3:3">
      <c r="C233" s="13"/>
    </row>
    <row r="234" spans="3:3">
      <c r="C234" s="13"/>
    </row>
    <row r="235" spans="3:3">
      <c r="C235" s="13"/>
    </row>
    <row r="236" spans="3:3">
      <c r="C236" s="13"/>
    </row>
    <row r="237" spans="3:3">
      <c r="C237" s="13"/>
    </row>
    <row r="238" spans="3:3">
      <c r="C238" s="13"/>
    </row>
    <row r="239" spans="3:3">
      <c r="C239" s="13"/>
    </row>
    <row r="240" spans="3:3">
      <c r="C240" s="13"/>
    </row>
    <row r="241" spans="3:3">
      <c r="C241" s="13"/>
    </row>
    <row r="242" spans="3:3">
      <c r="C242" s="13"/>
    </row>
    <row r="243" spans="3:3">
      <c r="C243" s="13"/>
    </row>
    <row r="244" spans="3:3">
      <c r="C244" s="13"/>
    </row>
    <row r="245" spans="3:3">
      <c r="C245" s="13"/>
    </row>
    <row r="246" spans="3:3">
      <c r="C246" s="13"/>
    </row>
    <row r="247" spans="3:3">
      <c r="C247" s="13"/>
    </row>
    <row r="248" spans="3:3">
      <c r="C248" s="13"/>
    </row>
    <row r="249" spans="3:3">
      <c r="C249" s="13"/>
    </row>
    <row r="250" spans="3:3">
      <c r="C250" s="13"/>
    </row>
    <row r="251" spans="3:3">
      <c r="C251" s="13"/>
    </row>
    <row r="252" spans="3:3">
      <c r="C252" s="13"/>
    </row>
    <row r="253" spans="3:3">
      <c r="C253" s="13"/>
    </row>
    <row r="254" spans="3:3">
      <c r="C254" s="13"/>
    </row>
    <row r="255" spans="3:3">
      <c r="C255" s="13"/>
    </row>
    <row r="256" spans="3:3">
      <c r="C256" s="13"/>
    </row>
    <row r="257" spans="3:3">
      <c r="C257" s="13"/>
    </row>
    <row r="258" spans="3:3">
      <c r="C258" s="13"/>
    </row>
    <row r="259" spans="3:3">
      <c r="C259" s="13"/>
    </row>
    <row r="260" spans="3:3">
      <c r="C260" s="13"/>
    </row>
    <row r="261" spans="3:3">
      <c r="C261" s="13"/>
    </row>
    <row r="262" spans="3:3">
      <c r="C262" s="13"/>
    </row>
    <row r="263" spans="3:3">
      <c r="C263" s="13"/>
    </row>
    <row r="264" spans="3:3">
      <c r="C264" s="13"/>
    </row>
    <row r="265" spans="3:3">
      <c r="C265" s="13"/>
    </row>
    <row r="266" spans="3:3">
      <c r="C266" s="13"/>
    </row>
    <row r="267" spans="3:3">
      <c r="C267" s="13"/>
    </row>
    <row r="268" spans="3:3">
      <c r="C268" s="13"/>
    </row>
    <row r="269" spans="3:3">
      <c r="C269" s="13"/>
    </row>
    <row r="270" spans="3:3">
      <c r="C270" s="13"/>
    </row>
    <row r="271" spans="3:3">
      <c r="C271" s="13"/>
    </row>
    <row r="272" spans="3:3">
      <c r="C272" s="13"/>
    </row>
    <row r="273" spans="3:3">
      <c r="C273" s="13"/>
    </row>
    <row r="274" spans="3:3">
      <c r="C274" s="13"/>
    </row>
    <row r="275" spans="3:3">
      <c r="C275" s="13"/>
    </row>
    <row r="276" spans="3:3">
      <c r="C276" s="13"/>
    </row>
    <row r="277" spans="3:3">
      <c r="C277" s="13"/>
    </row>
    <row r="278" spans="3:3">
      <c r="C278" s="13"/>
    </row>
    <row r="279" spans="3:3">
      <c r="C279" s="13"/>
    </row>
    <row r="280" spans="3:3">
      <c r="C280" s="13"/>
    </row>
    <row r="281" spans="3:3">
      <c r="C281" s="13"/>
    </row>
    <row r="282" spans="3:3">
      <c r="C282" s="13"/>
    </row>
    <row r="283" spans="3:3">
      <c r="C283" s="13"/>
    </row>
    <row r="284" spans="3:3">
      <c r="C284" s="13"/>
    </row>
    <row r="285" spans="3:3">
      <c r="C285" s="13"/>
    </row>
    <row r="286" spans="3:3">
      <c r="C286" s="13"/>
    </row>
    <row r="287" spans="3:3">
      <c r="C287" s="13"/>
    </row>
    <row r="288" spans="3:3">
      <c r="C288" s="13"/>
    </row>
    <row r="289" spans="3:3">
      <c r="C289" s="13"/>
    </row>
    <row r="290" spans="3:3">
      <c r="C290" s="13"/>
    </row>
    <row r="291" spans="3:3">
      <c r="C291" s="13"/>
    </row>
    <row r="292" spans="3:3">
      <c r="C292" s="13"/>
    </row>
    <row r="293" spans="3:3">
      <c r="C293" s="13"/>
    </row>
    <row r="294" spans="3:3">
      <c r="C294" s="13"/>
    </row>
    <row r="295" spans="3:3">
      <c r="C295" s="13"/>
    </row>
    <row r="296" spans="3:3">
      <c r="C296" s="13"/>
    </row>
    <row r="297" spans="3:3">
      <c r="C297" s="13"/>
    </row>
    <row r="298" spans="3:3">
      <c r="C298" s="13"/>
    </row>
    <row r="299" spans="3:3">
      <c r="C299" s="13"/>
    </row>
    <row r="300" spans="3:3">
      <c r="C300" s="13"/>
    </row>
    <row r="301" spans="3:3">
      <c r="C301" s="13"/>
    </row>
    <row r="302" spans="3:3">
      <c r="C302" s="13"/>
    </row>
    <row r="303" spans="3:3">
      <c r="C303" s="13"/>
    </row>
    <row r="304" spans="3:3">
      <c r="C304" s="13"/>
    </row>
    <row r="305" spans="3:3">
      <c r="C305" s="13"/>
    </row>
    <row r="306" spans="3:3">
      <c r="C306" s="13"/>
    </row>
    <row r="307" spans="3:3">
      <c r="C307" s="13"/>
    </row>
    <row r="308" spans="3:3">
      <c r="C308" s="13"/>
    </row>
    <row r="309" spans="3:3">
      <c r="C309" s="13"/>
    </row>
    <row r="310" spans="3:3">
      <c r="C310" s="13"/>
    </row>
    <row r="311" spans="3:3">
      <c r="C311" s="13"/>
    </row>
    <row r="312" spans="3:3">
      <c r="C312" s="13"/>
    </row>
    <row r="313" spans="3:3">
      <c r="C313" s="13"/>
    </row>
    <row r="314" spans="3:3">
      <c r="C314" s="13"/>
    </row>
    <row r="315" spans="3:3">
      <c r="C315" s="13"/>
    </row>
    <row r="316" spans="3:3">
      <c r="C316" s="13"/>
    </row>
    <row r="317" spans="3:3">
      <c r="C317" s="13"/>
    </row>
    <row r="318" spans="3:3">
      <c r="C318" s="13"/>
    </row>
    <row r="319" spans="3:3">
      <c r="C319" s="13"/>
    </row>
    <row r="320" spans="3:3">
      <c r="C320" s="13"/>
    </row>
    <row r="321" spans="3:3">
      <c r="C321" s="13"/>
    </row>
    <row r="322" spans="3:3">
      <c r="C322" s="13"/>
    </row>
    <row r="323" spans="3:3">
      <c r="C323" s="13"/>
    </row>
    <row r="324" spans="3:3">
      <c r="C324" s="13"/>
    </row>
    <row r="325" spans="3:3">
      <c r="C325" s="13"/>
    </row>
    <row r="326" spans="3:3">
      <c r="C326" s="13"/>
    </row>
    <row r="327" spans="3:3">
      <c r="C327" s="13"/>
    </row>
    <row r="328" spans="3:3">
      <c r="C328" s="13"/>
    </row>
    <row r="329" spans="3:3">
      <c r="C329" s="13"/>
    </row>
    <row r="330" spans="3:3">
      <c r="C330" s="13"/>
    </row>
    <row r="331" spans="3:3">
      <c r="C331" s="13"/>
    </row>
    <row r="332" spans="3:3">
      <c r="C332" s="13"/>
    </row>
    <row r="333" spans="3:3">
      <c r="C333" s="13"/>
    </row>
    <row r="334" spans="3:3">
      <c r="C334" s="13"/>
    </row>
    <row r="335" spans="3:3">
      <c r="C335" s="13"/>
    </row>
    <row r="336" spans="3:3">
      <c r="C336" s="13"/>
    </row>
    <row r="337" spans="3:3">
      <c r="C337" s="13"/>
    </row>
    <row r="338" spans="3:3">
      <c r="C338" s="13"/>
    </row>
    <row r="339" spans="3:3">
      <c r="C339" s="13"/>
    </row>
    <row r="340" spans="3:3">
      <c r="C340" s="13"/>
    </row>
    <row r="341" spans="3:3">
      <c r="C341" s="13"/>
    </row>
    <row r="342" spans="3:3">
      <c r="C342" s="13"/>
    </row>
    <row r="343" spans="3:3">
      <c r="C343" s="13"/>
    </row>
    <row r="344" spans="3:3">
      <c r="C344" s="13"/>
    </row>
    <row r="345" spans="3:3">
      <c r="C345" s="13"/>
    </row>
    <row r="346" spans="3:3">
      <c r="C346" s="13"/>
    </row>
    <row r="347" spans="3:3">
      <c r="C347" s="13"/>
    </row>
    <row r="348" spans="3:3">
      <c r="C348" s="13"/>
    </row>
    <row r="349" spans="3:3">
      <c r="C349" s="13"/>
    </row>
    <row r="350" spans="3:3">
      <c r="C350" s="13"/>
    </row>
    <row r="351" spans="3:3">
      <c r="C351" s="13"/>
    </row>
    <row r="352" spans="3:3">
      <c r="C352" s="13"/>
    </row>
    <row r="353" spans="3:3">
      <c r="C353" s="13"/>
    </row>
    <row r="354" spans="3:3">
      <c r="C354" s="13"/>
    </row>
    <row r="355" spans="3:3">
      <c r="C355" s="13"/>
    </row>
    <row r="356" spans="3:3">
      <c r="C356" s="13"/>
    </row>
    <row r="357" spans="3:3">
      <c r="C357" s="13"/>
    </row>
    <row r="358" spans="3:3">
      <c r="C358" s="13"/>
    </row>
    <row r="359" spans="3:3">
      <c r="C359" s="13"/>
    </row>
    <row r="360" spans="3:3">
      <c r="C360" s="13"/>
    </row>
    <row r="361" spans="3:3">
      <c r="C361" s="13"/>
    </row>
    <row r="362" spans="3:3">
      <c r="C362" s="13"/>
    </row>
    <row r="363" spans="3:3">
      <c r="C363" s="13"/>
    </row>
    <row r="364" spans="3:3">
      <c r="C364" s="13"/>
    </row>
    <row r="365" spans="3:3">
      <c r="C365" s="13"/>
    </row>
    <row r="366" spans="3:3">
      <c r="C366" s="13"/>
    </row>
    <row r="367" spans="3:3">
      <c r="C367" s="13"/>
    </row>
    <row r="368" spans="3:3">
      <c r="C368" s="13"/>
    </row>
    <row r="369" spans="3:3">
      <c r="C369" s="13"/>
    </row>
    <row r="370" spans="3:3">
      <c r="C370" s="13"/>
    </row>
    <row r="371" spans="3:3">
      <c r="C371" s="13"/>
    </row>
    <row r="372" spans="3:3">
      <c r="C372" s="13"/>
    </row>
    <row r="373" spans="3:3">
      <c r="C373" s="13"/>
    </row>
    <row r="374" spans="3:3">
      <c r="C374" s="13"/>
    </row>
    <row r="375" spans="3:3">
      <c r="C375" s="13"/>
    </row>
    <row r="376" spans="3:3">
      <c r="C376" s="13"/>
    </row>
    <row r="377" spans="3:3">
      <c r="C377" s="13"/>
    </row>
    <row r="378" spans="3:3">
      <c r="C378" s="13"/>
    </row>
    <row r="379" spans="3:3">
      <c r="C379" s="13"/>
    </row>
    <row r="380" spans="3:3">
      <c r="C380" s="13"/>
    </row>
    <row r="381" spans="3:3">
      <c r="C381" s="13"/>
    </row>
    <row r="382" spans="3:3">
      <c r="C382" s="13"/>
    </row>
    <row r="383" spans="3:3">
      <c r="C383" s="13"/>
    </row>
    <row r="384" spans="3:3">
      <c r="C384" s="13"/>
    </row>
    <row r="385" spans="3:3">
      <c r="C385" s="13"/>
    </row>
    <row r="386" spans="3:3">
      <c r="C386" s="13"/>
    </row>
    <row r="387" spans="3:3">
      <c r="C387" s="13"/>
    </row>
    <row r="388" spans="3:3">
      <c r="C388" s="13"/>
    </row>
    <row r="389" spans="3:3">
      <c r="C389" s="13"/>
    </row>
    <row r="390" spans="3:3">
      <c r="C390" s="13"/>
    </row>
    <row r="391" spans="3:3">
      <c r="C391" s="13"/>
    </row>
    <row r="392" spans="3:3">
      <c r="C392" s="13"/>
    </row>
    <row r="393" spans="3:3">
      <c r="C393" s="13"/>
    </row>
    <row r="394" spans="3:3">
      <c r="C394" s="13"/>
    </row>
    <row r="395" spans="3:3">
      <c r="C395" s="13"/>
    </row>
    <row r="396" spans="3:3">
      <c r="C396" s="13"/>
    </row>
    <row r="397" spans="3:3">
      <c r="C397" s="13"/>
    </row>
    <row r="398" spans="3:3">
      <c r="C398" s="13"/>
    </row>
    <row r="399" spans="3:3">
      <c r="C399" s="13"/>
    </row>
    <row r="400" spans="3:3">
      <c r="C400" s="13"/>
    </row>
    <row r="401" spans="3:3">
      <c r="C401" s="13"/>
    </row>
    <row r="402" spans="3:3">
      <c r="C402" s="13"/>
    </row>
    <row r="403" spans="3:3">
      <c r="C403" s="13"/>
    </row>
    <row r="404" spans="3:3">
      <c r="C404" s="13"/>
    </row>
    <row r="405" spans="3:3">
      <c r="C405" s="13"/>
    </row>
    <row r="406" spans="3:3">
      <c r="C406" s="13"/>
    </row>
    <row r="407" spans="3:3">
      <c r="C407" s="13"/>
    </row>
    <row r="408" spans="3:3">
      <c r="C408" s="13"/>
    </row>
    <row r="409" spans="3:3">
      <c r="C409" s="13"/>
    </row>
    <row r="410" spans="3:3">
      <c r="C410" s="13"/>
    </row>
    <row r="411" spans="3:3">
      <c r="C411" s="13"/>
    </row>
    <row r="412" spans="3:3">
      <c r="C412" s="13"/>
    </row>
    <row r="413" spans="3:3">
      <c r="C413" s="13"/>
    </row>
    <row r="414" spans="3:3">
      <c r="C414" s="13"/>
    </row>
    <row r="415" spans="3:3">
      <c r="C415" s="13"/>
    </row>
    <row r="416" spans="3:3">
      <c r="C416" s="13"/>
    </row>
    <row r="417" spans="3:3">
      <c r="C417" s="13"/>
    </row>
    <row r="418" spans="3:3">
      <c r="C418" s="13"/>
    </row>
    <row r="419" spans="3:3">
      <c r="C419" s="13"/>
    </row>
    <row r="420" spans="3:3">
      <c r="C420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442"/>
  <sheetViews>
    <sheetView workbookViewId="0">
      <selection activeCell="E8" sqref="E8"/>
    </sheetView>
  </sheetViews>
  <sheetFormatPr defaultRowHeight="15"/>
  <cols>
    <col min="1" max="1" width="9.5703125" style="18" bestFit="1" customWidth="1"/>
    <col min="2" max="2" width="21.42578125" style="18" bestFit="1" customWidth="1"/>
    <col min="3" max="3" width="7.5703125" style="18" bestFit="1" customWidth="1"/>
    <col min="4" max="4" width="3.7109375" style="18" bestFit="1" customWidth="1"/>
    <col min="5" max="5" width="5.5703125" style="18" bestFit="1" customWidth="1"/>
  </cols>
  <sheetData>
    <row r="1" spans="1:5">
      <c r="A1" s="18" t="s">
        <v>0</v>
      </c>
      <c r="B1" s="18" t="s">
        <v>1</v>
      </c>
      <c r="C1" s="18" t="s">
        <v>2</v>
      </c>
      <c r="D1" s="18" t="s">
        <v>117</v>
      </c>
      <c r="E1" s="18" t="s">
        <v>265</v>
      </c>
    </row>
    <row r="2" spans="1:5">
      <c r="A2" s="18" t="s">
        <v>3</v>
      </c>
      <c r="B2" s="18" t="s">
        <v>29</v>
      </c>
      <c r="C2" s="18">
        <v>8800</v>
      </c>
      <c r="D2" s="31"/>
      <c r="E2" s="18">
        <v>12.782353120691599</v>
      </c>
    </row>
    <row r="3" spans="1:5">
      <c r="A3" s="18" t="s">
        <v>3</v>
      </c>
      <c r="B3" s="18" t="s">
        <v>123</v>
      </c>
      <c r="C3" s="18">
        <v>8600</v>
      </c>
      <c r="D3" s="31"/>
      <c r="E3" s="18">
        <v>14.689999389648399</v>
      </c>
    </row>
    <row r="4" spans="1:5">
      <c r="A4" s="18" t="s">
        <v>49</v>
      </c>
      <c r="B4" s="18" t="s">
        <v>19</v>
      </c>
      <c r="C4" s="18">
        <v>8000</v>
      </c>
      <c r="D4" s="31"/>
      <c r="E4" s="18">
        <v>14.522221883138</v>
      </c>
    </row>
    <row r="5" spans="1:5">
      <c r="A5" s="18" t="s">
        <v>3</v>
      </c>
      <c r="B5" s="18" t="s">
        <v>88</v>
      </c>
      <c r="C5" s="18">
        <v>7800</v>
      </c>
      <c r="D5" s="31"/>
      <c r="E5" s="18">
        <v>18.9615384615384</v>
      </c>
    </row>
    <row r="6" spans="1:5">
      <c r="A6" s="18" t="s">
        <v>3</v>
      </c>
      <c r="B6" s="18" t="s">
        <v>125</v>
      </c>
      <c r="C6" s="18">
        <v>7700</v>
      </c>
      <c r="D6" s="31"/>
      <c r="E6" s="18">
        <v>13.736842105263101</v>
      </c>
    </row>
    <row r="7" spans="1:5">
      <c r="A7" s="18" t="s">
        <v>3</v>
      </c>
      <c r="B7" s="18" t="s">
        <v>352</v>
      </c>
      <c r="C7" s="18">
        <v>7600</v>
      </c>
      <c r="D7" s="31"/>
      <c r="E7" s="18">
        <v>12.1736843711451</v>
      </c>
    </row>
    <row r="8" spans="1:5">
      <c r="A8" s="18" t="s">
        <v>3</v>
      </c>
      <c r="B8" s="18" t="s">
        <v>90</v>
      </c>
      <c r="C8" s="18">
        <v>7500</v>
      </c>
      <c r="D8" s="31"/>
      <c r="E8" s="18">
        <v>14.9058819939108</v>
      </c>
    </row>
    <row r="9" spans="1:5">
      <c r="A9" s="18" t="s">
        <v>3</v>
      </c>
      <c r="B9" s="18" t="s">
        <v>87</v>
      </c>
      <c r="C9" s="18">
        <v>7400</v>
      </c>
      <c r="D9" s="31"/>
      <c r="E9" s="18">
        <v>12.3266662597656</v>
      </c>
    </row>
    <row r="10" spans="1:5">
      <c r="A10" s="18" t="s">
        <v>3</v>
      </c>
      <c r="B10" s="18" t="s">
        <v>9</v>
      </c>
      <c r="C10" s="18">
        <v>7300</v>
      </c>
      <c r="D10" s="31"/>
      <c r="E10" s="18">
        <v>14.176470588235199</v>
      </c>
    </row>
    <row r="11" spans="1:5">
      <c r="A11" s="18" t="s">
        <v>49</v>
      </c>
      <c r="B11" s="18" t="s">
        <v>353</v>
      </c>
      <c r="C11" s="18">
        <v>7200</v>
      </c>
      <c r="D11" s="31"/>
      <c r="E11" s="18">
        <v>15.1416664123535</v>
      </c>
    </row>
    <row r="12" spans="1:5">
      <c r="A12" s="18" t="s">
        <v>3</v>
      </c>
      <c r="B12" s="18" t="s">
        <v>6</v>
      </c>
      <c r="C12" s="18">
        <v>7100</v>
      </c>
      <c r="D12" s="31"/>
      <c r="E12" s="18">
        <v>15.038461538461499</v>
      </c>
    </row>
    <row r="13" spans="1:5">
      <c r="A13" s="18" t="s">
        <v>48</v>
      </c>
      <c r="B13" s="18" t="s">
        <v>28</v>
      </c>
      <c r="C13" s="18">
        <v>7000</v>
      </c>
      <c r="D13" s="31"/>
      <c r="E13" s="18">
        <v>13.1666666666666</v>
      </c>
    </row>
    <row r="14" spans="1:5">
      <c r="A14" s="18" t="s">
        <v>3</v>
      </c>
      <c r="B14" s="18" t="s">
        <v>91</v>
      </c>
      <c r="C14" s="18">
        <v>6900</v>
      </c>
      <c r="D14" s="31"/>
      <c r="E14" s="18">
        <v>11.150000435965399</v>
      </c>
    </row>
    <row r="15" spans="1:5">
      <c r="A15" s="18" t="s">
        <v>3</v>
      </c>
      <c r="B15" s="18" t="s">
        <v>354</v>
      </c>
      <c r="C15" s="18">
        <v>6800</v>
      </c>
      <c r="D15" s="31"/>
      <c r="E15" s="18">
        <v>12.815385084885801</v>
      </c>
    </row>
    <row r="16" spans="1:5">
      <c r="A16" s="18" t="s">
        <v>3</v>
      </c>
      <c r="B16" s="18" t="s">
        <v>355</v>
      </c>
      <c r="C16" s="18">
        <v>6700</v>
      </c>
      <c r="D16" s="31"/>
      <c r="E16" s="18">
        <v>10.3999998304578</v>
      </c>
    </row>
    <row r="17" spans="1:5">
      <c r="A17" s="18" t="s">
        <v>48</v>
      </c>
      <c r="B17" s="18" t="s">
        <v>4</v>
      </c>
      <c r="C17" s="18">
        <v>6600</v>
      </c>
      <c r="D17" s="31"/>
      <c r="E17" s="18">
        <v>16.1687507629394</v>
      </c>
    </row>
    <row r="18" spans="1:5">
      <c r="A18" s="18" t="s">
        <v>3</v>
      </c>
      <c r="B18" s="18" t="s">
        <v>30</v>
      </c>
      <c r="C18" s="18">
        <v>6500</v>
      </c>
      <c r="D18" s="31"/>
      <c r="E18" s="18">
        <v>11.0823525821461</v>
      </c>
    </row>
    <row r="19" spans="1:5">
      <c r="A19" s="18" t="s">
        <v>3</v>
      </c>
      <c r="B19" s="18" t="s">
        <v>135</v>
      </c>
      <c r="C19" s="18">
        <v>6400</v>
      </c>
      <c r="D19" s="31"/>
      <c r="E19" s="18">
        <v>4.7428572518484904</v>
      </c>
    </row>
    <row r="20" spans="1:5">
      <c r="A20" s="18" t="s">
        <v>3</v>
      </c>
      <c r="B20" s="18" t="s">
        <v>357</v>
      </c>
      <c r="C20" s="18">
        <v>6300</v>
      </c>
      <c r="D20" s="31"/>
      <c r="E20" s="18">
        <v>11.838889227973</v>
      </c>
    </row>
    <row r="21" spans="1:5">
      <c r="A21" s="18" t="s">
        <v>3</v>
      </c>
      <c r="B21" s="18" t="s">
        <v>152</v>
      </c>
      <c r="C21" s="18">
        <v>6300</v>
      </c>
      <c r="D21" s="31"/>
      <c r="E21" s="18">
        <v>9.2810524388363493</v>
      </c>
    </row>
    <row r="22" spans="1:5">
      <c r="A22" s="18" t="s">
        <v>3</v>
      </c>
      <c r="B22" s="18" t="s">
        <v>124</v>
      </c>
      <c r="C22" s="18">
        <v>6200</v>
      </c>
      <c r="D22" s="31"/>
      <c r="E22" s="18">
        <v>10.799999660915701</v>
      </c>
    </row>
    <row r="23" spans="1:5">
      <c r="A23" s="18" t="s">
        <v>3</v>
      </c>
      <c r="B23" s="18" t="s">
        <v>126</v>
      </c>
      <c r="C23" s="18">
        <v>6200</v>
      </c>
      <c r="D23" s="31"/>
      <c r="E23" s="18">
        <v>10.5583330790201</v>
      </c>
    </row>
    <row r="24" spans="1:5">
      <c r="A24" s="18" t="s">
        <v>3</v>
      </c>
      <c r="B24" s="18" t="s">
        <v>359</v>
      </c>
      <c r="C24" s="18">
        <v>6100</v>
      </c>
      <c r="D24" s="31"/>
      <c r="E24" s="18">
        <v>14.4615384615384</v>
      </c>
    </row>
    <row r="25" spans="1:5">
      <c r="A25" s="18" t="s">
        <v>3</v>
      </c>
      <c r="B25" s="18" t="s">
        <v>358</v>
      </c>
      <c r="C25" s="18">
        <v>6100</v>
      </c>
      <c r="D25" s="31"/>
      <c r="E25" s="18">
        <v>9.7312498092651296</v>
      </c>
    </row>
    <row r="26" spans="1:5">
      <c r="A26" s="18" t="s">
        <v>3</v>
      </c>
      <c r="B26" s="18" t="s">
        <v>360</v>
      </c>
      <c r="C26" s="18">
        <v>6000</v>
      </c>
      <c r="D26" s="31"/>
      <c r="E26" s="18">
        <v>9.9736842105263097</v>
      </c>
    </row>
    <row r="27" spans="1:5">
      <c r="A27" s="18" t="s">
        <v>3</v>
      </c>
      <c r="B27" s="18" t="s">
        <v>122</v>
      </c>
      <c r="C27" s="18">
        <v>5900</v>
      </c>
      <c r="D27" s="31"/>
      <c r="E27" s="18">
        <v>12.0066670735677</v>
      </c>
    </row>
    <row r="28" spans="1:5">
      <c r="A28" s="18" t="s">
        <v>3</v>
      </c>
      <c r="B28" s="18" t="s">
        <v>139</v>
      </c>
      <c r="C28" s="18">
        <v>5800</v>
      </c>
      <c r="D28" s="31"/>
      <c r="E28" s="18">
        <v>8.7647058823529402</v>
      </c>
    </row>
    <row r="29" spans="1:5">
      <c r="A29" s="18" t="s">
        <v>3</v>
      </c>
      <c r="B29" s="18" t="s">
        <v>136</v>
      </c>
      <c r="C29" s="18">
        <v>5600</v>
      </c>
      <c r="D29" s="31"/>
      <c r="E29" s="18">
        <v>9.5882352941176396</v>
      </c>
    </row>
    <row r="30" spans="1:5">
      <c r="B30" s="30"/>
      <c r="C30" s="32"/>
      <c r="D30" s="31"/>
      <c r="E30" s="13"/>
    </row>
    <row r="31" spans="1:5">
      <c r="B31" s="30"/>
      <c r="C31" s="32"/>
      <c r="D31" s="31"/>
      <c r="E31" s="13"/>
    </row>
    <row r="32" spans="1:5">
      <c r="B32" s="30"/>
      <c r="C32" s="32"/>
      <c r="D32" s="31"/>
      <c r="E32" s="13"/>
    </row>
    <row r="33" spans="2:5">
      <c r="B33" s="30"/>
      <c r="C33" s="32"/>
      <c r="D33" s="31"/>
      <c r="E33" s="13"/>
    </row>
    <row r="34" spans="2:5">
      <c r="B34" s="30"/>
      <c r="C34" s="32"/>
      <c r="D34" s="31"/>
      <c r="E34" s="13"/>
    </row>
    <row r="35" spans="2:5">
      <c r="B35" s="30"/>
      <c r="C35" s="32"/>
      <c r="D35" s="31"/>
      <c r="E35" s="13"/>
    </row>
    <row r="36" spans="2:5">
      <c r="B36" s="30"/>
      <c r="C36" s="32"/>
      <c r="D36" s="31"/>
      <c r="E36" s="13"/>
    </row>
    <row r="37" spans="2:5">
      <c r="B37" s="30"/>
      <c r="C37" s="32"/>
      <c r="D37" s="31"/>
      <c r="E37" s="13"/>
    </row>
    <row r="38" spans="2:5">
      <c r="B38" s="30"/>
      <c r="C38" s="32"/>
      <c r="D38" s="31"/>
      <c r="E38" s="13"/>
    </row>
    <row r="39" spans="2:5">
      <c r="B39" s="30"/>
      <c r="C39" s="32"/>
      <c r="D39" s="31"/>
      <c r="E39" s="13"/>
    </row>
    <row r="40" spans="2:5">
      <c r="B40" s="30"/>
      <c r="C40" s="32"/>
      <c r="D40" s="31"/>
      <c r="E40" s="13"/>
    </row>
    <row r="41" spans="2:5">
      <c r="B41" s="30"/>
      <c r="C41" s="32"/>
      <c r="D41" s="31"/>
      <c r="E41" s="13"/>
    </row>
    <row r="42" spans="2:5">
      <c r="B42" s="30"/>
      <c r="C42" s="32"/>
      <c r="D42" s="31"/>
      <c r="E42" s="13"/>
    </row>
    <row r="43" spans="2:5">
      <c r="B43" s="30"/>
      <c r="C43" s="32"/>
      <c r="D43" s="31"/>
      <c r="E43" s="13"/>
    </row>
    <row r="44" spans="2:5">
      <c r="B44" s="30"/>
      <c r="C44" s="32"/>
      <c r="D44" s="31"/>
      <c r="E44" s="13"/>
    </row>
    <row r="45" spans="2:5">
      <c r="B45" s="30"/>
      <c r="C45" s="32"/>
      <c r="D45" s="31"/>
      <c r="E45" s="13"/>
    </row>
    <row r="46" spans="2:5">
      <c r="B46" s="30"/>
      <c r="C46" s="32"/>
      <c r="D46" s="31"/>
      <c r="E46" s="13"/>
    </row>
    <row r="47" spans="2:5">
      <c r="B47" s="30"/>
      <c r="C47" s="32"/>
      <c r="D47" s="31"/>
      <c r="E47" s="13"/>
    </row>
    <row r="48" spans="2:5">
      <c r="B48" s="30"/>
      <c r="C48" s="32"/>
      <c r="D48" s="31"/>
      <c r="E48" s="13"/>
    </row>
    <row r="49" spans="2:5">
      <c r="B49" s="30"/>
      <c r="C49" s="32"/>
      <c r="D49" s="31"/>
      <c r="E49" s="13"/>
    </row>
    <row r="50" spans="2:5">
      <c r="B50" s="30"/>
      <c r="C50" s="32"/>
      <c r="D50" s="31"/>
      <c r="E50" s="13"/>
    </row>
    <row r="51" spans="2:5">
      <c r="B51" s="30"/>
      <c r="C51" s="32"/>
      <c r="D51" s="31"/>
      <c r="E51" s="13"/>
    </row>
    <row r="52" spans="2:5">
      <c r="B52" s="30"/>
      <c r="C52" s="32"/>
      <c r="D52" s="31"/>
      <c r="E52" s="13"/>
    </row>
    <row r="53" spans="2:5">
      <c r="B53" s="30"/>
      <c r="C53" s="32"/>
      <c r="D53" s="31"/>
      <c r="E53" s="13"/>
    </row>
    <row r="54" spans="2:5">
      <c r="B54" s="30"/>
      <c r="C54" s="32"/>
      <c r="D54" s="31"/>
      <c r="E54" s="13"/>
    </row>
    <row r="55" spans="2:5">
      <c r="B55" s="30"/>
      <c r="C55" s="32"/>
      <c r="D55" s="31"/>
      <c r="E55" s="13"/>
    </row>
    <row r="56" spans="2:5">
      <c r="B56" s="30"/>
      <c r="C56" s="32"/>
      <c r="D56" s="31"/>
      <c r="E56" s="13"/>
    </row>
    <row r="57" spans="2:5">
      <c r="B57" s="30"/>
      <c r="C57" s="32"/>
      <c r="D57" s="31"/>
      <c r="E57" s="13"/>
    </row>
    <row r="58" spans="2:5">
      <c r="B58" s="30"/>
      <c r="C58" s="32"/>
      <c r="D58" s="31"/>
      <c r="E58" s="13"/>
    </row>
    <row r="59" spans="2:5">
      <c r="B59" s="30"/>
      <c r="C59" s="32"/>
      <c r="D59" s="31"/>
      <c r="E59" s="13"/>
    </row>
    <row r="60" spans="2:5">
      <c r="B60" s="30"/>
      <c r="C60" s="32"/>
      <c r="D60" s="31"/>
      <c r="E60" s="13"/>
    </row>
    <row r="61" spans="2:5">
      <c r="B61" s="30"/>
      <c r="C61" s="32"/>
      <c r="D61" s="31"/>
      <c r="E61" s="13"/>
    </row>
    <row r="62" spans="2:5">
      <c r="B62" s="30"/>
      <c r="C62" s="32"/>
      <c r="D62" s="31"/>
      <c r="E62" s="13"/>
    </row>
    <row r="63" spans="2:5">
      <c r="B63" s="30"/>
      <c r="C63" s="32"/>
      <c r="D63" s="31"/>
      <c r="E63" s="13"/>
    </row>
    <row r="64" spans="2:5">
      <c r="B64" s="30"/>
      <c r="C64" s="32"/>
      <c r="D64" s="31"/>
      <c r="E64" s="13"/>
    </row>
    <row r="65" spans="2:5">
      <c r="B65" s="30"/>
      <c r="C65" s="32"/>
      <c r="D65" s="31"/>
      <c r="E65" s="13"/>
    </row>
    <row r="66" spans="2:5">
      <c r="B66" s="30"/>
      <c r="C66" s="32"/>
      <c r="D66" s="31"/>
      <c r="E66" s="13"/>
    </row>
    <row r="67" spans="2:5">
      <c r="B67" s="30"/>
      <c r="C67" s="32"/>
      <c r="D67" s="31"/>
      <c r="E67" s="13"/>
    </row>
    <row r="68" spans="2:5">
      <c r="B68" s="30"/>
      <c r="C68" s="32"/>
      <c r="D68" s="31"/>
      <c r="E68" s="13"/>
    </row>
    <row r="69" spans="2:5">
      <c r="B69" s="30"/>
      <c r="C69" s="32"/>
      <c r="D69" s="31"/>
      <c r="E69" s="13"/>
    </row>
    <row r="70" spans="2:5">
      <c r="B70" s="30"/>
      <c r="C70" s="32"/>
      <c r="D70" s="31"/>
      <c r="E70" s="13"/>
    </row>
    <row r="71" spans="2:5">
      <c r="B71" s="30"/>
      <c r="C71" s="32"/>
      <c r="D71" s="31"/>
    </row>
    <row r="72" spans="2:5">
      <c r="B72" s="30"/>
      <c r="C72" s="32"/>
      <c r="D72" s="31"/>
    </row>
    <row r="73" spans="2:5">
      <c r="B73" s="30"/>
      <c r="C73" s="32"/>
      <c r="D73" s="31"/>
    </row>
    <row r="74" spans="2:5">
      <c r="B74" s="30"/>
      <c r="C74" s="32"/>
      <c r="D74" s="31"/>
    </row>
    <row r="75" spans="2:5">
      <c r="B75" s="30"/>
      <c r="C75" s="32"/>
      <c r="D75" s="31"/>
    </row>
    <row r="76" spans="2:5">
      <c r="B76" s="30"/>
      <c r="C76" s="32"/>
      <c r="D76" s="31"/>
    </row>
    <row r="77" spans="2:5">
      <c r="B77" s="30"/>
      <c r="C77" s="32"/>
      <c r="D77" s="31"/>
    </row>
    <row r="78" spans="2:5">
      <c r="B78" s="30"/>
      <c r="C78" s="32"/>
      <c r="D78" s="31"/>
    </row>
    <row r="79" spans="2:5">
      <c r="B79" s="30"/>
      <c r="C79" s="32"/>
      <c r="D79" s="31"/>
    </row>
    <row r="80" spans="2:5">
      <c r="B80" s="30"/>
      <c r="C80" s="32"/>
      <c r="D80" s="31"/>
    </row>
    <row r="81" spans="2:4">
      <c r="B81" s="30"/>
      <c r="C81" s="32"/>
      <c r="D81" s="31"/>
    </row>
    <row r="82" spans="2:4">
      <c r="B82" s="30"/>
      <c r="C82" s="32"/>
      <c r="D82" s="31"/>
    </row>
    <row r="83" spans="2:4">
      <c r="B83" s="30"/>
      <c r="C83" s="32"/>
      <c r="D83" s="31"/>
    </row>
    <row r="84" spans="2:4">
      <c r="B84" s="30"/>
      <c r="C84" s="32"/>
      <c r="D84" s="31"/>
    </row>
    <row r="85" spans="2:4">
      <c r="B85" s="30"/>
      <c r="C85" s="32"/>
      <c r="D85" s="31"/>
    </row>
    <row r="86" spans="2:4">
      <c r="B86" s="30"/>
      <c r="C86" s="32"/>
      <c r="D86" s="31"/>
    </row>
    <row r="87" spans="2:4">
      <c r="B87" s="30"/>
      <c r="C87" s="32"/>
      <c r="D87" s="31"/>
    </row>
    <row r="88" spans="2:4">
      <c r="B88" s="30"/>
      <c r="C88" s="32"/>
      <c r="D88" s="31"/>
    </row>
    <row r="89" spans="2:4">
      <c r="B89" s="30"/>
      <c r="C89" s="32"/>
      <c r="D89" s="31"/>
    </row>
    <row r="90" spans="2:4">
      <c r="B90" s="30"/>
      <c r="C90" s="32"/>
      <c r="D90" s="31"/>
    </row>
    <row r="91" spans="2:4">
      <c r="B91" s="30"/>
      <c r="C91" s="32"/>
      <c r="D91" s="31"/>
    </row>
    <row r="92" spans="2:4">
      <c r="B92" s="30"/>
      <c r="C92" s="32"/>
      <c r="D92" s="31"/>
    </row>
    <row r="93" spans="2:4">
      <c r="B93" s="30"/>
      <c r="C93" s="32"/>
      <c r="D93" s="31"/>
    </row>
    <row r="94" spans="2:4">
      <c r="B94" s="30"/>
      <c r="C94" s="32"/>
      <c r="D94" s="31"/>
    </row>
    <row r="95" spans="2:4">
      <c r="B95" s="30"/>
      <c r="C95" s="32"/>
      <c r="D95" s="31"/>
    </row>
    <row r="96" spans="2:4">
      <c r="B96" s="30"/>
      <c r="C96" s="32"/>
      <c r="D96" s="31"/>
    </row>
    <row r="97" spans="2:4">
      <c r="B97" s="30"/>
      <c r="C97" s="32"/>
      <c r="D97" s="31"/>
    </row>
    <row r="98" spans="2:4">
      <c r="B98" s="30"/>
      <c r="C98" s="32"/>
      <c r="D98" s="31"/>
    </row>
    <row r="99" spans="2:4">
      <c r="B99" s="30"/>
      <c r="C99" s="32"/>
      <c r="D99" s="31"/>
    </row>
    <row r="100" spans="2:4">
      <c r="B100" s="30"/>
      <c r="C100" s="32"/>
      <c r="D100" s="31"/>
    </row>
    <row r="101" spans="2:4">
      <c r="B101" s="30"/>
      <c r="C101" s="32"/>
      <c r="D101" s="31"/>
    </row>
    <row r="102" spans="2:4">
      <c r="B102" s="30"/>
      <c r="C102" s="32"/>
      <c r="D102" s="31"/>
    </row>
    <row r="103" spans="2:4">
      <c r="B103" s="30"/>
      <c r="C103" s="32"/>
      <c r="D103" s="31"/>
    </row>
    <row r="104" spans="2:4">
      <c r="B104" s="30"/>
      <c r="C104" s="32"/>
      <c r="D104" s="31"/>
    </row>
    <row r="105" spans="2:4">
      <c r="B105" s="30"/>
      <c r="C105" s="32"/>
      <c r="D105" s="31"/>
    </row>
    <row r="106" spans="2:4">
      <c r="B106" s="30"/>
      <c r="C106" s="32"/>
      <c r="D106" s="31"/>
    </row>
    <row r="107" spans="2:4">
      <c r="B107" s="30"/>
      <c r="C107" s="32"/>
      <c r="D107" s="31"/>
    </row>
    <row r="108" spans="2:4">
      <c r="B108" s="30"/>
      <c r="C108" s="32"/>
      <c r="D108" s="31"/>
    </row>
    <row r="109" spans="2:4">
      <c r="B109" s="30"/>
      <c r="C109" s="32"/>
      <c r="D109" s="31"/>
    </row>
    <row r="110" spans="2:4">
      <c r="B110" s="30"/>
      <c r="C110" s="32"/>
      <c r="D110" s="31"/>
    </row>
    <row r="111" spans="2:4">
      <c r="B111" s="30"/>
      <c r="C111" s="32"/>
      <c r="D111" s="31"/>
    </row>
    <row r="112" spans="2:4">
      <c r="B112" s="30"/>
      <c r="C112" s="32"/>
      <c r="D112" s="31"/>
    </row>
    <row r="113" spans="2:5">
      <c r="B113" s="30"/>
      <c r="C113" s="32"/>
      <c r="D113" s="31"/>
    </row>
    <row r="114" spans="2:5">
      <c r="B114" s="30"/>
      <c r="C114" s="32"/>
      <c r="D114" s="31"/>
    </row>
    <row r="115" spans="2:5">
      <c r="B115" s="30"/>
      <c r="C115" s="32"/>
      <c r="D115" s="31"/>
    </row>
    <row r="116" spans="2:5">
      <c r="B116" s="30"/>
      <c r="C116" s="32"/>
      <c r="D116" s="31"/>
    </row>
    <row r="117" spans="2:5">
      <c r="B117" s="30"/>
      <c r="C117" s="32"/>
      <c r="D117" s="31"/>
    </row>
    <row r="118" spans="2:5">
      <c r="B118" s="30"/>
      <c r="C118" s="32"/>
      <c r="D118" s="31"/>
    </row>
    <row r="119" spans="2:5">
      <c r="B119" s="30"/>
      <c r="C119" s="32"/>
      <c r="D119" s="31"/>
      <c r="E119" s="13"/>
    </row>
    <row r="120" spans="2:5">
      <c r="B120" s="30"/>
      <c r="C120" s="32"/>
      <c r="D120" s="31"/>
      <c r="E120" s="13"/>
    </row>
    <row r="121" spans="2:5">
      <c r="B121" s="30"/>
      <c r="C121" s="32"/>
      <c r="D121" s="31"/>
      <c r="E121" s="13"/>
    </row>
    <row r="122" spans="2:5">
      <c r="B122" s="30"/>
      <c r="C122" s="32"/>
      <c r="D122" s="31"/>
      <c r="E122" s="13"/>
    </row>
    <row r="123" spans="2:5">
      <c r="B123" s="30"/>
      <c r="C123" s="32"/>
      <c r="D123" s="31"/>
      <c r="E123" s="13"/>
    </row>
    <row r="124" spans="2:5">
      <c r="B124" s="30"/>
      <c r="C124" s="32"/>
      <c r="D124" s="31"/>
      <c r="E124" s="13"/>
    </row>
    <row r="125" spans="2:5">
      <c r="B125" s="30"/>
      <c r="C125" s="32"/>
      <c r="D125" s="31"/>
      <c r="E125" s="13"/>
    </row>
    <row r="126" spans="2:5">
      <c r="B126" s="30"/>
      <c r="C126" s="32"/>
      <c r="D126" s="31"/>
      <c r="E126" s="13"/>
    </row>
    <row r="127" spans="2:5">
      <c r="B127" s="30"/>
      <c r="C127" s="32"/>
      <c r="D127" s="31"/>
      <c r="E127" s="13"/>
    </row>
    <row r="128" spans="2:5">
      <c r="B128" s="30"/>
      <c r="C128" s="32"/>
      <c r="D128" s="31"/>
      <c r="E128" s="13"/>
    </row>
    <row r="129" spans="2:5">
      <c r="B129" s="30"/>
      <c r="C129" s="32"/>
      <c r="D129" s="31"/>
      <c r="E129" s="13"/>
    </row>
    <row r="130" spans="2:5">
      <c r="B130" s="30"/>
      <c r="C130" s="32"/>
      <c r="D130" s="31"/>
      <c r="E130" s="13"/>
    </row>
    <row r="131" spans="2:5">
      <c r="B131" s="30"/>
      <c r="C131" s="32"/>
      <c r="D131" s="31"/>
      <c r="E131" s="13"/>
    </row>
    <row r="132" spans="2:5">
      <c r="B132" s="30"/>
      <c r="C132" s="32"/>
      <c r="D132" s="31"/>
      <c r="E132" s="13"/>
    </row>
    <row r="133" spans="2:5">
      <c r="B133" s="30"/>
      <c r="C133" s="32"/>
      <c r="D133" s="31"/>
      <c r="E133" s="13"/>
    </row>
    <row r="134" spans="2:5">
      <c r="B134" s="30"/>
      <c r="C134" s="32"/>
      <c r="D134" s="31"/>
      <c r="E134" s="13"/>
    </row>
    <row r="135" spans="2:5">
      <c r="B135" s="30"/>
      <c r="C135" s="32"/>
      <c r="D135" s="31"/>
      <c r="E135" s="13"/>
    </row>
    <row r="136" spans="2:5">
      <c r="B136" s="30"/>
      <c r="C136" s="32"/>
      <c r="D136" s="31"/>
      <c r="E136" s="13"/>
    </row>
    <row r="137" spans="2:5">
      <c r="B137" s="30"/>
      <c r="C137" s="32"/>
      <c r="D137" s="31"/>
      <c r="E137" s="13"/>
    </row>
    <row r="138" spans="2:5">
      <c r="B138" s="30"/>
      <c r="C138" s="32"/>
      <c r="D138" s="31"/>
      <c r="E138" s="13"/>
    </row>
    <row r="139" spans="2:5">
      <c r="B139" s="30"/>
      <c r="C139" s="32"/>
      <c r="D139" s="31"/>
      <c r="E139" s="13"/>
    </row>
    <row r="140" spans="2:5">
      <c r="B140" s="30"/>
      <c r="C140" s="32"/>
      <c r="D140" s="31"/>
      <c r="E140" s="13"/>
    </row>
    <row r="141" spans="2:5">
      <c r="B141" s="30"/>
      <c r="C141" s="32"/>
      <c r="D141" s="31"/>
      <c r="E141" s="13"/>
    </row>
    <row r="142" spans="2:5">
      <c r="B142" s="30"/>
      <c r="C142" s="32"/>
      <c r="D142" s="31"/>
      <c r="E142" s="13"/>
    </row>
    <row r="143" spans="2:5">
      <c r="B143" s="30"/>
      <c r="C143" s="32"/>
      <c r="D143" s="31"/>
      <c r="E143" s="13"/>
    </row>
    <row r="144" spans="2:5">
      <c r="B144" s="30"/>
      <c r="C144" s="32"/>
      <c r="D144" s="31"/>
      <c r="E144" s="13"/>
    </row>
    <row r="145" spans="2:5">
      <c r="B145" s="30"/>
      <c r="C145" s="32"/>
      <c r="D145" s="31"/>
      <c r="E145" s="13"/>
    </row>
    <row r="146" spans="2:5">
      <c r="B146" s="30"/>
      <c r="C146" s="32"/>
      <c r="D146" s="31"/>
      <c r="E146" s="13"/>
    </row>
    <row r="147" spans="2:5">
      <c r="B147" s="30"/>
      <c r="C147" s="32"/>
      <c r="D147" s="31"/>
      <c r="E147" s="13"/>
    </row>
    <row r="148" spans="2:5">
      <c r="B148" s="30"/>
      <c r="C148" s="32"/>
      <c r="D148" s="31"/>
      <c r="E148" s="13"/>
    </row>
    <row r="149" spans="2:5">
      <c r="B149" s="30"/>
      <c r="C149" s="32"/>
      <c r="D149" s="31"/>
      <c r="E149" s="13"/>
    </row>
    <row r="150" spans="2:5">
      <c r="B150" s="30"/>
      <c r="C150" s="32"/>
      <c r="D150" s="31"/>
      <c r="E150" s="13"/>
    </row>
    <row r="151" spans="2:5">
      <c r="B151" s="30"/>
      <c r="C151" s="32"/>
      <c r="D151" s="31"/>
      <c r="E151" s="13"/>
    </row>
    <row r="152" spans="2:5">
      <c r="B152" s="30"/>
      <c r="C152" s="32"/>
      <c r="D152" s="31"/>
      <c r="E152" s="13"/>
    </row>
    <row r="153" spans="2:5">
      <c r="B153" s="30"/>
      <c r="C153" s="32"/>
      <c r="D153" s="31"/>
      <c r="E153" s="13"/>
    </row>
    <row r="154" spans="2:5">
      <c r="B154" s="30"/>
      <c r="C154" s="32"/>
      <c r="D154" s="31"/>
      <c r="E154" s="13"/>
    </row>
    <row r="155" spans="2:5">
      <c r="B155" s="30"/>
      <c r="C155" s="32"/>
      <c r="D155" s="31"/>
      <c r="E155" s="13"/>
    </row>
    <row r="156" spans="2:5">
      <c r="B156" s="30"/>
      <c r="C156" s="32"/>
      <c r="D156" s="31"/>
      <c r="E156" s="13"/>
    </row>
    <row r="157" spans="2:5">
      <c r="B157" s="30"/>
      <c r="C157" s="32"/>
      <c r="D157" s="31"/>
      <c r="E157" s="13"/>
    </row>
    <row r="158" spans="2:5">
      <c r="B158" s="30"/>
      <c r="C158" s="32"/>
      <c r="D158" s="31"/>
      <c r="E158" s="13"/>
    </row>
    <row r="159" spans="2:5">
      <c r="B159" s="30"/>
      <c r="C159" s="32"/>
      <c r="D159" s="31"/>
      <c r="E159" s="13"/>
    </row>
    <row r="160" spans="2:5">
      <c r="B160" s="30"/>
      <c r="C160" s="32"/>
      <c r="D160" s="31"/>
      <c r="E160" s="13"/>
    </row>
    <row r="161" spans="2:5">
      <c r="B161" s="30"/>
      <c r="C161" s="32"/>
      <c r="D161" s="31"/>
      <c r="E161" s="13"/>
    </row>
    <row r="162" spans="2:5">
      <c r="B162" s="30"/>
      <c r="C162" s="32"/>
      <c r="D162" s="31"/>
      <c r="E162" s="13"/>
    </row>
    <row r="163" spans="2:5">
      <c r="B163" s="30"/>
      <c r="C163" s="32"/>
      <c r="D163" s="31"/>
      <c r="E163" s="13"/>
    </row>
    <row r="164" spans="2:5">
      <c r="B164" s="30"/>
      <c r="C164" s="32"/>
      <c r="D164" s="31"/>
      <c r="E164" s="13"/>
    </row>
    <row r="165" spans="2:5">
      <c r="B165" s="30"/>
      <c r="C165" s="32"/>
      <c r="D165" s="31"/>
      <c r="E165" s="13"/>
    </row>
    <row r="166" spans="2:5">
      <c r="B166" s="30"/>
      <c r="C166" s="32"/>
      <c r="D166" s="31"/>
      <c r="E166" s="13"/>
    </row>
    <row r="167" spans="2:5">
      <c r="B167" s="30"/>
      <c r="C167" s="32"/>
      <c r="D167" s="31"/>
      <c r="E167" s="13"/>
    </row>
    <row r="168" spans="2:5">
      <c r="B168" s="30"/>
      <c r="C168" s="32"/>
      <c r="D168" s="31"/>
      <c r="E168" s="13"/>
    </row>
    <row r="169" spans="2:5">
      <c r="B169" s="30"/>
      <c r="C169" s="32"/>
      <c r="D169" s="31"/>
      <c r="E169" s="13"/>
    </row>
    <row r="170" spans="2:5">
      <c r="B170" s="30"/>
      <c r="C170" s="32"/>
      <c r="D170" s="31"/>
      <c r="E170" s="13"/>
    </row>
    <row r="171" spans="2:5">
      <c r="B171" s="30"/>
      <c r="C171" s="32"/>
      <c r="D171" s="31"/>
      <c r="E171" s="13"/>
    </row>
    <row r="172" spans="2:5">
      <c r="B172" s="30"/>
      <c r="C172" s="32"/>
      <c r="D172" s="31"/>
      <c r="E172" s="13"/>
    </row>
    <row r="173" spans="2:5">
      <c r="B173" s="30"/>
      <c r="C173" s="32"/>
      <c r="D173" s="31"/>
      <c r="E173" s="13"/>
    </row>
    <row r="174" spans="2:5">
      <c r="B174" s="30"/>
      <c r="C174" s="32"/>
      <c r="D174" s="31"/>
      <c r="E174" s="13"/>
    </row>
    <row r="175" spans="2:5">
      <c r="B175" s="30"/>
      <c r="C175" s="32"/>
      <c r="D175" s="31"/>
      <c r="E175" s="13"/>
    </row>
    <row r="176" spans="2:5">
      <c r="B176" s="30"/>
      <c r="C176" s="32"/>
      <c r="D176" s="31"/>
      <c r="E176" s="13"/>
    </row>
    <row r="177" spans="2:5">
      <c r="B177" s="30"/>
      <c r="C177" s="32"/>
      <c r="D177" s="31"/>
      <c r="E177" s="13"/>
    </row>
    <row r="178" spans="2:5">
      <c r="B178" s="30"/>
      <c r="C178" s="32"/>
      <c r="D178" s="31"/>
      <c r="E178" s="13"/>
    </row>
    <row r="179" spans="2:5">
      <c r="B179" s="30"/>
      <c r="C179" s="32"/>
      <c r="D179" s="31"/>
      <c r="E179" s="13"/>
    </row>
    <row r="180" spans="2:5">
      <c r="B180" s="30"/>
      <c r="C180" s="32"/>
      <c r="D180" s="31"/>
      <c r="E180" s="13"/>
    </row>
    <row r="181" spans="2:5">
      <c r="B181" s="30"/>
      <c r="C181" s="32"/>
      <c r="D181" s="31"/>
      <c r="E181" s="13"/>
    </row>
    <row r="182" spans="2:5">
      <c r="C182" s="13"/>
      <c r="E182" s="13"/>
    </row>
    <row r="183" spans="2:5">
      <c r="C183" s="13"/>
      <c r="E183" s="13"/>
    </row>
    <row r="184" spans="2:5">
      <c r="C184" s="13"/>
      <c r="E184" s="13"/>
    </row>
    <row r="185" spans="2:5">
      <c r="C185" s="13"/>
      <c r="E185" s="13"/>
    </row>
    <row r="186" spans="2:5">
      <c r="C186" s="13"/>
      <c r="E186" s="13"/>
    </row>
    <row r="187" spans="2:5">
      <c r="C187" s="13"/>
      <c r="E187" s="13"/>
    </row>
    <row r="188" spans="2:5">
      <c r="C188" s="13"/>
      <c r="E188" s="13"/>
    </row>
    <row r="189" spans="2:5">
      <c r="C189" s="13"/>
      <c r="E189" s="13"/>
    </row>
    <row r="190" spans="2:5">
      <c r="C190" s="13"/>
      <c r="E190" s="13"/>
    </row>
    <row r="191" spans="2:5">
      <c r="C191" s="13"/>
      <c r="E191" s="13"/>
    </row>
    <row r="192" spans="2:5">
      <c r="C192" s="13"/>
      <c r="E192" s="13"/>
    </row>
    <row r="193" spans="3:5">
      <c r="C193" s="13"/>
      <c r="E193" s="13"/>
    </row>
    <row r="194" spans="3:5">
      <c r="C194" s="13"/>
      <c r="E194" s="13"/>
    </row>
    <row r="195" spans="3:5">
      <c r="C195" s="13"/>
      <c r="E195" s="13"/>
    </row>
    <row r="196" spans="3:5">
      <c r="C196" s="13"/>
      <c r="E196" s="13"/>
    </row>
    <row r="197" spans="3:5">
      <c r="C197" s="13"/>
      <c r="E197" s="13"/>
    </row>
    <row r="198" spans="3:5">
      <c r="C198" s="13"/>
      <c r="E198" s="13"/>
    </row>
    <row r="199" spans="3:5">
      <c r="C199" s="13"/>
      <c r="E199" s="13"/>
    </row>
    <row r="200" spans="3:5">
      <c r="C200" s="13"/>
      <c r="E200" s="13"/>
    </row>
    <row r="201" spans="3:5">
      <c r="C201" s="13"/>
      <c r="E201" s="13"/>
    </row>
    <row r="202" spans="3:5">
      <c r="C202" s="13"/>
      <c r="E202" s="13"/>
    </row>
    <row r="203" spans="3:5">
      <c r="C203" s="13"/>
      <c r="E203" s="13"/>
    </row>
    <row r="204" spans="3:5">
      <c r="C204" s="13"/>
      <c r="E204" s="13"/>
    </row>
    <row r="205" spans="3:5">
      <c r="C205" s="13"/>
      <c r="E205" s="13"/>
    </row>
    <row r="206" spans="3:5">
      <c r="C206" s="13"/>
      <c r="E206" s="13"/>
    </row>
    <row r="207" spans="3:5">
      <c r="C207" s="13"/>
      <c r="E207" s="13"/>
    </row>
    <row r="208" spans="3:5">
      <c r="C208" s="13"/>
      <c r="E208" s="13"/>
    </row>
    <row r="209" spans="3:5">
      <c r="C209" s="13"/>
      <c r="E209" s="13"/>
    </row>
    <row r="210" spans="3:5">
      <c r="C210" s="13"/>
      <c r="E210" s="13"/>
    </row>
    <row r="211" spans="3:5">
      <c r="C211" s="13"/>
      <c r="E211" s="13"/>
    </row>
    <row r="212" spans="3:5">
      <c r="C212" s="13"/>
      <c r="E212" s="13"/>
    </row>
    <row r="213" spans="3:5">
      <c r="C213" s="13"/>
      <c r="E213" s="13"/>
    </row>
    <row r="214" spans="3:5">
      <c r="C214" s="13"/>
      <c r="E214" s="13"/>
    </row>
    <row r="215" spans="3:5">
      <c r="C215" s="13"/>
      <c r="E215" s="13"/>
    </row>
    <row r="216" spans="3:5">
      <c r="C216" s="13"/>
      <c r="E216" s="13"/>
    </row>
    <row r="217" spans="3:5">
      <c r="C217" s="13"/>
      <c r="E217" s="13"/>
    </row>
    <row r="218" spans="3:5">
      <c r="C218" s="13"/>
      <c r="E218" s="13"/>
    </row>
    <row r="219" spans="3:5">
      <c r="C219" s="13"/>
      <c r="E219" s="13"/>
    </row>
    <row r="220" spans="3:5">
      <c r="C220" s="13"/>
      <c r="E220" s="13"/>
    </row>
    <row r="221" spans="3:5">
      <c r="C221" s="13"/>
      <c r="E221" s="13"/>
    </row>
    <row r="222" spans="3:5">
      <c r="C222" s="13"/>
      <c r="E222" s="13"/>
    </row>
    <row r="223" spans="3:5">
      <c r="C223" s="13"/>
      <c r="E223" s="13"/>
    </row>
    <row r="224" spans="3:5">
      <c r="C224" s="13"/>
      <c r="E224" s="13"/>
    </row>
    <row r="225" spans="3:5">
      <c r="C225" s="13"/>
      <c r="E225" s="13"/>
    </row>
    <row r="226" spans="3:5">
      <c r="C226" s="13"/>
      <c r="E226" s="13"/>
    </row>
    <row r="227" spans="3:5">
      <c r="C227" s="13"/>
      <c r="E227" s="13"/>
    </row>
    <row r="228" spans="3:5">
      <c r="C228" s="13"/>
      <c r="E228" s="13"/>
    </row>
    <row r="229" spans="3:5">
      <c r="C229" s="13"/>
      <c r="E229" s="13"/>
    </row>
    <row r="230" spans="3:5">
      <c r="C230" s="13"/>
      <c r="E230" s="13"/>
    </row>
    <row r="231" spans="3:5">
      <c r="C231" s="13"/>
      <c r="E231" s="13"/>
    </row>
    <row r="232" spans="3:5">
      <c r="C232" s="13"/>
      <c r="E232" s="13"/>
    </row>
    <row r="233" spans="3:5">
      <c r="C233" s="13"/>
      <c r="E233" s="13"/>
    </row>
    <row r="234" spans="3:5">
      <c r="C234" s="13"/>
      <c r="E234" s="13"/>
    </row>
    <row r="235" spans="3:5">
      <c r="C235" s="13"/>
      <c r="E235" s="13"/>
    </row>
    <row r="236" spans="3:5">
      <c r="C236" s="13"/>
      <c r="E236" s="13"/>
    </row>
    <row r="237" spans="3:5">
      <c r="C237" s="13"/>
      <c r="E237" s="13"/>
    </row>
    <row r="238" spans="3:5">
      <c r="C238" s="13"/>
      <c r="E238" s="13"/>
    </row>
    <row r="239" spans="3:5">
      <c r="C239" s="13"/>
      <c r="E239" s="13"/>
    </row>
    <row r="240" spans="3:5">
      <c r="C240" s="13"/>
      <c r="E240" s="13"/>
    </row>
    <row r="241" spans="3:5">
      <c r="C241" s="13"/>
      <c r="E241" s="13"/>
    </row>
    <row r="242" spans="3:5">
      <c r="C242" s="13"/>
      <c r="E242" s="13"/>
    </row>
    <row r="243" spans="3:5">
      <c r="C243" s="13"/>
      <c r="E243" s="13"/>
    </row>
    <row r="244" spans="3:5">
      <c r="C244" s="13"/>
      <c r="E244" s="13"/>
    </row>
    <row r="245" spans="3:5">
      <c r="C245" s="13"/>
      <c r="E245" s="13"/>
    </row>
    <row r="246" spans="3:5">
      <c r="C246" s="13"/>
    </row>
    <row r="247" spans="3:5">
      <c r="C247" s="13"/>
    </row>
    <row r="248" spans="3:5">
      <c r="C248" s="13"/>
    </row>
    <row r="249" spans="3:5">
      <c r="C249" s="13"/>
    </row>
    <row r="250" spans="3:5">
      <c r="C250" s="13"/>
    </row>
    <row r="251" spans="3:5">
      <c r="C251" s="13"/>
    </row>
    <row r="252" spans="3:5">
      <c r="C252" s="13"/>
    </row>
    <row r="253" spans="3:5">
      <c r="C253" s="13"/>
    </row>
    <row r="254" spans="3:5">
      <c r="C254" s="13"/>
    </row>
    <row r="255" spans="3:5">
      <c r="C255" s="13"/>
    </row>
    <row r="256" spans="3:5">
      <c r="C256" s="13"/>
    </row>
    <row r="257" spans="3:3">
      <c r="C257" s="13"/>
    </row>
    <row r="258" spans="3:3">
      <c r="C258" s="13"/>
    </row>
    <row r="259" spans="3:3">
      <c r="C259" s="13"/>
    </row>
    <row r="260" spans="3:3">
      <c r="C260" s="13"/>
    </row>
    <row r="261" spans="3:3">
      <c r="C261" s="13"/>
    </row>
    <row r="262" spans="3:3">
      <c r="C262" s="13"/>
    </row>
    <row r="263" spans="3:3">
      <c r="C263" s="13"/>
    </row>
    <row r="264" spans="3:3">
      <c r="C264" s="13"/>
    </row>
    <row r="265" spans="3:3">
      <c r="C265" s="13"/>
    </row>
    <row r="266" spans="3:3">
      <c r="C266" s="13"/>
    </row>
    <row r="267" spans="3:3">
      <c r="C267" s="13"/>
    </row>
    <row r="268" spans="3:3">
      <c r="C268" s="13"/>
    </row>
    <row r="269" spans="3:3">
      <c r="C269" s="13"/>
    </row>
    <row r="270" spans="3:3">
      <c r="C270" s="13"/>
    </row>
    <row r="271" spans="3:3">
      <c r="C271" s="13"/>
    </row>
    <row r="272" spans="3:3">
      <c r="C272" s="13"/>
    </row>
    <row r="273" spans="3:3">
      <c r="C273" s="13"/>
    </row>
    <row r="274" spans="3:3">
      <c r="C274" s="13"/>
    </row>
    <row r="275" spans="3:3">
      <c r="C275" s="13"/>
    </row>
    <row r="276" spans="3:3">
      <c r="C276" s="13"/>
    </row>
    <row r="277" spans="3:3">
      <c r="C277" s="13"/>
    </row>
    <row r="278" spans="3:3">
      <c r="C278" s="13"/>
    </row>
    <row r="279" spans="3:3">
      <c r="C279" s="13"/>
    </row>
    <row r="280" spans="3:3">
      <c r="C280" s="13"/>
    </row>
    <row r="281" spans="3:3">
      <c r="C281" s="13"/>
    </row>
    <row r="282" spans="3:3">
      <c r="C282" s="13"/>
    </row>
    <row r="283" spans="3:3">
      <c r="C283" s="13"/>
    </row>
    <row r="284" spans="3:3">
      <c r="C284" s="13"/>
    </row>
    <row r="285" spans="3:3">
      <c r="C285" s="13"/>
    </row>
    <row r="286" spans="3:3">
      <c r="C286" s="13"/>
    </row>
    <row r="287" spans="3:3">
      <c r="C287" s="13"/>
    </row>
    <row r="288" spans="3:3">
      <c r="C288" s="13"/>
    </row>
    <row r="289" spans="3:3">
      <c r="C289" s="13"/>
    </row>
    <row r="290" spans="3:3">
      <c r="C290" s="13"/>
    </row>
    <row r="291" spans="3:3">
      <c r="C291" s="13"/>
    </row>
    <row r="292" spans="3:3">
      <c r="C292" s="13"/>
    </row>
    <row r="293" spans="3:3">
      <c r="C293" s="13"/>
    </row>
    <row r="294" spans="3:3">
      <c r="C294" s="13"/>
    </row>
    <row r="295" spans="3:3">
      <c r="C295" s="13"/>
    </row>
    <row r="296" spans="3:3">
      <c r="C296" s="13"/>
    </row>
    <row r="297" spans="3:3">
      <c r="C297" s="13"/>
    </row>
    <row r="298" spans="3:3">
      <c r="C298" s="13"/>
    </row>
    <row r="299" spans="3:3">
      <c r="C299" s="13"/>
    </row>
    <row r="300" spans="3:3">
      <c r="C300" s="13"/>
    </row>
    <row r="301" spans="3:3">
      <c r="C301" s="13"/>
    </row>
    <row r="302" spans="3:3">
      <c r="C302" s="13"/>
    </row>
    <row r="303" spans="3:3">
      <c r="C303" s="13"/>
    </row>
    <row r="304" spans="3:3">
      <c r="C304" s="13"/>
    </row>
    <row r="305" spans="3:3">
      <c r="C305" s="13"/>
    </row>
    <row r="306" spans="3:3">
      <c r="C306" s="13"/>
    </row>
    <row r="307" spans="3:3">
      <c r="C307" s="13"/>
    </row>
    <row r="308" spans="3:3">
      <c r="C308" s="13"/>
    </row>
    <row r="309" spans="3:3">
      <c r="C309" s="13"/>
    </row>
    <row r="310" spans="3:3">
      <c r="C310" s="13"/>
    </row>
    <row r="311" spans="3:3">
      <c r="C311" s="13"/>
    </row>
    <row r="312" spans="3:3">
      <c r="C312" s="13"/>
    </row>
    <row r="313" spans="3:3">
      <c r="C313" s="13"/>
    </row>
    <row r="314" spans="3:3">
      <c r="C314" s="13"/>
    </row>
    <row r="315" spans="3:3">
      <c r="C315" s="13"/>
    </row>
    <row r="316" spans="3:3">
      <c r="C316" s="13"/>
    </row>
    <row r="317" spans="3:3">
      <c r="C317" s="13"/>
    </row>
    <row r="318" spans="3:3">
      <c r="C318" s="13"/>
    </row>
    <row r="319" spans="3:3">
      <c r="C319" s="13"/>
    </row>
    <row r="320" spans="3:3">
      <c r="C320" s="13"/>
    </row>
    <row r="321" spans="3:3">
      <c r="C321" s="13"/>
    </row>
    <row r="322" spans="3:3">
      <c r="C322" s="13"/>
    </row>
    <row r="323" spans="3:3">
      <c r="C323" s="13"/>
    </row>
    <row r="324" spans="3:3">
      <c r="C324" s="13"/>
    </row>
    <row r="325" spans="3:3">
      <c r="C325" s="13"/>
    </row>
    <row r="326" spans="3:3">
      <c r="C326" s="13"/>
    </row>
    <row r="327" spans="3:3">
      <c r="C327" s="13"/>
    </row>
    <row r="328" spans="3:3">
      <c r="C328" s="13"/>
    </row>
    <row r="329" spans="3:3">
      <c r="C329" s="13"/>
    </row>
    <row r="330" spans="3:3">
      <c r="C330" s="13"/>
    </row>
    <row r="331" spans="3:3">
      <c r="C331" s="13"/>
    </row>
    <row r="332" spans="3:3">
      <c r="C332" s="13"/>
    </row>
    <row r="333" spans="3:3">
      <c r="C333" s="13"/>
    </row>
    <row r="334" spans="3:3">
      <c r="C334" s="13"/>
    </row>
    <row r="335" spans="3:3">
      <c r="C335" s="13"/>
    </row>
    <row r="336" spans="3:3">
      <c r="C336" s="13"/>
    </row>
    <row r="337" spans="3:3">
      <c r="C337" s="13"/>
    </row>
    <row r="338" spans="3:3">
      <c r="C338" s="13"/>
    </row>
    <row r="339" spans="3:3">
      <c r="C339" s="13"/>
    </row>
    <row r="340" spans="3:3">
      <c r="C340" s="13"/>
    </row>
    <row r="341" spans="3:3">
      <c r="C341" s="13"/>
    </row>
    <row r="342" spans="3:3">
      <c r="C342" s="13"/>
    </row>
    <row r="343" spans="3:3">
      <c r="C343" s="13"/>
    </row>
    <row r="344" spans="3:3">
      <c r="C344" s="13"/>
    </row>
    <row r="345" spans="3:3">
      <c r="C345" s="13"/>
    </row>
    <row r="346" spans="3:3">
      <c r="C346" s="13"/>
    </row>
    <row r="347" spans="3:3">
      <c r="C347" s="13"/>
    </row>
    <row r="348" spans="3:3">
      <c r="C348" s="13"/>
    </row>
    <row r="349" spans="3:3">
      <c r="C349" s="13"/>
    </row>
    <row r="350" spans="3:3">
      <c r="C350" s="13"/>
    </row>
    <row r="351" spans="3:3">
      <c r="C351" s="13"/>
    </row>
    <row r="352" spans="3:3">
      <c r="C352" s="13"/>
    </row>
    <row r="353" spans="3:3">
      <c r="C353" s="13"/>
    </row>
    <row r="354" spans="3:3">
      <c r="C354" s="13"/>
    </row>
    <row r="355" spans="3:3">
      <c r="C355" s="13"/>
    </row>
    <row r="356" spans="3:3">
      <c r="C356" s="13"/>
    </row>
    <row r="357" spans="3:3">
      <c r="C357" s="13"/>
    </row>
    <row r="358" spans="3:3">
      <c r="C358" s="13"/>
    </row>
    <row r="359" spans="3:3">
      <c r="C359" s="13"/>
    </row>
    <row r="360" spans="3:3">
      <c r="C360" s="13"/>
    </row>
    <row r="361" spans="3:3">
      <c r="C361" s="13"/>
    </row>
    <row r="362" spans="3:3">
      <c r="C362" s="13"/>
    </row>
    <row r="363" spans="3:3">
      <c r="C363" s="13"/>
    </row>
    <row r="364" spans="3:3">
      <c r="C364" s="13"/>
    </row>
    <row r="365" spans="3:3">
      <c r="C365" s="13"/>
    </row>
    <row r="366" spans="3:3">
      <c r="C366" s="13"/>
    </row>
    <row r="367" spans="3:3">
      <c r="C367" s="13"/>
    </row>
    <row r="368" spans="3:3">
      <c r="C368" s="13"/>
    </row>
    <row r="369" spans="3:3">
      <c r="C369" s="13"/>
    </row>
    <row r="370" spans="3:3">
      <c r="C370" s="13"/>
    </row>
    <row r="371" spans="3:3">
      <c r="C371" s="13"/>
    </row>
    <row r="372" spans="3:3">
      <c r="C372" s="13"/>
    </row>
    <row r="373" spans="3:3">
      <c r="C373" s="13"/>
    </row>
    <row r="374" spans="3:3">
      <c r="C374" s="13"/>
    </row>
    <row r="375" spans="3:3">
      <c r="C375" s="13"/>
    </row>
    <row r="376" spans="3:3">
      <c r="C376" s="13"/>
    </row>
    <row r="377" spans="3:3">
      <c r="C377" s="13"/>
    </row>
    <row r="378" spans="3:3">
      <c r="C378" s="13"/>
    </row>
    <row r="379" spans="3:3">
      <c r="C379" s="13"/>
    </row>
    <row r="380" spans="3:3">
      <c r="C380" s="13"/>
    </row>
    <row r="381" spans="3:3">
      <c r="C381" s="13"/>
    </row>
    <row r="382" spans="3:3">
      <c r="C382" s="13"/>
    </row>
    <row r="383" spans="3:3">
      <c r="C383" s="13"/>
    </row>
    <row r="384" spans="3:3">
      <c r="C384" s="13"/>
    </row>
    <row r="385" spans="3:3">
      <c r="C385" s="13"/>
    </row>
    <row r="386" spans="3:3">
      <c r="C386" s="13"/>
    </row>
    <row r="387" spans="3:3">
      <c r="C387" s="13"/>
    </row>
    <row r="388" spans="3:3">
      <c r="C388" s="13"/>
    </row>
    <row r="389" spans="3:3">
      <c r="C389" s="13"/>
    </row>
    <row r="390" spans="3:3">
      <c r="C390" s="13"/>
    </row>
    <row r="391" spans="3:3">
      <c r="C391" s="13"/>
    </row>
    <row r="392" spans="3:3">
      <c r="C392" s="13"/>
    </row>
    <row r="393" spans="3:3">
      <c r="C393" s="13"/>
    </row>
    <row r="394" spans="3:3">
      <c r="C394" s="13"/>
    </row>
    <row r="395" spans="3:3">
      <c r="C395" s="13"/>
    </row>
    <row r="396" spans="3:3">
      <c r="C396" s="13"/>
    </row>
    <row r="397" spans="3:3">
      <c r="C397" s="13"/>
    </row>
    <row r="398" spans="3:3">
      <c r="C398" s="13"/>
    </row>
    <row r="399" spans="3:3">
      <c r="C399" s="13"/>
    </row>
    <row r="400" spans="3:3">
      <c r="C400" s="13"/>
    </row>
    <row r="401" spans="3:3">
      <c r="C401" s="13"/>
    </row>
    <row r="402" spans="3:3">
      <c r="C402" s="13"/>
    </row>
    <row r="403" spans="3:3">
      <c r="C403" s="13"/>
    </row>
    <row r="404" spans="3:3">
      <c r="C404" s="13"/>
    </row>
    <row r="405" spans="3:3">
      <c r="C405" s="13"/>
    </row>
    <row r="406" spans="3:3">
      <c r="C406" s="13"/>
    </row>
    <row r="407" spans="3:3">
      <c r="C407" s="13"/>
    </row>
    <row r="408" spans="3:3">
      <c r="C408" s="13"/>
    </row>
    <row r="409" spans="3:3">
      <c r="C409" s="13"/>
    </row>
    <row r="410" spans="3:3">
      <c r="C410" s="13"/>
    </row>
    <row r="411" spans="3:3">
      <c r="C411" s="13"/>
    </row>
    <row r="412" spans="3:3">
      <c r="C412" s="13"/>
    </row>
    <row r="413" spans="3:3">
      <c r="C413" s="13"/>
    </row>
    <row r="414" spans="3:3">
      <c r="C414" s="13"/>
    </row>
    <row r="415" spans="3:3">
      <c r="C415" s="13"/>
    </row>
    <row r="416" spans="3:3">
      <c r="C416" s="13"/>
    </row>
    <row r="417" spans="3:3">
      <c r="C417" s="13"/>
    </row>
    <row r="418" spans="3:3">
      <c r="C418" s="13"/>
    </row>
    <row r="419" spans="3:3">
      <c r="C419" s="13"/>
    </row>
    <row r="420" spans="3:3">
      <c r="C420" s="13"/>
    </row>
    <row r="421" spans="3:3">
      <c r="C421" s="13"/>
    </row>
    <row r="422" spans="3:3">
      <c r="C422" s="13"/>
    </row>
    <row r="423" spans="3:3">
      <c r="C423" s="13"/>
    </row>
    <row r="424" spans="3:3">
      <c r="C424" s="13"/>
    </row>
    <row r="425" spans="3:3">
      <c r="C425" s="13"/>
    </row>
    <row r="426" spans="3:3">
      <c r="C426" s="13"/>
    </row>
    <row r="427" spans="3:3">
      <c r="C427" s="13"/>
    </row>
    <row r="428" spans="3:3">
      <c r="C428" s="13"/>
    </row>
    <row r="429" spans="3:3">
      <c r="C429" s="13"/>
    </row>
    <row r="430" spans="3:3">
      <c r="C430" s="13"/>
    </row>
    <row r="431" spans="3:3">
      <c r="C431" s="13"/>
    </row>
    <row r="432" spans="3:3">
      <c r="C432" s="13"/>
    </row>
    <row r="433" spans="3:3">
      <c r="C433" s="13"/>
    </row>
    <row r="434" spans="3:3">
      <c r="C434" s="13"/>
    </row>
    <row r="435" spans="3:3">
      <c r="C435" s="13"/>
    </row>
    <row r="436" spans="3:3">
      <c r="C436" s="13"/>
    </row>
    <row r="437" spans="3:3">
      <c r="C437" s="13"/>
    </row>
    <row r="438" spans="3:3">
      <c r="C438" s="13"/>
    </row>
    <row r="439" spans="3:3">
      <c r="C439" s="13"/>
    </row>
    <row r="440" spans="3:3">
      <c r="C440" s="13"/>
    </row>
    <row r="441" spans="3:3">
      <c r="C441" s="13"/>
    </row>
    <row r="442" spans="3:3">
      <c r="C442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350"/>
  <sheetViews>
    <sheetView workbookViewId="0">
      <selection activeCell="G11" sqref="G11"/>
    </sheetView>
  </sheetViews>
  <sheetFormatPr defaultRowHeight="15"/>
  <cols>
    <col min="1" max="1" width="9.5703125" style="18" bestFit="1" customWidth="1"/>
    <col min="2" max="2" width="22.5703125" style="18" bestFit="1" customWidth="1"/>
    <col min="3" max="3" width="7.5703125" style="18" bestFit="1" customWidth="1"/>
    <col min="4" max="4" width="3.7109375" style="18" bestFit="1" customWidth="1"/>
    <col min="5" max="5" width="5.5703125" style="18" bestFit="1" customWidth="1"/>
  </cols>
  <sheetData>
    <row r="1" spans="1:5">
      <c r="A1" s="18" t="s">
        <v>0</v>
      </c>
      <c r="B1" s="18" t="s">
        <v>1</v>
      </c>
      <c r="C1" s="18" t="s">
        <v>2</v>
      </c>
      <c r="D1" s="18" t="s">
        <v>117</v>
      </c>
      <c r="E1" s="18" t="s">
        <v>265</v>
      </c>
    </row>
    <row r="2" spans="1:5">
      <c r="A2" s="18" t="s">
        <v>50</v>
      </c>
      <c r="B2" s="18" t="s">
        <v>32</v>
      </c>
      <c r="C2" s="18">
        <v>9600</v>
      </c>
      <c r="D2" s="36"/>
      <c r="E2" s="18">
        <v>19.505882711971498</v>
      </c>
    </row>
    <row r="3" spans="1:5">
      <c r="A3" s="18" t="s">
        <v>50</v>
      </c>
      <c r="B3" s="18" t="s">
        <v>33</v>
      </c>
      <c r="C3" s="18">
        <v>9100</v>
      </c>
      <c r="D3" s="36"/>
      <c r="E3" s="18">
        <v>13.295000076293899</v>
      </c>
    </row>
    <row r="4" spans="1:5">
      <c r="A4" s="18" t="s">
        <v>50</v>
      </c>
      <c r="B4" s="18" t="s">
        <v>479</v>
      </c>
      <c r="C4" s="18">
        <v>9000</v>
      </c>
      <c r="D4" s="36"/>
      <c r="E4" s="18">
        <v>16.819999694824201</v>
      </c>
    </row>
    <row r="5" spans="1:5">
      <c r="A5" s="18" t="s">
        <v>50</v>
      </c>
      <c r="B5" s="18" t="s">
        <v>95</v>
      </c>
      <c r="C5" s="18">
        <v>8900</v>
      </c>
      <c r="D5" s="36"/>
      <c r="E5" s="18">
        <v>16.6315789473684</v>
      </c>
    </row>
    <row r="6" spans="1:5">
      <c r="A6" s="18" t="s">
        <v>51</v>
      </c>
      <c r="B6" s="18" t="s">
        <v>35</v>
      </c>
      <c r="C6" s="18">
        <v>8400</v>
      </c>
      <c r="D6" s="36"/>
      <c r="E6" s="18">
        <v>15.2444441053602</v>
      </c>
    </row>
    <row r="7" spans="1:5">
      <c r="A7" s="18" t="s">
        <v>50</v>
      </c>
      <c r="B7" s="18" t="s">
        <v>97</v>
      </c>
      <c r="C7" s="18">
        <v>7900</v>
      </c>
      <c r="D7" s="36"/>
      <c r="E7" s="18">
        <v>14.421052631578901</v>
      </c>
    </row>
    <row r="8" spans="1:5">
      <c r="A8" s="18" t="s">
        <v>50</v>
      </c>
      <c r="B8" s="18" t="s">
        <v>93</v>
      </c>
      <c r="C8" s="18">
        <v>7500</v>
      </c>
      <c r="D8" s="36"/>
      <c r="E8" s="18">
        <v>12.5823525821461</v>
      </c>
    </row>
    <row r="9" spans="1:5">
      <c r="A9" s="18" t="s">
        <v>51</v>
      </c>
      <c r="B9" s="18" t="s">
        <v>43</v>
      </c>
      <c r="C9" s="18">
        <v>7200</v>
      </c>
      <c r="D9" s="36"/>
      <c r="E9" s="18">
        <v>11.1733337402343</v>
      </c>
    </row>
    <row r="10" spans="1:5">
      <c r="A10" s="18" t="s">
        <v>51</v>
      </c>
      <c r="B10" s="18" t="s">
        <v>13</v>
      </c>
      <c r="C10" s="18">
        <v>7100</v>
      </c>
      <c r="D10" s="36"/>
      <c r="E10" s="18">
        <v>13.816666497124499</v>
      </c>
    </row>
    <row r="11" spans="1:5">
      <c r="A11" s="18" t="s">
        <v>50</v>
      </c>
      <c r="B11" s="18" t="s">
        <v>42</v>
      </c>
      <c r="C11" s="18">
        <v>7000</v>
      </c>
      <c r="D11" s="36"/>
      <c r="E11" s="18">
        <v>11.737500190734799</v>
      </c>
    </row>
    <row r="12" spans="1:5">
      <c r="A12" s="18" t="s">
        <v>50</v>
      </c>
      <c r="B12" s="18" t="s">
        <v>92</v>
      </c>
      <c r="C12" s="18">
        <v>7000</v>
      </c>
      <c r="D12" s="36"/>
      <c r="E12" s="18">
        <v>10.7769235464242</v>
      </c>
    </row>
    <row r="13" spans="1:5">
      <c r="A13" s="18" t="s">
        <v>50</v>
      </c>
      <c r="B13" s="18" t="s">
        <v>94</v>
      </c>
      <c r="C13" s="18">
        <v>6900</v>
      </c>
      <c r="D13" s="36"/>
      <c r="E13" s="18">
        <v>14.029411764705801</v>
      </c>
    </row>
    <row r="14" spans="1:5">
      <c r="A14" s="18" t="s">
        <v>50</v>
      </c>
      <c r="B14" s="18" t="s">
        <v>98</v>
      </c>
      <c r="C14" s="18">
        <v>6900</v>
      </c>
      <c r="D14" s="36"/>
      <c r="E14" s="18">
        <v>12.024999618530201</v>
      </c>
    </row>
    <row r="15" spans="1:5">
      <c r="A15" s="18" t="s">
        <v>50</v>
      </c>
      <c r="B15" s="18" t="s">
        <v>480</v>
      </c>
      <c r="C15" s="18">
        <v>6800</v>
      </c>
      <c r="D15" s="36"/>
      <c r="E15" s="18">
        <v>12.278947529039799</v>
      </c>
    </row>
    <row r="16" spans="1:5">
      <c r="A16" s="18" t="s">
        <v>51</v>
      </c>
      <c r="B16" s="18" t="s">
        <v>109</v>
      </c>
      <c r="C16" s="18">
        <v>6800</v>
      </c>
      <c r="D16" s="36"/>
      <c r="E16" s="18">
        <v>8.9692306518554599</v>
      </c>
    </row>
    <row r="17" spans="1:5">
      <c r="A17" s="18" t="s">
        <v>50</v>
      </c>
      <c r="B17" s="18" t="s">
        <v>207</v>
      </c>
      <c r="C17" s="18">
        <v>6700</v>
      </c>
      <c r="D17" s="36"/>
      <c r="E17" s="18">
        <v>8.2282355813419095</v>
      </c>
    </row>
    <row r="18" spans="1:5">
      <c r="A18" s="18" t="s">
        <v>50</v>
      </c>
      <c r="B18" s="18" t="s">
        <v>204</v>
      </c>
      <c r="C18" s="18">
        <v>6600</v>
      </c>
      <c r="D18" s="36"/>
      <c r="E18" s="18">
        <v>12.431249618530201</v>
      </c>
    </row>
    <row r="19" spans="1:5">
      <c r="A19" s="18" t="s">
        <v>50</v>
      </c>
      <c r="B19" s="18" t="s">
        <v>482</v>
      </c>
      <c r="C19" s="18">
        <v>6600</v>
      </c>
      <c r="D19" s="36"/>
    </row>
    <row r="20" spans="1:5">
      <c r="A20" s="18" t="s">
        <v>50</v>
      </c>
      <c r="B20" s="18" t="s">
        <v>44</v>
      </c>
      <c r="C20" s="18">
        <v>6500</v>
      </c>
      <c r="D20" s="36"/>
      <c r="E20" s="18">
        <v>12.231249809265099</v>
      </c>
    </row>
    <row r="21" spans="1:5">
      <c r="A21" s="18" t="s">
        <v>50</v>
      </c>
      <c r="B21" s="18" t="s">
        <v>483</v>
      </c>
      <c r="C21" s="18">
        <v>6500</v>
      </c>
      <c r="D21" s="36"/>
      <c r="E21" s="18">
        <v>10.2388890584309</v>
      </c>
    </row>
    <row r="22" spans="1:5">
      <c r="A22" s="18" t="s">
        <v>50</v>
      </c>
      <c r="B22" s="18" t="s">
        <v>484</v>
      </c>
      <c r="C22" s="18">
        <v>6300</v>
      </c>
      <c r="D22" s="36"/>
    </row>
    <row r="23" spans="1:5">
      <c r="A23" s="18" t="s">
        <v>31</v>
      </c>
      <c r="B23" s="18" t="s">
        <v>108</v>
      </c>
      <c r="C23" s="18">
        <v>6200</v>
      </c>
      <c r="D23" s="36"/>
      <c r="E23" s="18">
        <v>11.288234935087299</v>
      </c>
    </row>
    <row r="24" spans="1:5">
      <c r="A24" s="18" t="s">
        <v>50</v>
      </c>
      <c r="B24" s="18" t="s">
        <v>111</v>
      </c>
      <c r="C24" s="18">
        <v>6200</v>
      </c>
      <c r="D24" s="36"/>
      <c r="E24" s="18">
        <v>9.9823527616612999</v>
      </c>
    </row>
    <row r="25" spans="1:5">
      <c r="A25" s="18" t="s">
        <v>50</v>
      </c>
      <c r="B25" s="18" t="s">
        <v>206</v>
      </c>
      <c r="C25" s="18">
        <v>6100</v>
      </c>
      <c r="D25" s="36"/>
      <c r="E25" s="18">
        <v>10.1466668446858</v>
      </c>
    </row>
    <row r="26" spans="1:5">
      <c r="A26" s="18" t="s">
        <v>51</v>
      </c>
      <c r="B26" s="18" t="s">
        <v>485</v>
      </c>
      <c r="C26" s="18">
        <v>6100</v>
      </c>
      <c r="D26" s="36"/>
      <c r="E26" s="18">
        <v>8.6812496185302699</v>
      </c>
    </row>
    <row r="27" spans="1:5">
      <c r="A27" s="18" t="s">
        <v>51</v>
      </c>
      <c r="B27" s="18" t="s">
        <v>486</v>
      </c>
      <c r="C27" s="18">
        <v>6000</v>
      </c>
      <c r="D27" s="36"/>
    </row>
    <row r="28" spans="1:5">
      <c r="A28" s="18" t="s">
        <v>51</v>
      </c>
      <c r="B28" s="18" t="s">
        <v>221</v>
      </c>
      <c r="C28" s="18">
        <v>5800</v>
      </c>
      <c r="D28" s="36"/>
      <c r="E28" s="18">
        <v>6.3600001017252596</v>
      </c>
    </row>
    <row r="29" spans="1:5">
      <c r="A29" s="18" t="s">
        <v>51</v>
      </c>
      <c r="B29" s="18" t="s">
        <v>488</v>
      </c>
      <c r="C29" s="18">
        <v>5800</v>
      </c>
      <c r="D29" s="36"/>
    </row>
    <row r="30" spans="1:5">
      <c r="A30" s="18" t="s">
        <v>51</v>
      </c>
      <c r="B30" s="18" t="s">
        <v>489</v>
      </c>
      <c r="C30" s="18">
        <v>5700</v>
      </c>
      <c r="D30" s="36"/>
      <c r="E30" s="18">
        <v>7.1750001907348597</v>
      </c>
    </row>
    <row r="31" spans="1:5">
      <c r="A31" s="18" t="s">
        <v>50</v>
      </c>
      <c r="B31" s="18" t="s">
        <v>490</v>
      </c>
      <c r="C31" s="18">
        <v>5600</v>
      </c>
      <c r="D31" s="36"/>
      <c r="E31" s="18">
        <v>10</v>
      </c>
    </row>
    <row r="32" spans="1:5">
      <c r="A32" s="18" t="s">
        <v>51</v>
      </c>
      <c r="B32" s="18" t="s">
        <v>208</v>
      </c>
      <c r="C32" s="18">
        <v>5600</v>
      </c>
      <c r="D32" s="36"/>
      <c r="E32" s="18">
        <v>9.7999998393811598</v>
      </c>
    </row>
    <row r="33" spans="1:5">
      <c r="A33" s="18" t="s">
        <v>50</v>
      </c>
      <c r="B33" s="18" t="s">
        <v>491</v>
      </c>
      <c r="C33" s="18">
        <v>5500</v>
      </c>
      <c r="D33" s="36"/>
      <c r="E33" s="18">
        <v>10.043749809265099</v>
      </c>
    </row>
    <row r="34" spans="1:5">
      <c r="A34" s="18" t="s">
        <v>51</v>
      </c>
      <c r="B34" s="18" t="s">
        <v>492</v>
      </c>
      <c r="C34" s="18">
        <v>5500</v>
      </c>
      <c r="D34" s="36"/>
    </row>
    <row r="35" spans="1:5">
      <c r="A35" s="18" t="s">
        <v>51</v>
      </c>
      <c r="B35" s="18" t="s">
        <v>99</v>
      </c>
      <c r="C35" s="18">
        <v>5400</v>
      </c>
      <c r="D35" s="36"/>
      <c r="E35" s="18">
        <v>10.558823529411701</v>
      </c>
    </row>
    <row r="36" spans="1:5">
      <c r="A36" s="18" t="s">
        <v>50</v>
      </c>
      <c r="B36" s="18" t="s">
        <v>493</v>
      </c>
      <c r="C36" s="18">
        <v>5400</v>
      </c>
      <c r="D36" s="36"/>
      <c r="E36" s="18">
        <v>6.5611110263400603</v>
      </c>
    </row>
    <row r="37" spans="1:5">
      <c r="A37" s="18" t="s">
        <v>50</v>
      </c>
      <c r="B37" s="18" t="s">
        <v>495</v>
      </c>
      <c r="C37" s="18">
        <v>5300</v>
      </c>
      <c r="D37" s="36"/>
      <c r="E37" s="18">
        <v>9.0882352941176396</v>
      </c>
    </row>
    <row r="38" spans="1:5">
      <c r="A38" s="18" t="s">
        <v>51</v>
      </c>
      <c r="B38" s="18" t="s">
        <v>494</v>
      </c>
      <c r="C38" s="18">
        <v>5300</v>
      </c>
      <c r="D38" s="36"/>
    </row>
    <row r="39" spans="1:5">
      <c r="A39" s="18" t="s">
        <v>51</v>
      </c>
      <c r="B39" s="18" t="s">
        <v>226</v>
      </c>
      <c r="C39" s="18">
        <v>5200</v>
      </c>
      <c r="D39" s="36"/>
      <c r="E39" s="18">
        <v>8.8400004069010407</v>
      </c>
    </row>
    <row r="40" spans="1:5">
      <c r="A40" s="18" t="s">
        <v>51</v>
      </c>
      <c r="B40" s="18" t="s">
        <v>243</v>
      </c>
      <c r="C40" s="18">
        <v>5200</v>
      </c>
      <c r="D40" s="36"/>
      <c r="E40" s="18">
        <v>6.9588237089269303</v>
      </c>
    </row>
    <row r="41" spans="1:5">
      <c r="A41" s="18" t="s">
        <v>51</v>
      </c>
      <c r="B41" s="18" t="s">
        <v>201</v>
      </c>
      <c r="C41" s="18">
        <v>5100</v>
      </c>
      <c r="D41" s="36"/>
      <c r="E41" s="18">
        <v>11.4425001144409</v>
      </c>
    </row>
    <row r="42" spans="1:5">
      <c r="A42" s="18" t="s">
        <v>50</v>
      </c>
      <c r="B42" s="18" t="s">
        <v>499</v>
      </c>
      <c r="C42" s="18">
        <v>5000</v>
      </c>
      <c r="D42" s="36"/>
      <c r="E42" s="18">
        <v>8.7699996948242092</v>
      </c>
    </row>
    <row r="43" spans="1:5">
      <c r="A43" s="18" t="s">
        <v>51</v>
      </c>
      <c r="B43" s="18" t="s">
        <v>253</v>
      </c>
      <c r="C43" s="18">
        <v>5000</v>
      </c>
      <c r="D43" s="36"/>
      <c r="E43" s="18">
        <v>2.2357142312186098</v>
      </c>
    </row>
    <row r="44" spans="1:5">
      <c r="A44" s="18" t="s">
        <v>31</v>
      </c>
      <c r="B44" s="18" t="s">
        <v>211</v>
      </c>
      <c r="C44" s="18">
        <v>4900</v>
      </c>
      <c r="D44" s="36"/>
      <c r="E44" s="18">
        <v>6.6058825324563397</v>
      </c>
    </row>
    <row r="45" spans="1:5">
      <c r="A45" s="18" t="s">
        <v>51</v>
      </c>
      <c r="B45" s="18" t="s">
        <v>203</v>
      </c>
      <c r="C45" s="18">
        <v>4800</v>
      </c>
      <c r="D45" s="36"/>
      <c r="E45" s="18">
        <v>6.9473684210526301</v>
      </c>
    </row>
    <row r="46" spans="1:5">
      <c r="A46" s="18" t="s">
        <v>51</v>
      </c>
      <c r="B46" s="18" t="s">
        <v>216</v>
      </c>
      <c r="C46" s="18">
        <v>4800</v>
      </c>
      <c r="D46" s="36"/>
      <c r="E46" s="18">
        <v>4.5285715375627698</v>
      </c>
    </row>
    <row r="47" spans="1:5">
      <c r="A47" s="18" t="s">
        <v>51</v>
      </c>
      <c r="B47" s="18" t="s">
        <v>508</v>
      </c>
      <c r="C47" s="18">
        <v>4800</v>
      </c>
      <c r="D47" s="36"/>
    </row>
    <row r="48" spans="1:5">
      <c r="A48" s="18" t="s">
        <v>51</v>
      </c>
      <c r="B48" s="18" t="s">
        <v>511</v>
      </c>
      <c r="C48" s="18">
        <v>4700</v>
      </c>
      <c r="D48" s="36"/>
      <c r="E48" s="18">
        <v>6.8799997965494697</v>
      </c>
    </row>
    <row r="49" spans="1:5">
      <c r="A49" s="18" t="s">
        <v>51</v>
      </c>
      <c r="B49" s="18" t="s">
        <v>509</v>
      </c>
      <c r="C49" s="18">
        <v>4700</v>
      </c>
      <c r="D49" s="36"/>
      <c r="E49" s="18">
        <v>3.1866666158040302</v>
      </c>
    </row>
    <row r="50" spans="1:5">
      <c r="A50" s="18" t="s">
        <v>51</v>
      </c>
      <c r="B50" s="18" t="s">
        <v>228</v>
      </c>
      <c r="C50" s="18">
        <v>4500</v>
      </c>
      <c r="D50" s="36"/>
      <c r="E50" s="18">
        <v>6.8214285714285703</v>
      </c>
    </row>
    <row r="51" spans="1:5">
      <c r="A51" s="18" t="s">
        <v>31</v>
      </c>
      <c r="B51" s="18" t="s">
        <v>516</v>
      </c>
      <c r="C51" s="18">
        <v>4500</v>
      </c>
      <c r="D51" s="36"/>
      <c r="E51" s="18">
        <v>3.1899999618530201</v>
      </c>
    </row>
    <row r="52" spans="1:5">
      <c r="A52" s="18" t="s">
        <v>51</v>
      </c>
      <c r="B52" s="18" t="s">
        <v>260</v>
      </c>
      <c r="C52" s="18">
        <v>4400</v>
      </c>
      <c r="D52" s="36"/>
      <c r="E52" s="18">
        <v>2.86666679382324</v>
      </c>
    </row>
    <row r="53" spans="1:5">
      <c r="A53" s="18" t="s">
        <v>51</v>
      </c>
      <c r="B53" s="18" t="s">
        <v>233</v>
      </c>
      <c r="C53" s="18">
        <v>4300</v>
      </c>
      <c r="D53" s="36"/>
      <c r="E53" s="18">
        <v>3.0941175573012401</v>
      </c>
    </row>
    <row r="54" spans="1:5">
      <c r="A54" s="18" t="s">
        <v>50</v>
      </c>
      <c r="B54" s="18" t="s">
        <v>689</v>
      </c>
      <c r="C54" s="18">
        <v>4000</v>
      </c>
      <c r="D54" s="36"/>
      <c r="E54" s="18">
        <v>5.90714263916015</v>
      </c>
    </row>
    <row r="55" spans="1:5">
      <c r="A55" s="33"/>
      <c r="B55" s="34"/>
      <c r="C55" s="35"/>
      <c r="D55" s="36"/>
      <c r="E55" s="37"/>
    </row>
    <row r="56" spans="1:5">
      <c r="A56" s="33"/>
      <c r="B56" s="34"/>
      <c r="C56" s="35"/>
      <c r="D56" s="36"/>
      <c r="E56" s="37"/>
    </row>
    <row r="57" spans="1:5">
      <c r="A57" s="33"/>
      <c r="B57" s="34"/>
      <c r="C57" s="35"/>
      <c r="D57" s="36"/>
      <c r="E57" s="37"/>
    </row>
    <row r="58" spans="1:5">
      <c r="A58" s="33"/>
      <c r="B58" s="34"/>
      <c r="C58" s="35"/>
      <c r="D58" s="36"/>
      <c r="E58" s="37"/>
    </row>
    <row r="59" spans="1:5">
      <c r="A59" s="33"/>
      <c r="B59" s="34"/>
      <c r="C59" s="35"/>
      <c r="D59" s="36"/>
      <c r="E59" s="37"/>
    </row>
    <row r="60" spans="1:5">
      <c r="A60" s="33"/>
      <c r="B60" s="34"/>
      <c r="C60" s="35"/>
      <c r="D60" s="36"/>
      <c r="E60" s="37"/>
    </row>
    <row r="61" spans="1:5">
      <c r="A61" s="33"/>
      <c r="B61" s="34"/>
      <c r="C61" s="35"/>
      <c r="D61" s="36"/>
      <c r="E61" s="37"/>
    </row>
    <row r="62" spans="1:5">
      <c r="A62" s="33"/>
      <c r="B62" s="34"/>
      <c r="C62" s="35"/>
      <c r="D62" s="36"/>
      <c r="E62" s="37"/>
    </row>
    <row r="63" spans="1:5">
      <c r="A63" s="33"/>
      <c r="B63" s="34"/>
      <c r="C63" s="35"/>
      <c r="D63" s="36"/>
      <c r="E63" s="37"/>
    </row>
    <row r="64" spans="1:5">
      <c r="A64" s="33"/>
      <c r="B64" s="34"/>
      <c r="C64" s="35"/>
      <c r="D64" s="36"/>
      <c r="E64" s="37"/>
    </row>
    <row r="65" spans="1:5">
      <c r="A65" s="33"/>
      <c r="B65" s="34"/>
      <c r="C65" s="35"/>
      <c r="D65" s="36"/>
      <c r="E65" s="37"/>
    </row>
    <row r="66" spans="1:5">
      <c r="A66" s="33"/>
      <c r="B66" s="34"/>
      <c r="C66" s="35"/>
      <c r="D66" s="36"/>
      <c r="E66" s="37"/>
    </row>
    <row r="67" spans="1:5">
      <c r="A67" s="33"/>
      <c r="B67" s="34"/>
      <c r="C67" s="35"/>
      <c r="D67" s="36"/>
      <c r="E67" s="37"/>
    </row>
    <row r="68" spans="1:5">
      <c r="A68" s="33"/>
      <c r="B68" s="34"/>
      <c r="C68" s="35"/>
      <c r="D68" s="36"/>
      <c r="E68" s="37"/>
    </row>
    <row r="69" spans="1:5">
      <c r="A69" s="33"/>
      <c r="B69" s="34"/>
      <c r="C69" s="35"/>
      <c r="D69" s="36"/>
      <c r="E69" s="37"/>
    </row>
    <row r="70" spans="1:5">
      <c r="A70" s="33"/>
      <c r="B70" s="34"/>
      <c r="C70" s="35"/>
      <c r="D70" s="36"/>
      <c r="E70" s="37"/>
    </row>
    <row r="71" spans="1:5">
      <c r="A71" s="33"/>
      <c r="B71" s="34"/>
      <c r="C71" s="35"/>
      <c r="D71" s="36"/>
      <c r="E71" s="37"/>
    </row>
    <row r="72" spans="1:5">
      <c r="A72" s="33"/>
      <c r="B72" s="34"/>
      <c r="C72" s="35"/>
      <c r="D72" s="36"/>
      <c r="E72" s="37"/>
    </row>
    <row r="73" spans="1:5">
      <c r="A73" s="33"/>
      <c r="B73" s="34"/>
      <c r="C73" s="35"/>
      <c r="D73" s="36"/>
      <c r="E73" s="37"/>
    </row>
    <row r="74" spans="1:5">
      <c r="A74" s="33"/>
      <c r="B74" s="34"/>
      <c r="C74" s="35"/>
      <c r="D74" s="36"/>
      <c r="E74" s="37"/>
    </row>
    <row r="75" spans="1:5">
      <c r="A75" s="33"/>
      <c r="B75" s="34"/>
      <c r="C75" s="35"/>
      <c r="D75" s="36"/>
      <c r="E75" s="37"/>
    </row>
    <row r="76" spans="1:5">
      <c r="A76" s="33"/>
      <c r="B76" s="34"/>
      <c r="C76" s="35"/>
      <c r="D76" s="36"/>
      <c r="E76" s="37"/>
    </row>
    <row r="77" spans="1:5">
      <c r="A77" s="33"/>
      <c r="B77" s="34"/>
      <c r="C77" s="35"/>
      <c r="D77" s="36"/>
      <c r="E77" s="37"/>
    </row>
    <row r="78" spans="1:5">
      <c r="A78" s="33"/>
      <c r="B78" s="34"/>
      <c r="C78" s="35"/>
      <c r="D78" s="36"/>
      <c r="E78" s="37"/>
    </row>
    <row r="79" spans="1:5">
      <c r="A79" s="33"/>
      <c r="B79" s="34"/>
      <c r="C79" s="35"/>
      <c r="D79" s="36"/>
      <c r="E79" s="37"/>
    </row>
    <row r="80" spans="1:5">
      <c r="A80" s="33"/>
      <c r="B80" s="34"/>
      <c r="C80" s="35"/>
      <c r="D80" s="36"/>
      <c r="E80" s="37"/>
    </row>
    <row r="81" spans="1:5">
      <c r="A81" s="33"/>
      <c r="B81" s="34"/>
      <c r="C81" s="35"/>
      <c r="D81" s="36"/>
      <c r="E81" s="37"/>
    </row>
    <row r="82" spans="1:5">
      <c r="A82" s="33"/>
      <c r="B82" s="34"/>
      <c r="C82" s="35"/>
      <c r="D82" s="36"/>
      <c r="E82" s="37"/>
    </row>
    <row r="83" spans="1:5">
      <c r="A83" s="33"/>
      <c r="B83" s="34"/>
      <c r="C83" s="35"/>
      <c r="D83" s="36"/>
      <c r="E83" s="37"/>
    </row>
    <row r="84" spans="1:5">
      <c r="A84" s="33"/>
      <c r="B84" s="34"/>
      <c r="C84" s="35"/>
      <c r="D84" s="36"/>
      <c r="E84" s="37"/>
    </row>
    <row r="85" spans="1:5">
      <c r="A85" s="33"/>
      <c r="B85" s="34"/>
      <c r="C85" s="35"/>
      <c r="D85" s="36"/>
      <c r="E85" s="37"/>
    </row>
    <row r="86" spans="1:5">
      <c r="A86" s="33"/>
      <c r="B86" s="34"/>
      <c r="C86" s="35"/>
      <c r="D86" s="36"/>
      <c r="E86" s="37"/>
    </row>
    <row r="87" spans="1:5">
      <c r="A87" s="33"/>
      <c r="B87" s="34"/>
      <c r="C87" s="35"/>
      <c r="D87" s="36"/>
      <c r="E87" s="37"/>
    </row>
    <row r="88" spans="1:5">
      <c r="A88" s="33"/>
      <c r="B88" s="34"/>
      <c r="C88" s="35"/>
      <c r="D88" s="36"/>
      <c r="E88" s="37"/>
    </row>
    <row r="89" spans="1:5">
      <c r="A89" s="33"/>
      <c r="B89" s="34"/>
      <c r="C89" s="35"/>
      <c r="D89" s="36"/>
      <c r="E89" s="37"/>
    </row>
    <row r="90" spans="1:5">
      <c r="A90" s="33"/>
      <c r="B90" s="34"/>
      <c r="C90" s="35"/>
      <c r="D90" s="36"/>
      <c r="E90" s="37"/>
    </row>
    <row r="91" spans="1:5">
      <c r="A91" s="33"/>
      <c r="B91" s="34"/>
      <c r="C91" s="35"/>
      <c r="D91" s="36"/>
      <c r="E91" s="37"/>
    </row>
    <row r="92" spans="1:5">
      <c r="A92" s="33"/>
      <c r="B92" s="34"/>
      <c r="C92" s="35"/>
      <c r="D92" s="36"/>
      <c r="E92" s="37"/>
    </row>
    <row r="93" spans="1:5">
      <c r="A93" s="33"/>
      <c r="B93" s="34"/>
      <c r="C93" s="35"/>
      <c r="D93" s="36"/>
      <c r="E93" s="37"/>
    </row>
    <row r="94" spans="1:5">
      <c r="A94" s="33"/>
      <c r="B94" s="34"/>
      <c r="C94" s="35"/>
      <c r="D94" s="36"/>
      <c r="E94" s="37"/>
    </row>
    <row r="95" spans="1:5">
      <c r="A95" s="33"/>
      <c r="B95" s="34"/>
      <c r="C95" s="35"/>
      <c r="D95" s="36"/>
      <c r="E95" s="37"/>
    </row>
    <row r="96" spans="1:5">
      <c r="A96" s="33"/>
      <c r="B96" s="34"/>
      <c r="C96" s="35"/>
      <c r="D96" s="36"/>
      <c r="E96" s="37"/>
    </row>
    <row r="97" spans="1:5">
      <c r="A97" s="33"/>
      <c r="B97" s="34"/>
      <c r="C97" s="35"/>
      <c r="D97" s="36"/>
      <c r="E97" s="37"/>
    </row>
    <row r="98" spans="1:5">
      <c r="A98" s="33"/>
      <c r="B98" s="34"/>
      <c r="C98" s="35"/>
      <c r="D98" s="36"/>
      <c r="E98" s="37"/>
    </row>
    <row r="99" spans="1:5">
      <c r="A99" s="33"/>
      <c r="B99" s="34"/>
      <c r="C99" s="35"/>
      <c r="D99" s="36"/>
      <c r="E99" s="37"/>
    </row>
    <row r="100" spans="1:5">
      <c r="A100" s="33"/>
      <c r="B100" s="34"/>
      <c r="C100" s="35"/>
      <c r="D100" s="36"/>
      <c r="E100" s="37"/>
    </row>
    <row r="101" spans="1:5">
      <c r="A101" s="33"/>
      <c r="B101" s="34"/>
      <c r="C101" s="35"/>
      <c r="D101" s="36"/>
      <c r="E101" s="37"/>
    </row>
    <row r="102" spans="1:5">
      <c r="A102" s="33"/>
      <c r="B102" s="34"/>
      <c r="C102" s="35"/>
      <c r="D102" s="36"/>
      <c r="E102" s="37"/>
    </row>
    <row r="103" spans="1:5">
      <c r="A103" s="33"/>
      <c r="B103" s="34"/>
      <c r="C103" s="35"/>
      <c r="D103" s="36"/>
      <c r="E103" s="37"/>
    </row>
    <row r="104" spans="1:5">
      <c r="A104" s="33"/>
      <c r="B104" s="34"/>
      <c r="C104" s="35"/>
      <c r="D104" s="36"/>
      <c r="E104" s="37"/>
    </row>
    <row r="105" spans="1:5">
      <c r="A105" s="33"/>
      <c r="B105" s="34"/>
      <c r="C105" s="35"/>
      <c r="D105" s="36"/>
      <c r="E105" s="37"/>
    </row>
    <row r="106" spans="1:5">
      <c r="A106" s="33"/>
      <c r="B106" s="34"/>
      <c r="C106" s="35"/>
      <c r="D106" s="36"/>
      <c r="E106" s="37"/>
    </row>
    <row r="107" spans="1:5">
      <c r="A107" s="33"/>
      <c r="B107" s="34"/>
      <c r="C107" s="35"/>
      <c r="D107" s="36"/>
      <c r="E107" s="37"/>
    </row>
    <row r="108" spans="1:5">
      <c r="A108" s="33"/>
      <c r="B108" s="34"/>
      <c r="C108" s="35"/>
      <c r="D108" s="36"/>
      <c r="E108" s="37"/>
    </row>
    <row r="109" spans="1:5">
      <c r="A109" s="33"/>
      <c r="B109" s="34"/>
      <c r="C109" s="35"/>
      <c r="D109" s="36"/>
      <c r="E109" s="37"/>
    </row>
    <row r="110" spans="1:5">
      <c r="A110" s="33"/>
      <c r="B110" s="34"/>
      <c r="C110" s="35"/>
      <c r="D110" s="36"/>
      <c r="E110" s="37"/>
    </row>
    <row r="111" spans="1:5">
      <c r="A111" s="33"/>
      <c r="B111" s="34"/>
      <c r="C111" s="35"/>
      <c r="D111" s="36"/>
      <c r="E111" s="37"/>
    </row>
    <row r="112" spans="1:5">
      <c r="A112" s="33"/>
      <c r="B112" s="34"/>
      <c r="C112" s="35"/>
      <c r="D112" s="36"/>
      <c r="E112" s="37"/>
    </row>
    <row r="113" spans="1:5">
      <c r="A113" s="33"/>
      <c r="B113" s="34"/>
      <c r="C113" s="35"/>
      <c r="D113" s="36"/>
      <c r="E113" s="37"/>
    </row>
    <row r="114" spans="1:5">
      <c r="A114" s="33"/>
      <c r="B114" s="34"/>
      <c r="C114" s="35"/>
      <c r="D114" s="36"/>
      <c r="E114" s="37"/>
    </row>
    <row r="115" spans="1:5">
      <c r="A115" s="33"/>
      <c r="B115" s="34"/>
      <c r="C115" s="35"/>
      <c r="D115" s="36"/>
      <c r="E115" s="37"/>
    </row>
    <row r="116" spans="1:5">
      <c r="A116" s="33"/>
      <c r="B116" s="34"/>
      <c r="C116" s="35"/>
      <c r="D116" s="36"/>
      <c r="E116" s="37"/>
    </row>
    <row r="117" spans="1:5">
      <c r="A117" s="33"/>
      <c r="B117" s="34"/>
      <c r="C117" s="35"/>
      <c r="D117" s="36"/>
      <c r="E117" s="37"/>
    </row>
    <row r="118" spans="1:5">
      <c r="A118" s="33"/>
      <c r="B118" s="34"/>
      <c r="C118" s="35"/>
      <c r="D118" s="36"/>
      <c r="E118" s="37"/>
    </row>
    <row r="119" spans="1:5">
      <c r="A119" s="33"/>
      <c r="B119" s="34"/>
      <c r="C119" s="35"/>
      <c r="D119" s="36"/>
      <c r="E119" s="37"/>
    </row>
    <row r="120" spans="1:5">
      <c r="A120" s="33"/>
      <c r="B120" s="34"/>
      <c r="C120" s="35"/>
      <c r="D120" s="36"/>
      <c r="E120" s="37"/>
    </row>
    <row r="121" spans="1:5">
      <c r="A121" s="33"/>
      <c r="B121" s="34"/>
      <c r="C121" s="35"/>
      <c r="D121" s="36"/>
      <c r="E121" s="37"/>
    </row>
    <row r="122" spans="1:5">
      <c r="A122" s="33"/>
      <c r="B122" s="34"/>
      <c r="C122" s="35"/>
      <c r="D122" s="36"/>
      <c r="E122" s="37"/>
    </row>
    <row r="123" spans="1:5">
      <c r="A123" s="33"/>
      <c r="B123" s="34"/>
      <c r="C123" s="35"/>
      <c r="D123" s="36"/>
      <c r="E123" s="37"/>
    </row>
    <row r="124" spans="1:5">
      <c r="A124" s="33"/>
      <c r="B124" s="34"/>
      <c r="C124" s="35"/>
      <c r="D124" s="36"/>
      <c r="E124" s="37"/>
    </row>
    <row r="125" spans="1:5">
      <c r="A125" s="33"/>
      <c r="B125" s="34"/>
      <c r="C125" s="35"/>
      <c r="D125" s="36"/>
      <c r="E125" s="37"/>
    </row>
    <row r="126" spans="1:5">
      <c r="A126" s="33"/>
      <c r="B126" s="34"/>
      <c r="C126" s="35"/>
      <c r="D126" s="36"/>
      <c r="E126" s="37"/>
    </row>
    <row r="127" spans="1:5">
      <c r="A127" s="33"/>
      <c r="B127" s="34"/>
      <c r="C127" s="35"/>
      <c r="D127" s="36"/>
      <c r="E127" s="37"/>
    </row>
    <row r="128" spans="1:5">
      <c r="A128" s="33"/>
      <c r="B128" s="34"/>
      <c r="C128" s="35"/>
      <c r="D128" s="36"/>
      <c r="E128" s="37"/>
    </row>
    <row r="129" spans="1:5">
      <c r="A129" s="33"/>
      <c r="B129" s="34"/>
      <c r="C129" s="35"/>
      <c r="D129" s="36"/>
      <c r="E129" s="37"/>
    </row>
    <row r="130" spans="1:5">
      <c r="A130" s="33"/>
      <c r="B130" s="34"/>
      <c r="C130" s="35"/>
      <c r="D130" s="36"/>
      <c r="E130" s="37"/>
    </row>
    <row r="131" spans="1:5">
      <c r="A131" s="33"/>
      <c r="B131" s="34"/>
      <c r="C131" s="35"/>
      <c r="D131" s="36"/>
      <c r="E131" s="37"/>
    </row>
    <row r="132" spans="1:5">
      <c r="A132" s="33"/>
      <c r="B132" s="34"/>
      <c r="C132" s="35"/>
      <c r="D132" s="36"/>
      <c r="E132" s="37"/>
    </row>
    <row r="133" spans="1:5">
      <c r="A133" s="33"/>
      <c r="B133" s="34"/>
      <c r="C133" s="35"/>
      <c r="D133" s="36"/>
      <c r="E133" s="37"/>
    </row>
    <row r="134" spans="1:5">
      <c r="A134" s="33"/>
      <c r="B134" s="34"/>
      <c r="C134" s="35"/>
      <c r="D134" s="36"/>
      <c r="E134" s="37"/>
    </row>
    <row r="135" spans="1:5">
      <c r="A135" s="33"/>
      <c r="B135" s="34"/>
      <c r="C135" s="35"/>
      <c r="D135" s="36"/>
      <c r="E135" s="37"/>
    </row>
    <row r="136" spans="1:5">
      <c r="A136" s="33"/>
      <c r="B136" s="34"/>
      <c r="C136" s="35"/>
      <c r="D136" s="36"/>
      <c r="E136" s="37"/>
    </row>
    <row r="137" spans="1:5">
      <c r="A137" s="33"/>
      <c r="B137" s="34"/>
      <c r="C137" s="35"/>
      <c r="D137" s="36"/>
      <c r="E137" s="37"/>
    </row>
    <row r="138" spans="1:5">
      <c r="A138" s="33"/>
      <c r="B138" s="34"/>
      <c r="C138" s="35"/>
      <c r="D138" s="36"/>
      <c r="E138" s="37"/>
    </row>
    <row r="139" spans="1:5">
      <c r="A139" s="33"/>
      <c r="B139" s="34"/>
      <c r="C139" s="35"/>
      <c r="D139" s="36"/>
      <c r="E139" s="37"/>
    </row>
    <row r="140" spans="1:5">
      <c r="A140" s="33"/>
      <c r="B140" s="34"/>
      <c r="C140" s="35"/>
      <c r="D140" s="36"/>
      <c r="E140" s="37"/>
    </row>
    <row r="141" spans="1:5">
      <c r="A141" s="33"/>
      <c r="B141" s="34"/>
      <c r="C141" s="35"/>
      <c r="D141" s="36"/>
      <c r="E141" s="37"/>
    </row>
    <row r="142" spans="1:5">
      <c r="A142" s="33"/>
      <c r="B142" s="34"/>
      <c r="C142" s="35"/>
      <c r="D142" s="36"/>
      <c r="E142" s="37"/>
    </row>
    <row r="143" spans="1:5">
      <c r="A143" s="33"/>
      <c r="B143" s="34"/>
      <c r="C143" s="35"/>
      <c r="D143" s="36"/>
      <c r="E143" s="37"/>
    </row>
    <row r="144" spans="1:5">
      <c r="A144" s="33"/>
      <c r="B144" s="34"/>
      <c r="C144" s="35"/>
      <c r="D144" s="36"/>
      <c r="E144" s="37"/>
    </row>
    <row r="145" spans="1:5">
      <c r="A145" s="33"/>
      <c r="B145" s="34"/>
      <c r="C145" s="35"/>
      <c r="D145" s="36"/>
      <c r="E145" s="37"/>
    </row>
    <row r="146" spans="1:5">
      <c r="A146" s="33"/>
      <c r="B146" s="34"/>
      <c r="C146" s="35"/>
      <c r="D146" s="36"/>
      <c r="E146" s="37"/>
    </row>
    <row r="147" spans="1:5">
      <c r="A147" s="33"/>
      <c r="B147" s="34"/>
      <c r="C147" s="35"/>
      <c r="D147" s="36"/>
      <c r="E147" s="37"/>
    </row>
    <row r="148" spans="1:5">
      <c r="A148" s="33"/>
      <c r="B148" s="34"/>
      <c r="C148" s="35"/>
      <c r="D148" s="36"/>
      <c r="E148" s="37"/>
    </row>
    <row r="149" spans="1:5">
      <c r="A149" s="33"/>
      <c r="B149" s="34"/>
      <c r="C149" s="35"/>
      <c r="D149" s="36"/>
      <c r="E149" s="37"/>
    </row>
    <row r="150" spans="1:5">
      <c r="A150" s="33"/>
      <c r="B150" s="34"/>
      <c r="C150" s="35"/>
      <c r="D150" s="36"/>
      <c r="E150" s="37"/>
    </row>
    <row r="151" spans="1:5">
      <c r="A151" s="33"/>
      <c r="B151" s="34"/>
      <c r="C151" s="35"/>
      <c r="D151" s="36"/>
      <c r="E151" s="37"/>
    </row>
    <row r="152" spans="1:5">
      <c r="A152" s="33"/>
      <c r="B152" s="34"/>
      <c r="C152" s="35"/>
      <c r="D152" s="36"/>
      <c r="E152" s="37"/>
    </row>
    <row r="153" spans="1:5">
      <c r="A153" s="33"/>
      <c r="B153" s="34"/>
      <c r="C153" s="35"/>
      <c r="D153" s="36"/>
      <c r="E153" s="37"/>
    </row>
    <row r="154" spans="1:5">
      <c r="A154" s="33"/>
      <c r="B154" s="34"/>
      <c r="C154" s="35"/>
      <c r="D154" s="36"/>
      <c r="E154" s="37"/>
    </row>
    <row r="155" spans="1:5">
      <c r="A155" s="33"/>
      <c r="B155" s="34"/>
      <c r="C155" s="35"/>
      <c r="D155" s="36"/>
      <c r="E155" s="37"/>
    </row>
    <row r="156" spans="1:5">
      <c r="A156" s="33"/>
      <c r="B156" s="34"/>
      <c r="C156" s="35"/>
      <c r="D156" s="36"/>
      <c r="E156" s="37"/>
    </row>
    <row r="157" spans="1:5">
      <c r="A157" s="33"/>
      <c r="B157" s="34"/>
      <c r="C157" s="35"/>
      <c r="D157" s="36"/>
      <c r="E157" s="37"/>
    </row>
    <row r="158" spans="1:5">
      <c r="A158" s="33"/>
      <c r="B158" s="34"/>
      <c r="C158" s="35"/>
      <c r="D158" s="36"/>
      <c r="E158" s="37"/>
    </row>
    <row r="159" spans="1:5">
      <c r="A159" s="33"/>
      <c r="B159" s="34"/>
      <c r="C159" s="35"/>
      <c r="D159" s="36"/>
      <c r="E159" s="37"/>
    </row>
    <row r="160" spans="1:5">
      <c r="A160" s="33"/>
      <c r="B160" s="34"/>
      <c r="C160" s="35"/>
      <c r="D160" s="36"/>
      <c r="E160" s="37"/>
    </row>
    <row r="161" spans="1:5">
      <c r="A161" s="33"/>
      <c r="B161" s="34"/>
      <c r="C161" s="35"/>
      <c r="D161" s="36"/>
      <c r="E161" s="37"/>
    </row>
    <row r="162" spans="1:5">
      <c r="A162" s="33"/>
      <c r="B162" s="34"/>
      <c r="C162" s="35"/>
      <c r="D162" s="36"/>
      <c r="E162" s="37"/>
    </row>
    <row r="163" spans="1:5">
      <c r="A163" s="33"/>
      <c r="B163" s="34"/>
      <c r="C163" s="35"/>
      <c r="D163" s="36"/>
      <c r="E163" s="37"/>
    </row>
    <row r="164" spans="1:5">
      <c r="A164" s="33"/>
      <c r="B164" s="34"/>
      <c r="C164" s="35"/>
      <c r="D164" s="36"/>
      <c r="E164" s="37"/>
    </row>
    <row r="165" spans="1:5">
      <c r="A165" s="33"/>
      <c r="B165" s="34"/>
      <c r="C165" s="35"/>
      <c r="D165" s="36"/>
      <c r="E165" s="37"/>
    </row>
    <row r="166" spans="1:5">
      <c r="A166" s="33"/>
      <c r="B166" s="34"/>
      <c r="C166" s="35"/>
      <c r="D166" s="36"/>
      <c r="E166" s="37"/>
    </row>
    <row r="167" spans="1:5">
      <c r="A167" s="33"/>
      <c r="B167" s="34"/>
      <c r="C167" s="35"/>
      <c r="D167" s="36"/>
      <c r="E167" s="37"/>
    </row>
    <row r="168" spans="1:5">
      <c r="A168" s="33"/>
      <c r="B168" s="34"/>
      <c r="C168" s="35"/>
      <c r="D168" s="36"/>
      <c r="E168" s="37"/>
    </row>
    <row r="169" spans="1:5">
      <c r="A169" s="33"/>
      <c r="B169" s="34"/>
      <c r="C169" s="35"/>
      <c r="D169" s="36"/>
      <c r="E169" s="37"/>
    </row>
    <row r="170" spans="1:5">
      <c r="A170" s="33"/>
      <c r="B170" s="34"/>
      <c r="C170" s="35"/>
      <c r="D170" s="36"/>
      <c r="E170" s="37"/>
    </row>
    <row r="171" spans="1:5">
      <c r="A171" s="33"/>
      <c r="B171" s="34"/>
      <c r="C171" s="35"/>
      <c r="D171" s="36"/>
      <c r="E171" s="37"/>
    </row>
    <row r="172" spans="1:5">
      <c r="A172" s="33"/>
      <c r="B172" s="34"/>
      <c r="C172" s="35"/>
      <c r="D172" s="36"/>
      <c r="E172" s="37"/>
    </row>
    <row r="173" spans="1:5">
      <c r="A173" s="33"/>
      <c r="B173" s="34"/>
      <c r="C173" s="35"/>
      <c r="D173" s="36"/>
      <c r="E173" s="37"/>
    </row>
    <row r="174" spans="1:5">
      <c r="A174" s="33"/>
      <c r="B174" s="34"/>
      <c r="C174" s="35"/>
      <c r="D174" s="36"/>
      <c r="E174" s="37"/>
    </row>
    <row r="175" spans="1:5">
      <c r="A175" s="33"/>
      <c r="B175" s="34"/>
      <c r="C175" s="35"/>
      <c r="D175" s="36"/>
      <c r="E175" s="37"/>
    </row>
    <row r="176" spans="1:5">
      <c r="A176" s="33"/>
      <c r="B176" s="34"/>
      <c r="C176" s="35"/>
      <c r="D176" s="36"/>
      <c r="E176" s="37"/>
    </row>
    <row r="177" spans="1:5">
      <c r="A177" s="33"/>
      <c r="B177" s="34"/>
      <c r="C177" s="35"/>
      <c r="D177" s="36"/>
      <c r="E177" s="37"/>
    </row>
    <row r="178" spans="1:5">
      <c r="A178" s="33"/>
      <c r="B178" s="34"/>
      <c r="C178" s="35"/>
      <c r="D178" s="36"/>
      <c r="E178" s="37"/>
    </row>
    <row r="179" spans="1:5">
      <c r="A179" s="33"/>
      <c r="B179" s="34"/>
      <c r="C179" s="35"/>
      <c r="D179" s="36"/>
      <c r="E179" s="37"/>
    </row>
    <row r="180" spans="1:5">
      <c r="A180" s="33"/>
      <c r="B180" s="34"/>
      <c r="C180" s="35"/>
      <c r="D180" s="36"/>
      <c r="E180" s="37"/>
    </row>
    <row r="181" spans="1:5">
      <c r="A181" s="33"/>
      <c r="B181" s="34"/>
      <c r="C181" s="35"/>
      <c r="D181" s="36"/>
      <c r="E181" s="37"/>
    </row>
    <row r="182" spans="1:5">
      <c r="A182" s="33"/>
      <c r="B182" s="34"/>
      <c r="C182" s="35"/>
      <c r="D182" s="36"/>
      <c r="E182" s="37"/>
    </row>
    <row r="183" spans="1:5">
      <c r="A183" s="33"/>
      <c r="B183" s="34"/>
      <c r="C183" s="35"/>
      <c r="D183" s="36"/>
      <c r="E183" s="37"/>
    </row>
    <row r="184" spans="1:5">
      <c r="A184" s="33"/>
      <c r="B184" s="34"/>
      <c r="C184" s="35"/>
      <c r="D184" s="36"/>
      <c r="E184" s="37"/>
    </row>
    <row r="185" spans="1:5">
      <c r="A185" s="33"/>
      <c r="B185" s="34"/>
      <c r="C185" s="35"/>
      <c r="D185" s="36"/>
      <c r="E185" s="37"/>
    </row>
    <row r="186" spans="1:5">
      <c r="A186" s="33"/>
      <c r="B186" s="34"/>
      <c r="C186" s="35"/>
      <c r="D186" s="36"/>
      <c r="E186" s="37"/>
    </row>
    <row r="187" spans="1:5">
      <c r="A187" s="33"/>
      <c r="B187" s="34"/>
      <c r="C187" s="35"/>
      <c r="D187" s="36"/>
      <c r="E187" s="37"/>
    </row>
    <row r="188" spans="1:5">
      <c r="A188" s="33"/>
      <c r="B188" s="34"/>
      <c r="C188" s="35"/>
      <c r="D188" s="36"/>
      <c r="E188" s="37"/>
    </row>
    <row r="189" spans="1:5">
      <c r="A189" s="33"/>
      <c r="B189" s="34"/>
      <c r="C189" s="35"/>
      <c r="D189" s="36"/>
      <c r="E189" s="37"/>
    </row>
    <row r="190" spans="1:5">
      <c r="A190" s="33"/>
      <c r="B190" s="34"/>
      <c r="C190" s="35"/>
      <c r="D190" s="36"/>
      <c r="E190" s="37"/>
    </row>
    <row r="191" spans="1:5">
      <c r="A191" s="33"/>
      <c r="B191" s="34"/>
      <c r="C191" s="35"/>
      <c r="D191" s="36"/>
      <c r="E191" s="37"/>
    </row>
    <row r="192" spans="1:5">
      <c r="A192" s="33"/>
      <c r="B192" s="34"/>
      <c r="C192" s="35"/>
      <c r="D192" s="36"/>
      <c r="E192" s="37"/>
    </row>
    <row r="193" spans="1:5">
      <c r="A193" s="33"/>
      <c r="B193" s="34"/>
      <c r="C193" s="35"/>
      <c r="D193" s="36"/>
      <c r="E193" s="37"/>
    </row>
    <row r="194" spans="1:5">
      <c r="A194" s="33"/>
      <c r="B194" s="34"/>
      <c r="C194" s="35"/>
      <c r="D194" s="36"/>
      <c r="E194" s="37"/>
    </row>
    <row r="195" spans="1:5">
      <c r="A195" s="33"/>
      <c r="B195" s="34"/>
      <c r="C195" s="35"/>
      <c r="D195" s="36"/>
      <c r="E195" s="37"/>
    </row>
    <row r="196" spans="1:5">
      <c r="A196" s="33"/>
      <c r="B196" s="34"/>
      <c r="C196" s="35"/>
      <c r="D196" s="36"/>
      <c r="E196" s="37"/>
    </row>
    <row r="197" spans="1:5">
      <c r="A197" s="33"/>
      <c r="B197" s="34"/>
      <c r="C197" s="35"/>
      <c r="D197" s="36"/>
      <c r="E197" s="37"/>
    </row>
    <row r="198" spans="1:5">
      <c r="A198" s="33"/>
      <c r="B198" s="34"/>
      <c r="C198" s="35"/>
      <c r="D198" s="36"/>
      <c r="E198" s="37"/>
    </row>
    <row r="199" spans="1:5">
      <c r="A199" s="33"/>
      <c r="B199" s="34"/>
      <c r="C199" s="35"/>
      <c r="D199" s="36"/>
      <c r="E199" s="37"/>
    </row>
    <row r="200" spans="1:5">
      <c r="A200" s="33"/>
      <c r="B200" s="34"/>
      <c r="C200" s="35"/>
      <c r="D200" s="36"/>
      <c r="E200" s="37"/>
    </row>
    <row r="201" spans="1:5">
      <c r="A201" s="33"/>
      <c r="B201" s="34"/>
      <c r="C201" s="35"/>
      <c r="D201" s="36"/>
      <c r="E201" s="37"/>
    </row>
    <row r="202" spans="1:5">
      <c r="A202" s="33"/>
      <c r="B202" s="34"/>
      <c r="C202" s="35"/>
      <c r="D202" s="36"/>
      <c r="E202" s="37"/>
    </row>
    <row r="203" spans="1:5">
      <c r="A203" s="33"/>
      <c r="B203" s="34"/>
      <c r="C203" s="35"/>
      <c r="D203" s="36"/>
      <c r="E203" s="37"/>
    </row>
    <row r="204" spans="1:5">
      <c r="A204" s="33"/>
      <c r="B204" s="34"/>
      <c r="C204" s="35"/>
      <c r="D204" s="36"/>
      <c r="E204" s="37"/>
    </row>
    <row r="205" spans="1:5">
      <c r="A205" s="33"/>
      <c r="B205" s="34"/>
      <c r="C205" s="35"/>
      <c r="D205" s="36"/>
      <c r="E205" s="37"/>
    </row>
    <row r="206" spans="1:5">
      <c r="A206" s="33"/>
      <c r="B206" s="34"/>
      <c r="C206" s="35"/>
      <c r="D206" s="36"/>
      <c r="E206" s="37"/>
    </row>
    <row r="207" spans="1:5">
      <c r="A207" s="33"/>
      <c r="B207" s="34"/>
      <c r="C207" s="35"/>
      <c r="D207" s="36"/>
      <c r="E207" s="37"/>
    </row>
    <row r="208" spans="1:5">
      <c r="A208" s="33"/>
      <c r="B208" s="34"/>
      <c r="C208" s="35"/>
      <c r="D208" s="36"/>
      <c r="E208" s="37"/>
    </row>
    <row r="209" spans="1:5">
      <c r="A209" s="33"/>
      <c r="B209" s="34"/>
      <c r="C209" s="35"/>
      <c r="D209" s="36"/>
      <c r="E209" s="37"/>
    </row>
    <row r="210" spans="1:5">
      <c r="A210" s="33"/>
      <c r="B210" s="34"/>
      <c r="C210" s="35"/>
      <c r="D210" s="36"/>
      <c r="E210" s="37"/>
    </row>
    <row r="211" spans="1:5">
      <c r="A211" s="33"/>
      <c r="B211" s="34"/>
      <c r="C211" s="35"/>
      <c r="D211" s="36"/>
      <c r="E211" s="37"/>
    </row>
    <row r="212" spans="1:5">
      <c r="A212" s="33"/>
      <c r="B212" s="34"/>
      <c r="C212" s="35"/>
      <c r="D212" s="36"/>
      <c r="E212" s="37"/>
    </row>
    <row r="213" spans="1:5">
      <c r="A213" s="33"/>
      <c r="B213" s="34"/>
      <c r="C213" s="35"/>
      <c r="D213" s="36"/>
      <c r="E213" s="37"/>
    </row>
    <row r="214" spans="1:5">
      <c r="A214" s="33"/>
      <c r="B214" s="34"/>
      <c r="C214" s="35"/>
      <c r="D214" s="36"/>
      <c r="E214" s="37"/>
    </row>
    <row r="215" spans="1:5">
      <c r="A215" s="33"/>
      <c r="B215" s="34"/>
      <c r="C215" s="35"/>
      <c r="D215" s="36"/>
      <c r="E215" s="37"/>
    </row>
    <row r="216" spans="1:5">
      <c r="A216" s="33"/>
      <c r="B216" s="34"/>
      <c r="C216" s="35"/>
      <c r="D216" s="36"/>
      <c r="E216" s="37"/>
    </row>
    <row r="217" spans="1:5">
      <c r="A217" s="33"/>
      <c r="B217" s="34"/>
      <c r="C217" s="35"/>
      <c r="D217" s="36"/>
      <c r="E217" s="37"/>
    </row>
    <row r="218" spans="1:5">
      <c r="A218" s="33"/>
      <c r="B218" s="34"/>
      <c r="C218" s="35"/>
      <c r="D218" s="36"/>
      <c r="E218" s="37"/>
    </row>
    <row r="219" spans="1:5">
      <c r="A219" s="33"/>
      <c r="B219" s="34"/>
      <c r="C219" s="35"/>
      <c r="D219" s="36"/>
      <c r="E219" s="37"/>
    </row>
    <row r="220" spans="1:5">
      <c r="A220" s="33"/>
      <c r="B220" s="34"/>
      <c r="C220" s="35"/>
      <c r="D220" s="36"/>
      <c r="E220" s="37"/>
    </row>
    <row r="221" spans="1:5">
      <c r="A221" s="33"/>
      <c r="B221" s="34"/>
      <c r="C221" s="35"/>
      <c r="D221" s="36"/>
      <c r="E221" s="37"/>
    </row>
    <row r="222" spans="1:5">
      <c r="A222" s="33"/>
      <c r="B222" s="34"/>
      <c r="C222" s="35"/>
      <c r="D222" s="36"/>
      <c r="E222" s="37"/>
    </row>
    <row r="223" spans="1:5">
      <c r="A223" s="33"/>
      <c r="B223" s="34"/>
      <c r="C223" s="35"/>
      <c r="D223" s="36"/>
      <c r="E223" s="37"/>
    </row>
    <row r="224" spans="1:5">
      <c r="A224" s="33"/>
      <c r="B224" s="34"/>
      <c r="C224" s="35"/>
      <c r="D224" s="36"/>
      <c r="E224" s="37"/>
    </row>
    <row r="225" spans="1:5">
      <c r="A225" s="33"/>
      <c r="B225" s="34"/>
      <c r="C225" s="35"/>
      <c r="D225" s="36"/>
      <c r="E225" s="37"/>
    </row>
    <row r="226" spans="1:5">
      <c r="A226" s="33"/>
      <c r="B226" s="34"/>
      <c r="C226" s="35"/>
      <c r="D226" s="36"/>
      <c r="E226" s="37"/>
    </row>
    <row r="227" spans="1:5">
      <c r="A227" s="33"/>
      <c r="B227" s="34"/>
      <c r="C227" s="35"/>
      <c r="D227" s="36"/>
      <c r="E227" s="37"/>
    </row>
    <row r="228" spans="1:5">
      <c r="A228" s="33"/>
      <c r="B228" s="34"/>
      <c r="C228" s="35"/>
      <c r="D228" s="36"/>
      <c r="E228" s="37"/>
    </row>
    <row r="229" spans="1:5">
      <c r="A229" s="33"/>
      <c r="B229" s="34"/>
      <c r="C229" s="35"/>
      <c r="D229" s="36"/>
      <c r="E229" s="37"/>
    </row>
    <row r="230" spans="1:5">
      <c r="A230" s="33"/>
      <c r="B230" s="34"/>
      <c r="C230" s="35"/>
      <c r="D230" s="36"/>
      <c r="E230" s="37"/>
    </row>
    <row r="231" spans="1:5">
      <c r="A231" s="33"/>
      <c r="B231" s="34"/>
      <c r="C231" s="35"/>
      <c r="D231" s="36"/>
      <c r="E231" s="37"/>
    </row>
    <row r="232" spans="1:5">
      <c r="A232" s="33"/>
      <c r="B232" s="34"/>
      <c r="C232" s="35"/>
      <c r="D232" s="36"/>
      <c r="E232" s="37"/>
    </row>
    <row r="233" spans="1:5">
      <c r="A233" s="33"/>
      <c r="B233" s="34"/>
      <c r="C233" s="35"/>
      <c r="D233" s="36"/>
      <c r="E233" s="37"/>
    </row>
    <row r="234" spans="1:5">
      <c r="A234" s="33"/>
      <c r="B234" s="34"/>
      <c r="C234" s="35"/>
      <c r="D234" s="36"/>
      <c r="E234" s="37"/>
    </row>
    <row r="235" spans="1:5">
      <c r="A235" s="33"/>
      <c r="B235" s="34"/>
      <c r="C235" s="35"/>
      <c r="D235" s="36"/>
      <c r="E235" s="37"/>
    </row>
    <row r="236" spans="1:5">
      <c r="A236" s="33"/>
      <c r="B236" s="34"/>
      <c r="C236" s="35"/>
      <c r="D236" s="36"/>
      <c r="E236" s="37"/>
    </row>
    <row r="237" spans="1:5">
      <c r="A237" s="33"/>
      <c r="B237" s="34"/>
      <c r="C237" s="35"/>
      <c r="D237" s="36"/>
      <c r="E237" s="37"/>
    </row>
    <row r="238" spans="1:5">
      <c r="A238" s="33"/>
      <c r="B238" s="34"/>
      <c r="C238" s="35"/>
      <c r="D238" s="36"/>
      <c r="E238" s="37"/>
    </row>
    <row r="239" spans="1:5">
      <c r="A239" s="33"/>
      <c r="B239" s="34"/>
      <c r="C239" s="35"/>
      <c r="D239" s="36"/>
      <c r="E239" s="37"/>
    </row>
    <row r="240" spans="1:5">
      <c r="A240" s="33"/>
      <c r="B240" s="34"/>
      <c r="C240" s="35"/>
      <c r="D240" s="36"/>
      <c r="E240" s="37"/>
    </row>
    <row r="241" spans="1:5">
      <c r="A241" s="33"/>
      <c r="B241" s="34"/>
      <c r="C241" s="35"/>
      <c r="D241" s="36"/>
      <c r="E241" s="37"/>
    </row>
    <row r="242" spans="1:5">
      <c r="A242" s="33"/>
      <c r="B242" s="34"/>
      <c r="C242" s="35"/>
      <c r="D242" s="36"/>
      <c r="E242" s="37"/>
    </row>
    <row r="243" spans="1:5">
      <c r="A243" s="33"/>
      <c r="B243" s="34"/>
      <c r="C243" s="35"/>
      <c r="D243" s="36"/>
      <c r="E243" s="37"/>
    </row>
    <row r="244" spans="1:5">
      <c r="A244" s="33"/>
      <c r="B244" s="34"/>
      <c r="C244" s="35"/>
      <c r="D244" s="36"/>
      <c r="E244" s="37"/>
    </row>
    <row r="245" spans="1:5">
      <c r="A245" s="33"/>
      <c r="B245" s="34"/>
      <c r="C245" s="35"/>
      <c r="D245" s="36"/>
      <c r="E245" s="37"/>
    </row>
    <row r="246" spans="1:5">
      <c r="A246" s="33"/>
      <c r="B246" s="34"/>
      <c r="C246" s="35"/>
      <c r="D246" s="36"/>
      <c r="E246" s="37"/>
    </row>
    <row r="247" spans="1:5">
      <c r="A247" s="33"/>
      <c r="B247" s="34"/>
      <c r="C247" s="35"/>
      <c r="D247" s="36"/>
      <c r="E247" s="37"/>
    </row>
    <row r="248" spans="1:5">
      <c r="A248" s="33"/>
      <c r="B248" s="34"/>
      <c r="C248" s="35"/>
      <c r="D248" s="36"/>
      <c r="E248" s="37"/>
    </row>
    <row r="249" spans="1:5">
      <c r="A249" s="33"/>
      <c r="B249" s="34"/>
      <c r="C249" s="35"/>
      <c r="D249" s="36"/>
      <c r="E249" s="37"/>
    </row>
    <row r="250" spans="1:5">
      <c r="A250" s="33"/>
      <c r="B250" s="34"/>
      <c r="C250" s="35"/>
      <c r="D250" s="36"/>
      <c r="E250" s="37"/>
    </row>
    <row r="251" spans="1:5">
      <c r="A251" s="33"/>
      <c r="B251" s="34"/>
      <c r="C251" s="35"/>
      <c r="D251" s="36"/>
      <c r="E251" s="37"/>
    </row>
    <row r="252" spans="1:5">
      <c r="A252" s="33"/>
      <c r="B252" s="34"/>
      <c r="C252" s="35"/>
      <c r="D252" s="36"/>
      <c r="E252" s="37"/>
    </row>
    <row r="253" spans="1:5">
      <c r="A253" s="33"/>
      <c r="B253" s="34"/>
      <c r="C253" s="35"/>
      <c r="D253" s="36"/>
      <c r="E253" s="37"/>
    </row>
    <row r="254" spans="1:5">
      <c r="A254" s="33"/>
      <c r="B254" s="34"/>
      <c r="C254" s="35"/>
      <c r="D254" s="36"/>
      <c r="E254" s="37"/>
    </row>
    <row r="255" spans="1:5">
      <c r="A255" s="33"/>
      <c r="B255" s="34"/>
      <c r="C255" s="35"/>
      <c r="D255" s="36"/>
      <c r="E255" s="37"/>
    </row>
    <row r="256" spans="1:5">
      <c r="A256" s="33"/>
      <c r="B256" s="34"/>
      <c r="C256" s="35"/>
      <c r="D256" s="36"/>
      <c r="E256" s="37"/>
    </row>
    <row r="257" spans="1:5">
      <c r="A257" s="33"/>
      <c r="B257" s="34"/>
      <c r="C257" s="35"/>
      <c r="D257" s="36"/>
      <c r="E257" s="37"/>
    </row>
    <row r="258" spans="1:5">
      <c r="A258" s="33"/>
      <c r="B258" s="34"/>
      <c r="C258" s="35"/>
      <c r="D258" s="36"/>
      <c r="E258" s="37"/>
    </row>
    <row r="259" spans="1:5">
      <c r="A259" s="33"/>
      <c r="B259" s="34"/>
      <c r="C259" s="35"/>
      <c r="D259" s="36"/>
      <c r="E259" s="37"/>
    </row>
    <row r="260" spans="1:5">
      <c r="A260" s="33"/>
      <c r="B260" s="34"/>
      <c r="C260" s="35"/>
      <c r="D260" s="36"/>
      <c r="E260" s="37"/>
    </row>
    <row r="261" spans="1:5">
      <c r="A261" s="33"/>
      <c r="B261" s="34"/>
      <c r="C261" s="35"/>
      <c r="D261" s="36"/>
      <c r="E261" s="37"/>
    </row>
    <row r="262" spans="1:5">
      <c r="A262" s="33"/>
      <c r="B262" s="34"/>
      <c r="C262" s="35"/>
      <c r="D262" s="36"/>
      <c r="E262" s="37"/>
    </row>
    <row r="263" spans="1:5">
      <c r="A263" s="33"/>
      <c r="B263" s="34"/>
      <c r="C263" s="35"/>
      <c r="D263" s="36"/>
      <c r="E263" s="37"/>
    </row>
    <row r="264" spans="1:5">
      <c r="A264" s="33"/>
      <c r="B264" s="34"/>
      <c r="C264" s="35"/>
      <c r="D264" s="36"/>
      <c r="E264" s="37"/>
    </row>
    <row r="265" spans="1:5">
      <c r="A265" s="33"/>
      <c r="B265" s="34"/>
      <c r="C265" s="35"/>
      <c r="D265" s="36"/>
      <c r="E265" s="37"/>
    </row>
    <row r="266" spans="1:5">
      <c r="A266" s="33"/>
      <c r="B266" s="34"/>
      <c r="C266" s="35"/>
      <c r="D266" s="36"/>
      <c r="E266" s="37"/>
    </row>
    <row r="267" spans="1:5">
      <c r="A267" s="33"/>
      <c r="B267" s="34"/>
      <c r="C267" s="35"/>
      <c r="D267" s="36"/>
      <c r="E267" s="37"/>
    </row>
    <row r="268" spans="1:5">
      <c r="A268" s="33"/>
      <c r="B268" s="34"/>
      <c r="C268" s="35"/>
      <c r="D268" s="36"/>
      <c r="E268" s="37"/>
    </row>
    <row r="269" spans="1:5">
      <c r="A269" s="33"/>
      <c r="B269" s="34"/>
      <c r="C269" s="35"/>
      <c r="D269" s="36"/>
      <c r="E269" s="37"/>
    </row>
    <row r="270" spans="1:5">
      <c r="A270" s="33"/>
      <c r="B270" s="34"/>
      <c r="C270" s="35"/>
      <c r="D270" s="36"/>
      <c r="E270" s="37"/>
    </row>
    <row r="271" spans="1:5">
      <c r="A271" s="33"/>
      <c r="B271" s="34"/>
      <c r="C271" s="35"/>
      <c r="D271" s="36"/>
      <c r="E271" s="37"/>
    </row>
    <row r="272" spans="1:5">
      <c r="A272" s="33"/>
      <c r="B272" s="34"/>
      <c r="C272" s="35"/>
      <c r="D272" s="36"/>
      <c r="E272" s="37"/>
    </row>
    <row r="273" spans="1:5">
      <c r="A273" s="33"/>
      <c r="B273" s="34"/>
      <c r="C273" s="35"/>
      <c r="D273" s="36"/>
      <c r="E273" s="37"/>
    </row>
    <row r="274" spans="1:5">
      <c r="A274" s="33"/>
      <c r="B274" s="34"/>
      <c r="C274" s="35"/>
      <c r="D274" s="36"/>
      <c r="E274" s="37"/>
    </row>
    <row r="275" spans="1:5">
      <c r="A275" s="33"/>
      <c r="B275" s="34"/>
      <c r="C275" s="35"/>
      <c r="D275" s="36"/>
      <c r="E275" s="37"/>
    </row>
    <row r="276" spans="1:5">
      <c r="A276" s="33"/>
      <c r="B276" s="34"/>
      <c r="C276" s="35"/>
      <c r="D276" s="36"/>
      <c r="E276" s="37"/>
    </row>
    <row r="277" spans="1:5">
      <c r="A277" s="33"/>
      <c r="B277" s="34"/>
      <c r="C277" s="35"/>
      <c r="D277" s="36"/>
      <c r="E277" s="37"/>
    </row>
    <row r="278" spans="1:5">
      <c r="A278" s="33"/>
      <c r="B278" s="34"/>
      <c r="C278" s="35"/>
      <c r="D278" s="36"/>
      <c r="E278" s="37"/>
    </row>
    <row r="279" spans="1:5">
      <c r="A279" s="33"/>
      <c r="B279" s="34"/>
      <c r="C279" s="35"/>
      <c r="D279" s="36"/>
      <c r="E279" s="37"/>
    </row>
    <row r="280" spans="1:5">
      <c r="A280" s="33"/>
      <c r="B280" s="34"/>
      <c r="C280" s="35"/>
      <c r="D280" s="36"/>
      <c r="E280" s="37"/>
    </row>
    <row r="281" spans="1:5">
      <c r="A281" s="33"/>
      <c r="B281" s="34"/>
      <c r="C281" s="35"/>
      <c r="D281" s="36"/>
      <c r="E281" s="37"/>
    </row>
    <row r="282" spans="1:5">
      <c r="A282" s="33"/>
      <c r="B282" s="34"/>
      <c r="C282" s="35"/>
      <c r="D282" s="36"/>
      <c r="E282" s="37"/>
    </row>
    <row r="283" spans="1:5">
      <c r="A283" s="33"/>
      <c r="B283" s="34"/>
      <c r="C283" s="35"/>
      <c r="D283" s="36"/>
      <c r="E283" s="37"/>
    </row>
    <row r="284" spans="1:5">
      <c r="A284" s="33"/>
      <c r="B284" s="34"/>
      <c r="C284" s="35"/>
      <c r="D284" s="36"/>
      <c r="E284" s="37"/>
    </row>
    <row r="285" spans="1:5">
      <c r="A285" s="33"/>
      <c r="B285" s="34"/>
      <c r="C285" s="35"/>
      <c r="D285" s="36"/>
      <c r="E285" s="37"/>
    </row>
    <row r="286" spans="1:5">
      <c r="A286" s="33"/>
      <c r="B286" s="34"/>
      <c r="C286" s="35"/>
      <c r="D286" s="36"/>
      <c r="E286" s="37"/>
    </row>
    <row r="287" spans="1:5">
      <c r="A287" s="33"/>
      <c r="B287" s="34"/>
      <c r="C287" s="35"/>
      <c r="D287" s="36"/>
      <c r="E287" s="37"/>
    </row>
    <row r="288" spans="1:5">
      <c r="A288" s="33"/>
      <c r="B288" s="34"/>
      <c r="C288" s="35"/>
      <c r="D288" s="36"/>
      <c r="E288" s="37"/>
    </row>
    <row r="289" spans="1:5">
      <c r="A289" s="33"/>
      <c r="B289" s="34"/>
      <c r="C289" s="35"/>
      <c r="D289" s="36"/>
      <c r="E289" s="37"/>
    </row>
    <row r="290" spans="1:5">
      <c r="A290" s="33"/>
      <c r="B290" s="34"/>
      <c r="C290" s="35"/>
      <c r="D290" s="36"/>
      <c r="E290" s="37"/>
    </row>
    <row r="291" spans="1:5">
      <c r="A291" s="33"/>
      <c r="B291" s="34"/>
      <c r="C291" s="35"/>
      <c r="D291" s="36"/>
      <c r="E291" s="37"/>
    </row>
    <row r="292" spans="1:5">
      <c r="A292" s="33"/>
      <c r="B292" s="34"/>
      <c r="C292" s="35"/>
      <c r="D292" s="36"/>
      <c r="E292" s="37"/>
    </row>
    <row r="293" spans="1:5">
      <c r="A293" s="33"/>
      <c r="B293" s="34"/>
      <c r="C293" s="35"/>
      <c r="D293" s="36"/>
      <c r="E293" s="37"/>
    </row>
    <row r="294" spans="1:5">
      <c r="A294" s="33"/>
      <c r="B294" s="34"/>
      <c r="C294" s="35"/>
      <c r="D294" s="36"/>
      <c r="E294" s="37"/>
    </row>
    <row r="295" spans="1:5">
      <c r="A295" s="33"/>
      <c r="B295" s="34"/>
      <c r="C295" s="35"/>
      <c r="D295" s="36"/>
      <c r="E295" s="37"/>
    </row>
    <row r="296" spans="1:5">
      <c r="A296" s="33"/>
      <c r="B296" s="34"/>
      <c r="C296" s="35"/>
      <c r="D296" s="36"/>
      <c r="E296" s="37"/>
    </row>
    <row r="297" spans="1:5">
      <c r="A297" s="33"/>
      <c r="B297" s="34"/>
      <c r="C297" s="35"/>
      <c r="D297" s="36"/>
      <c r="E297" s="37"/>
    </row>
    <row r="298" spans="1:5">
      <c r="A298" s="33"/>
      <c r="B298" s="34"/>
      <c r="C298" s="35"/>
      <c r="D298" s="36"/>
      <c r="E298" s="37"/>
    </row>
    <row r="299" spans="1:5">
      <c r="A299" s="33"/>
      <c r="B299" s="34"/>
      <c r="C299" s="35"/>
      <c r="D299" s="36"/>
      <c r="E299" s="37"/>
    </row>
    <row r="300" spans="1:5">
      <c r="A300" s="33"/>
      <c r="B300" s="34"/>
      <c r="C300" s="35"/>
      <c r="D300" s="36"/>
      <c r="E300" s="37"/>
    </row>
    <row r="301" spans="1:5">
      <c r="A301" s="33"/>
      <c r="B301" s="34"/>
      <c r="C301" s="35"/>
      <c r="D301" s="36"/>
      <c r="E301" s="37"/>
    </row>
    <row r="302" spans="1:5">
      <c r="A302" s="33"/>
      <c r="B302" s="34"/>
      <c r="C302" s="35"/>
      <c r="D302" s="36"/>
      <c r="E302" s="37"/>
    </row>
    <row r="303" spans="1:5">
      <c r="A303" s="33"/>
      <c r="B303" s="34"/>
      <c r="C303" s="35"/>
      <c r="D303" s="36"/>
      <c r="E303" s="37"/>
    </row>
    <row r="304" spans="1:5">
      <c r="A304" s="33"/>
      <c r="B304" s="34"/>
      <c r="C304" s="35"/>
      <c r="D304" s="36"/>
      <c r="E304" s="37"/>
    </row>
    <row r="305" spans="1:5">
      <c r="A305" s="33"/>
      <c r="B305" s="34"/>
      <c r="C305" s="35"/>
      <c r="D305" s="36"/>
      <c r="E305" s="37"/>
    </row>
    <row r="306" spans="1:5">
      <c r="A306" s="33"/>
      <c r="B306" s="34"/>
      <c r="C306" s="35"/>
      <c r="D306" s="36"/>
      <c r="E306" s="37"/>
    </row>
    <row r="307" spans="1:5">
      <c r="A307" s="33"/>
      <c r="B307" s="34"/>
      <c r="C307" s="35"/>
      <c r="D307" s="36"/>
      <c r="E307" s="37"/>
    </row>
    <row r="308" spans="1:5">
      <c r="A308" s="33"/>
      <c r="B308" s="34"/>
      <c r="C308" s="35"/>
      <c r="D308" s="36"/>
      <c r="E308" s="37"/>
    </row>
    <row r="309" spans="1:5">
      <c r="A309" s="33"/>
      <c r="B309" s="34"/>
      <c r="C309" s="35"/>
      <c r="D309" s="36"/>
      <c r="E309" s="37"/>
    </row>
    <row r="310" spans="1:5">
      <c r="A310" s="33"/>
      <c r="B310" s="34"/>
      <c r="C310" s="35"/>
      <c r="D310" s="36"/>
      <c r="E310" s="37"/>
    </row>
    <row r="311" spans="1:5">
      <c r="A311" s="33"/>
      <c r="B311" s="34"/>
      <c r="C311" s="35"/>
      <c r="D311" s="36"/>
      <c r="E311" s="37"/>
    </row>
    <row r="312" spans="1:5">
      <c r="A312" s="33"/>
      <c r="B312" s="34"/>
      <c r="C312" s="35"/>
      <c r="D312" s="36"/>
      <c r="E312" s="37"/>
    </row>
    <row r="313" spans="1:5">
      <c r="A313" s="33"/>
      <c r="B313" s="34"/>
      <c r="C313" s="35"/>
      <c r="D313" s="36"/>
      <c r="E313" s="37"/>
    </row>
    <row r="314" spans="1:5">
      <c r="A314" s="33"/>
      <c r="B314" s="34"/>
      <c r="C314" s="35"/>
      <c r="D314" s="36"/>
      <c r="E314" s="37"/>
    </row>
    <row r="315" spans="1:5">
      <c r="A315" s="33"/>
      <c r="B315" s="34"/>
      <c r="C315" s="35"/>
      <c r="D315" s="36"/>
      <c r="E315" s="37"/>
    </row>
    <row r="316" spans="1:5">
      <c r="A316" s="33"/>
      <c r="B316" s="34"/>
      <c r="C316" s="35"/>
      <c r="D316" s="36"/>
      <c r="E316" s="37"/>
    </row>
    <row r="317" spans="1:5">
      <c r="A317" s="33"/>
      <c r="B317" s="34"/>
      <c r="C317" s="35"/>
      <c r="D317" s="36"/>
      <c r="E317" s="37"/>
    </row>
    <row r="318" spans="1:5">
      <c r="A318" s="33"/>
      <c r="B318" s="34"/>
      <c r="C318" s="35"/>
      <c r="D318" s="36"/>
      <c r="E318" s="37"/>
    </row>
    <row r="319" spans="1:5">
      <c r="A319" s="33"/>
      <c r="B319" s="34"/>
      <c r="C319" s="35"/>
      <c r="D319" s="36"/>
      <c r="E319" s="37"/>
    </row>
    <row r="320" spans="1:5">
      <c r="A320" s="33"/>
      <c r="B320" s="34"/>
      <c r="C320" s="35"/>
      <c r="D320" s="36"/>
      <c r="E320" s="37"/>
    </row>
    <row r="321" spans="1:5">
      <c r="A321" s="33"/>
      <c r="B321" s="34"/>
      <c r="C321" s="35"/>
      <c r="D321" s="36"/>
      <c r="E321" s="37"/>
    </row>
    <row r="322" spans="1:5">
      <c r="A322" s="33"/>
      <c r="B322" s="34"/>
      <c r="C322" s="35"/>
      <c r="D322" s="36"/>
      <c r="E322" s="37"/>
    </row>
    <row r="323" spans="1:5">
      <c r="A323" s="33"/>
      <c r="B323" s="34"/>
      <c r="C323" s="35"/>
      <c r="D323" s="36"/>
      <c r="E323" s="37"/>
    </row>
    <row r="324" spans="1:5">
      <c r="A324" s="33"/>
      <c r="B324" s="34"/>
      <c r="C324" s="35"/>
      <c r="D324" s="36"/>
      <c r="E324" s="37"/>
    </row>
    <row r="325" spans="1:5">
      <c r="A325" s="33"/>
      <c r="B325" s="34"/>
      <c r="C325" s="35"/>
      <c r="D325" s="36"/>
      <c r="E325" s="37"/>
    </row>
    <row r="326" spans="1:5">
      <c r="A326" s="33"/>
      <c r="B326" s="34"/>
      <c r="C326" s="35"/>
      <c r="D326" s="36"/>
      <c r="E326" s="37"/>
    </row>
    <row r="327" spans="1:5">
      <c r="A327" s="33"/>
      <c r="B327" s="34"/>
      <c r="C327" s="35"/>
      <c r="D327" s="36"/>
      <c r="E327" s="37"/>
    </row>
    <row r="328" spans="1:5">
      <c r="A328" s="33"/>
      <c r="B328" s="34"/>
      <c r="C328" s="35"/>
      <c r="D328" s="36"/>
      <c r="E328" s="37"/>
    </row>
    <row r="329" spans="1:5">
      <c r="A329" s="33"/>
      <c r="B329" s="34"/>
      <c r="C329" s="35"/>
      <c r="D329" s="36"/>
      <c r="E329" s="37"/>
    </row>
    <row r="330" spans="1:5">
      <c r="A330" s="33"/>
      <c r="B330" s="34"/>
      <c r="C330" s="35"/>
      <c r="D330" s="36"/>
      <c r="E330" s="37"/>
    </row>
    <row r="331" spans="1:5">
      <c r="A331" s="33"/>
      <c r="B331" s="34"/>
      <c r="C331" s="35"/>
      <c r="D331" s="36"/>
      <c r="E331" s="37"/>
    </row>
    <row r="332" spans="1:5">
      <c r="A332" s="33"/>
      <c r="B332" s="34"/>
      <c r="C332" s="35"/>
      <c r="D332" s="36"/>
      <c r="E332" s="37"/>
    </row>
    <row r="333" spans="1:5">
      <c r="A333" s="33"/>
      <c r="B333" s="34"/>
      <c r="C333" s="35"/>
      <c r="D333" s="36"/>
      <c r="E333" s="37"/>
    </row>
    <row r="334" spans="1:5">
      <c r="A334" s="33"/>
      <c r="B334" s="34"/>
      <c r="C334" s="35"/>
      <c r="D334" s="36"/>
      <c r="E334" s="37"/>
    </row>
    <row r="335" spans="1:5">
      <c r="A335" s="33"/>
      <c r="B335" s="34"/>
      <c r="C335" s="35"/>
      <c r="D335" s="36"/>
      <c r="E335" s="37"/>
    </row>
    <row r="336" spans="1:5">
      <c r="A336" s="33"/>
      <c r="B336" s="34"/>
      <c r="C336" s="35"/>
      <c r="D336" s="36"/>
      <c r="E336" s="37"/>
    </row>
    <row r="337" spans="1:5">
      <c r="A337" s="33"/>
      <c r="B337" s="34"/>
      <c r="C337" s="35"/>
      <c r="D337" s="36"/>
      <c r="E337" s="37"/>
    </row>
    <row r="338" spans="1:5">
      <c r="A338" s="33"/>
      <c r="B338" s="34"/>
      <c r="C338" s="35"/>
      <c r="D338" s="36"/>
      <c r="E338" s="37"/>
    </row>
    <row r="339" spans="1:5">
      <c r="A339" s="33"/>
      <c r="B339" s="34"/>
      <c r="C339" s="35"/>
      <c r="D339" s="36"/>
      <c r="E339" s="37"/>
    </row>
    <row r="340" spans="1:5">
      <c r="A340" s="33"/>
      <c r="B340" s="34"/>
      <c r="C340" s="35"/>
      <c r="D340" s="36"/>
      <c r="E340" s="37"/>
    </row>
    <row r="341" spans="1:5">
      <c r="A341" s="33"/>
      <c r="B341" s="34"/>
      <c r="C341" s="35"/>
      <c r="D341" s="36"/>
      <c r="E341" s="37"/>
    </row>
    <row r="342" spans="1:5">
      <c r="A342" s="33"/>
      <c r="B342" s="34"/>
      <c r="C342" s="35"/>
      <c r="D342" s="36"/>
      <c r="E342" s="37"/>
    </row>
    <row r="343" spans="1:5">
      <c r="A343" s="33"/>
      <c r="B343" s="34"/>
      <c r="C343" s="35"/>
      <c r="D343" s="36"/>
      <c r="E343" s="37"/>
    </row>
    <row r="344" spans="1:5">
      <c r="A344" s="33"/>
      <c r="B344" s="34"/>
      <c r="C344" s="35"/>
      <c r="D344" s="36"/>
      <c r="E344" s="37"/>
    </row>
    <row r="345" spans="1:5">
      <c r="A345" s="33"/>
      <c r="B345" s="34"/>
      <c r="C345" s="35"/>
      <c r="D345" s="36"/>
      <c r="E345" s="37"/>
    </row>
    <row r="346" spans="1:5">
      <c r="A346" s="33"/>
      <c r="B346" s="34"/>
      <c r="C346" s="35"/>
      <c r="D346" s="36"/>
      <c r="E346" s="37"/>
    </row>
    <row r="347" spans="1:5">
      <c r="A347" s="33"/>
      <c r="B347" s="34"/>
      <c r="C347" s="35"/>
      <c r="D347" s="36"/>
      <c r="E347" s="37"/>
    </row>
    <row r="348" spans="1:5">
      <c r="A348" s="33"/>
      <c r="B348" s="34"/>
      <c r="C348" s="35"/>
      <c r="D348" s="36"/>
      <c r="E348" s="37"/>
    </row>
    <row r="349" spans="1:5">
      <c r="A349" s="33"/>
      <c r="B349" s="34"/>
      <c r="C349" s="35"/>
      <c r="D349" s="36"/>
      <c r="E349" s="37"/>
    </row>
    <row r="350" spans="1:5">
      <c r="A350" s="33"/>
      <c r="B350" s="34"/>
      <c r="C350" s="35"/>
      <c r="D350" s="36"/>
      <c r="E350" s="37"/>
    </row>
  </sheetData>
  <sortState ref="A2:E54">
    <sortCondition descending="1" ref="C2:C54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F442"/>
  <sheetViews>
    <sheetView workbookViewId="0">
      <selection activeCell="E5" sqref="E5"/>
    </sheetView>
  </sheetViews>
  <sheetFormatPr defaultRowHeight="15"/>
  <cols>
    <col min="1" max="1" width="9.5703125" style="18" bestFit="1" customWidth="1"/>
    <col min="2" max="2" width="22.5703125" style="18" bestFit="1" customWidth="1"/>
    <col min="3" max="3" width="7.5703125" style="18" bestFit="1" customWidth="1"/>
    <col min="4" max="4" width="3.7109375" style="18" bestFit="1" customWidth="1"/>
    <col min="5" max="5" width="5.5703125" style="18" bestFit="1" customWidth="1"/>
  </cols>
  <sheetData>
    <row r="1" spans="1:6">
      <c r="A1" s="18" t="s">
        <v>0</v>
      </c>
      <c r="B1" s="18" t="s">
        <v>1</v>
      </c>
      <c r="C1" s="18" t="s">
        <v>2</v>
      </c>
      <c r="D1" s="18" t="s">
        <v>117</v>
      </c>
      <c r="E1" s="18" t="s">
        <v>265</v>
      </c>
    </row>
    <row r="2" spans="1:6">
      <c r="A2" s="18" t="s">
        <v>36</v>
      </c>
      <c r="B2" s="18" t="s">
        <v>38</v>
      </c>
      <c r="C2" s="18">
        <v>8000</v>
      </c>
      <c r="D2" s="41"/>
      <c r="E2" s="18">
        <v>11.5199996948242</v>
      </c>
      <c r="F2" s="18">
        <v>11.5199996948242</v>
      </c>
    </row>
    <row r="3" spans="1:6">
      <c r="A3" s="18" t="s">
        <v>36</v>
      </c>
      <c r="B3" s="18" t="s">
        <v>759</v>
      </c>
      <c r="C3" s="18">
        <v>6800</v>
      </c>
      <c r="D3" s="41"/>
      <c r="E3" s="18">
        <v>7.45555538601345</v>
      </c>
    </row>
    <row r="4" spans="1:6">
      <c r="A4" s="18" t="s">
        <v>36</v>
      </c>
      <c r="B4" s="18" t="s">
        <v>196</v>
      </c>
      <c r="C4" s="18">
        <v>6400</v>
      </c>
      <c r="D4" s="41"/>
      <c r="E4" s="18">
        <v>8.2941176470588207</v>
      </c>
    </row>
    <row r="5" spans="1:6">
      <c r="A5" s="18" t="s">
        <v>36</v>
      </c>
      <c r="B5" s="18" t="s">
        <v>104</v>
      </c>
      <c r="C5" s="18">
        <v>6200</v>
      </c>
      <c r="D5" s="41"/>
      <c r="E5" s="18">
        <v>10.194117826573899</v>
      </c>
      <c r="F5" s="18">
        <v>10.194117826573899</v>
      </c>
    </row>
    <row r="6" spans="1:6">
      <c r="A6" s="18" t="s">
        <v>36</v>
      </c>
      <c r="B6" s="18" t="s">
        <v>760</v>
      </c>
      <c r="C6" s="18">
        <v>6000</v>
      </c>
      <c r="D6" s="41"/>
      <c r="E6" s="18">
        <v>9.6611107720269001</v>
      </c>
    </row>
    <row r="7" spans="1:6">
      <c r="A7" s="18" t="s">
        <v>36</v>
      </c>
      <c r="B7" s="18" t="s">
        <v>115</v>
      </c>
      <c r="C7" s="18">
        <v>5900</v>
      </c>
      <c r="D7" s="41"/>
      <c r="E7" s="18">
        <v>10.205882352941099</v>
      </c>
      <c r="F7" s="18">
        <v>10.205882352941099</v>
      </c>
    </row>
    <row r="8" spans="1:6">
      <c r="A8" s="18" t="s">
        <v>36</v>
      </c>
      <c r="B8" s="18" t="s">
        <v>762</v>
      </c>
      <c r="C8" s="18">
        <v>5300</v>
      </c>
      <c r="D8" s="41"/>
      <c r="E8" s="18">
        <v>5.9083334604899003</v>
      </c>
    </row>
    <row r="9" spans="1:6">
      <c r="A9" s="18" t="s">
        <v>36</v>
      </c>
      <c r="B9" s="18" t="s">
        <v>179</v>
      </c>
      <c r="C9" s="18">
        <v>5200</v>
      </c>
      <c r="D9" s="41"/>
      <c r="E9" s="18">
        <v>6.7166667514377103</v>
      </c>
    </row>
    <row r="10" spans="1:6">
      <c r="A10" s="18" t="s">
        <v>36</v>
      </c>
      <c r="B10" s="18" t="s">
        <v>101</v>
      </c>
      <c r="C10" s="18">
        <v>5100</v>
      </c>
      <c r="D10" s="41"/>
      <c r="E10" s="18">
        <v>9.0375003814697195</v>
      </c>
    </row>
    <row r="11" spans="1:6">
      <c r="A11" s="18" t="s">
        <v>36</v>
      </c>
      <c r="B11" s="18" t="s">
        <v>763</v>
      </c>
      <c r="C11" s="18">
        <v>5000</v>
      </c>
      <c r="D11" s="41"/>
      <c r="E11" s="18">
        <v>2.9230769230769198</v>
      </c>
    </row>
    <row r="12" spans="1:6">
      <c r="A12" s="18" t="s">
        <v>36</v>
      </c>
      <c r="B12" s="18" t="s">
        <v>182</v>
      </c>
      <c r="C12" s="18">
        <v>4900</v>
      </c>
      <c r="D12" s="41"/>
      <c r="E12" s="18">
        <v>3.3933334350585902</v>
      </c>
    </row>
    <row r="13" spans="1:6">
      <c r="A13" s="18" t="s">
        <v>36</v>
      </c>
      <c r="B13" s="18" t="s">
        <v>189</v>
      </c>
      <c r="C13" s="18">
        <v>4900</v>
      </c>
      <c r="D13" s="41"/>
      <c r="E13" s="18">
        <v>4.8250001271565699</v>
      </c>
    </row>
    <row r="14" spans="1:6">
      <c r="A14" s="18" t="s">
        <v>36</v>
      </c>
      <c r="B14" s="18" t="s">
        <v>103</v>
      </c>
      <c r="C14" s="18">
        <v>4900</v>
      </c>
      <c r="D14" s="41"/>
      <c r="E14" s="18">
        <v>7.6076924250675999</v>
      </c>
    </row>
    <row r="15" spans="1:6">
      <c r="A15" s="18" t="s">
        <v>36</v>
      </c>
      <c r="B15" s="18" t="s">
        <v>764</v>
      </c>
      <c r="C15" s="18">
        <v>4800</v>
      </c>
      <c r="D15" s="41"/>
      <c r="E15" s="18">
        <v>5.0823530309340503</v>
      </c>
    </row>
    <row r="16" spans="1:6">
      <c r="A16" s="18" t="s">
        <v>36</v>
      </c>
      <c r="B16" s="18" t="s">
        <v>107</v>
      </c>
      <c r="C16" s="18">
        <v>4800</v>
      </c>
      <c r="D16" s="41"/>
      <c r="E16" s="18">
        <v>5.4571429661342004</v>
      </c>
    </row>
    <row r="17" spans="1:5">
      <c r="A17" s="18" t="s">
        <v>36</v>
      </c>
      <c r="B17" s="18" t="s">
        <v>184</v>
      </c>
      <c r="C17" s="18">
        <v>4700</v>
      </c>
      <c r="D17" s="41"/>
      <c r="E17" s="18">
        <v>3.86666666666666</v>
      </c>
    </row>
    <row r="18" spans="1:5">
      <c r="A18" s="18" t="s">
        <v>36</v>
      </c>
      <c r="B18" s="18" t="s">
        <v>185</v>
      </c>
      <c r="C18" s="18">
        <v>4700</v>
      </c>
      <c r="D18" s="41"/>
      <c r="E18" s="18">
        <v>3.2800000508626299</v>
      </c>
    </row>
    <row r="19" spans="1:5">
      <c r="A19" s="18" t="s">
        <v>36</v>
      </c>
      <c r="B19" s="18" t="s">
        <v>766</v>
      </c>
      <c r="C19" s="18">
        <v>4700</v>
      </c>
      <c r="D19" s="41"/>
      <c r="E19" s="18">
        <v>6.1000002347505999</v>
      </c>
    </row>
    <row r="20" spans="1:5">
      <c r="A20" s="18" t="s">
        <v>36</v>
      </c>
      <c r="B20" s="18" t="s">
        <v>114</v>
      </c>
      <c r="C20" s="18">
        <v>4600</v>
      </c>
      <c r="D20" s="41"/>
      <c r="E20" s="18">
        <v>6.6133331298828102</v>
      </c>
    </row>
    <row r="21" spans="1:5">
      <c r="A21" s="18" t="s">
        <v>36</v>
      </c>
      <c r="B21" s="18" t="s">
        <v>770</v>
      </c>
      <c r="C21" s="18">
        <v>4500</v>
      </c>
      <c r="D21" s="41"/>
    </row>
    <row r="22" spans="1:5">
      <c r="A22" s="18" t="s">
        <v>36</v>
      </c>
      <c r="B22" s="18" t="s">
        <v>193</v>
      </c>
      <c r="C22" s="18">
        <v>4300</v>
      </c>
      <c r="D22" s="41"/>
      <c r="E22" s="18">
        <v>2.4384615971491801</v>
      </c>
    </row>
    <row r="23" spans="1:5">
      <c r="A23" s="18" t="s">
        <v>36</v>
      </c>
      <c r="B23" s="18" t="s">
        <v>188</v>
      </c>
      <c r="C23" s="18">
        <v>4300</v>
      </c>
      <c r="D23" s="41"/>
      <c r="E23" s="18">
        <v>3.2538460951585</v>
      </c>
    </row>
    <row r="24" spans="1:5">
      <c r="A24" s="18" t="s">
        <v>36</v>
      </c>
      <c r="B24" s="18" t="s">
        <v>804</v>
      </c>
      <c r="C24" s="18">
        <v>4200</v>
      </c>
      <c r="D24" s="41"/>
      <c r="E24" s="18">
        <v>0.93999996185302703</v>
      </c>
    </row>
    <row r="25" spans="1:5">
      <c r="A25" s="18" t="s">
        <v>36</v>
      </c>
      <c r="B25" s="18" t="s">
        <v>805</v>
      </c>
      <c r="C25" s="18">
        <v>4200</v>
      </c>
      <c r="D25" s="41"/>
      <c r="E25" s="18">
        <v>0</v>
      </c>
    </row>
    <row r="26" spans="1:5">
      <c r="A26" s="18" t="s">
        <v>36</v>
      </c>
      <c r="B26" s="18" t="s">
        <v>816</v>
      </c>
      <c r="C26" s="18">
        <v>4100</v>
      </c>
      <c r="D26" s="41"/>
      <c r="E26" s="18">
        <v>2.9058824426987502</v>
      </c>
    </row>
    <row r="27" spans="1:5">
      <c r="A27" s="38"/>
      <c r="B27" s="39"/>
      <c r="C27" s="40"/>
      <c r="D27" s="41"/>
      <c r="E27" s="42"/>
    </row>
    <row r="28" spans="1:5">
      <c r="A28" s="38"/>
      <c r="B28" s="39"/>
      <c r="C28" s="40"/>
      <c r="D28" s="41"/>
      <c r="E28" s="42"/>
    </row>
    <row r="29" spans="1:5">
      <c r="A29" s="38"/>
      <c r="B29" s="39"/>
      <c r="C29" s="40"/>
      <c r="D29" s="41"/>
      <c r="E29" s="42"/>
    </row>
    <row r="30" spans="1:5">
      <c r="A30" s="38"/>
      <c r="B30" s="39"/>
      <c r="C30" s="40"/>
      <c r="D30" s="41"/>
      <c r="E30" s="42"/>
    </row>
    <row r="31" spans="1:5">
      <c r="A31" s="38"/>
      <c r="B31" s="39"/>
      <c r="C31" s="40"/>
      <c r="D31" s="41"/>
      <c r="E31" s="42"/>
    </row>
    <row r="32" spans="1:5">
      <c r="A32" s="38"/>
      <c r="B32" s="39"/>
      <c r="C32" s="40"/>
      <c r="D32" s="41"/>
      <c r="E32" s="42"/>
    </row>
    <row r="33" spans="1:5">
      <c r="A33" s="38"/>
      <c r="B33" s="39"/>
      <c r="C33" s="40"/>
      <c r="D33" s="41"/>
      <c r="E33" s="42"/>
    </row>
    <row r="34" spans="1:5">
      <c r="A34" s="38"/>
      <c r="B34" s="39"/>
      <c r="C34" s="40"/>
      <c r="D34" s="41"/>
      <c r="E34" s="42"/>
    </row>
    <row r="35" spans="1:5">
      <c r="A35" s="38"/>
      <c r="B35" s="39"/>
      <c r="C35" s="40"/>
      <c r="D35" s="41"/>
      <c r="E35" s="42"/>
    </row>
    <row r="36" spans="1:5">
      <c r="A36" s="38"/>
      <c r="B36" s="39"/>
      <c r="C36" s="40"/>
      <c r="D36" s="41"/>
      <c r="E36" s="42"/>
    </row>
    <row r="37" spans="1:5">
      <c r="A37" s="38"/>
      <c r="B37" s="39"/>
      <c r="C37" s="40"/>
      <c r="D37" s="41"/>
      <c r="E37" s="42"/>
    </row>
    <row r="38" spans="1:5">
      <c r="A38" s="38"/>
      <c r="B38" s="39"/>
      <c r="C38" s="40"/>
      <c r="D38" s="41"/>
      <c r="E38" s="42"/>
    </row>
    <row r="39" spans="1:5">
      <c r="A39" s="38"/>
      <c r="B39" s="39"/>
      <c r="C39" s="40"/>
      <c r="D39" s="41"/>
      <c r="E39" s="42"/>
    </row>
    <row r="40" spans="1:5">
      <c r="A40" s="38"/>
      <c r="B40" s="39"/>
      <c r="C40" s="40"/>
      <c r="D40" s="41"/>
      <c r="E40" s="42"/>
    </row>
    <row r="41" spans="1:5">
      <c r="A41" s="38"/>
      <c r="B41" s="39"/>
      <c r="C41" s="40"/>
      <c r="D41" s="41"/>
      <c r="E41" s="42"/>
    </row>
    <row r="42" spans="1:5">
      <c r="A42" s="38"/>
      <c r="B42" s="39"/>
      <c r="C42" s="40"/>
      <c r="D42" s="41"/>
      <c r="E42" s="42"/>
    </row>
    <row r="43" spans="1:5">
      <c r="A43" s="38"/>
      <c r="B43" s="39"/>
      <c r="C43" s="40"/>
      <c r="D43" s="41"/>
      <c r="E43" s="42"/>
    </row>
    <row r="44" spans="1:5">
      <c r="A44" s="38"/>
      <c r="B44" s="39"/>
      <c r="C44" s="40"/>
      <c r="D44" s="41"/>
      <c r="E44" s="42"/>
    </row>
    <row r="45" spans="1:5">
      <c r="A45" s="38"/>
      <c r="B45" s="39"/>
      <c r="C45" s="40"/>
      <c r="D45" s="41"/>
      <c r="E45" s="42"/>
    </row>
    <row r="46" spans="1:5">
      <c r="A46" s="38"/>
      <c r="B46" s="39"/>
      <c r="C46" s="40"/>
      <c r="D46" s="41"/>
      <c r="E46" s="42"/>
    </row>
    <row r="47" spans="1:5">
      <c r="A47" s="38"/>
      <c r="B47" s="39"/>
      <c r="C47" s="40"/>
      <c r="D47" s="41"/>
      <c r="E47" s="42"/>
    </row>
    <row r="48" spans="1:5">
      <c r="A48" s="38"/>
      <c r="B48" s="39"/>
      <c r="C48" s="40"/>
      <c r="D48" s="41"/>
      <c r="E48" s="42"/>
    </row>
    <row r="49" spans="1:5">
      <c r="A49" s="38"/>
      <c r="B49" s="39"/>
      <c r="C49" s="40"/>
      <c r="D49" s="41"/>
      <c r="E49" s="42"/>
    </row>
    <row r="50" spans="1:5">
      <c r="A50" s="38"/>
      <c r="B50" s="39"/>
      <c r="C50" s="40"/>
      <c r="D50" s="41"/>
      <c r="E50" s="42"/>
    </row>
    <row r="51" spans="1:5">
      <c r="A51" s="38"/>
      <c r="B51" s="39"/>
      <c r="C51" s="40"/>
      <c r="D51" s="41"/>
      <c r="E51" s="42"/>
    </row>
    <row r="52" spans="1:5">
      <c r="A52" s="38"/>
      <c r="B52" s="39"/>
      <c r="C52" s="40"/>
      <c r="D52" s="41"/>
      <c r="E52" s="42"/>
    </row>
    <row r="53" spans="1:5">
      <c r="A53" s="38"/>
      <c r="B53" s="39"/>
      <c r="C53" s="40"/>
      <c r="D53" s="41"/>
      <c r="E53" s="42"/>
    </row>
    <row r="54" spans="1:5">
      <c r="A54" s="38"/>
      <c r="B54" s="39"/>
      <c r="C54" s="40"/>
      <c r="D54" s="41"/>
      <c r="E54" s="42"/>
    </row>
    <row r="55" spans="1:5">
      <c r="A55" s="38"/>
      <c r="B55" s="39"/>
      <c r="C55" s="40"/>
      <c r="D55" s="41"/>
      <c r="E55" s="42"/>
    </row>
    <row r="56" spans="1:5">
      <c r="A56" s="38"/>
      <c r="B56" s="39"/>
      <c r="C56" s="40"/>
      <c r="D56" s="41"/>
      <c r="E56" s="42"/>
    </row>
    <row r="57" spans="1:5">
      <c r="A57" s="38"/>
      <c r="B57" s="39"/>
      <c r="C57" s="40"/>
      <c r="D57" s="41"/>
      <c r="E57" s="42"/>
    </row>
    <row r="58" spans="1:5">
      <c r="A58" s="38"/>
      <c r="B58" s="39"/>
      <c r="C58" s="40"/>
      <c r="D58" s="41"/>
      <c r="E58" s="42"/>
    </row>
    <row r="59" spans="1:5">
      <c r="A59" s="38"/>
      <c r="B59" s="39"/>
      <c r="C59" s="40"/>
      <c r="D59" s="41"/>
      <c r="E59" s="42"/>
    </row>
    <row r="60" spans="1:5">
      <c r="A60" s="38"/>
      <c r="B60" s="39"/>
      <c r="C60" s="40"/>
      <c r="D60" s="41"/>
      <c r="E60" s="42"/>
    </row>
    <row r="61" spans="1:5">
      <c r="A61" s="38"/>
      <c r="B61" s="39"/>
      <c r="C61" s="40"/>
      <c r="D61" s="41"/>
      <c r="E61" s="42"/>
    </row>
    <row r="62" spans="1:5">
      <c r="A62" s="38"/>
      <c r="B62" s="39"/>
      <c r="C62" s="40"/>
      <c r="D62" s="41"/>
      <c r="E62" s="42"/>
    </row>
    <row r="63" spans="1:5">
      <c r="A63" s="38"/>
      <c r="B63" s="39"/>
      <c r="C63" s="40"/>
      <c r="D63" s="41"/>
      <c r="E63" s="42"/>
    </row>
    <row r="64" spans="1:5">
      <c r="A64" s="38"/>
      <c r="B64" s="39"/>
      <c r="C64" s="40"/>
      <c r="D64" s="41"/>
      <c r="E64" s="42"/>
    </row>
    <row r="65" spans="1:5">
      <c r="A65" s="38"/>
      <c r="B65" s="39"/>
      <c r="C65" s="40"/>
      <c r="D65" s="41"/>
      <c r="E65" s="42"/>
    </row>
    <row r="66" spans="1:5">
      <c r="A66" s="38"/>
      <c r="B66" s="39"/>
      <c r="C66" s="40"/>
      <c r="D66" s="41"/>
      <c r="E66" s="42"/>
    </row>
    <row r="67" spans="1:5">
      <c r="A67" s="38"/>
      <c r="B67" s="39"/>
      <c r="C67" s="40"/>
      <c r="D67" s="41"/>
      <c r="E67" s="42"/>
    </row>
    <row r="68" spans="1:5">
      <c r="A68" s="38"/>
      <c r="B68" s="39"/>
      <c r="C68" s="40"/>
      <c r="D68" s="41"/>
      <c r="E68" s="42"/>
    </row>
    <row r="69" spans="1:5">
      <c r="A69" s="38"/>
      <c r="B69" s="39"/>
      <c r="C69" s="40"/>
      <c r="D69" s="41"/>
      <c r="E69" s="42"/>
    </row>
    <row r="70" spans="1:5">
      <c r="A70" s="38"/>
      <c r="B70" s="39"/>
      <c r="C70" s="40"/>
      <c r="D70" s="41"/>
      <c r="E70" s="42"/>
    </row>
    <row r="71" spans="1:5">
      <c r="A71" s="38"/>
      <c r="B71" s="39"/>
      <c r="C71" s="40"/>
      <c r="D71" s="41"/>
      <c r="E71" s="42"/>
    </row>
    <row r="72" spans="1:5">
      <c r="A72" s="38"/>
      <c r="B72" s="39"/>
      <c r="C72" s="40"/>
      <c r="D72" s="41"/>
      <c r="E72" s="42"/>
    </row>
    <row r="73" spans="1:5">
      <c r="A73" s="38"/>
      <c r="B73" s="39"/>
      <c r="C73" s="40"/>
      <c r="D73" s="41"/>
      <c r="E73" s="42"/>
    </row>
    <row r="74" spans="1:5">
      <c r="A74" s="38"/>
      <c r="B74" s="39"/>
      <c r="C74" s="40"/>
      <c r="D74" s="41"/>
      <c r="E74" s="42"/>
    </row>
    <row r="75" spans="1:5">
      <c r="A75" s="38"/>
      <c r="B75" s="39"/>
      <c r="C75" s="40"/>
      <c r="D75" s="41"/>
      <c r="E75" s="42"/>
    </row>
    <row r="76" spans="1:5">
      <c r="A76" s="38"/>
      <c r="B76" s="39"/>
      <c r="C76" s="40"/>
      <c r="D76" s="41"/>
      <c r="E76" s="42"/>
    </row>
    <row r="77" spans="1:5">
      <c r="A77" s="38"/>
      <c r="B77" s="39"/>
      <c r="C77" s="40"/>
      <c r="D77" s="41"/>
      <c r="E77" s="42"/>
    </row>
    <row r="78" spans="1:5">
      <c r="A78" s="38"/>
      <c r="B78" s="39"/>
      <c r="C78" s="40"/>
      <c r="D78" s="41"/>
      <c r="E78" s="42"/>
    </row>
    <row r="79" spans="1:5">
      <c r="A79" s="38"/>
      <c r="B79" s="39"/>
      <c r="C79" s="40"/>
      <c r="D79" s="41"/>
      <c r="E79" s="42"/>
    </row>
    <row r="80" spans="1:5">
      <c r="A80" s="38"/>
      <c r="B80" s="39"/>
      <c r="C80" s="40"/>
      <c r="D80" s="41"/>
      <c r="E80" s="42"/>
    </row>
    <row r="81" spans="1:5">
      <c r="A81" s="38"/>
      <c r="B81" s="39"/>
      <c r="C81" s="40"/>
      <c r="D81" s="41"/>
      <c r="E81" s="42"/>
    </row>
    <row r="82" spans="1:5">
      <c r="A82" s="38"/>
      <c r="B82" s="39"/>
      <c r="C82" s="40"/>
      <c r="D82" s="41"/>
      <c r="E82" s="42"/>
    </row>
    <row r="83" spans="1:5">
      <c r="A83" s="38"/>
      <c r="B83" s="39"/>
      <c r="C83" s="40"/>
      <c r="D83" s="41"/>
      <c r="E83" s="42"/>
    </row>
    <row r="84" spans="1:5">
      <c r="A84" s="38"/>
      <c r="B84" s="39"/>
      <c r="C84" s="40"/>
      <c r="D84" s="41"/>
      <c r="E84" s="42"/>
    </row>
    <row r="85" spans="1:5">
      <c r="A85" s="38"/>
      <c r="B85" s="39"/>
      <c r="C85" s="40"/>
      <c r="D85" s="41"/>
      <c r="E85" s="42"/>
    </row>
    <row r="86" spans="1:5">
      <c r="A86" s="38"/>
      <c r="B86" s="39"/>
      <c r="C86" s="40"/>
      <c r="D86" s="41"/>
      <c r="E86" s="42"/>
    </row>
    <row r="87" spans="1:5">
      <c r="A87" s="38"/>
      <c r="B87" s="39"/>
      <c r="C87" s="40"/>
      <c r="D87" s="41"/>
      <c r="E87" s="42"/>
    </row>
    <row r="88" spans="1:5">
      <c r="A88" s="38"/>
      <c r="B88" s="39"/>
      <c r="C88" s="40"/>
      <c r="D88" s="41"/>
      <c r="E88" s="42"/>
    </row>
    <row r="89" spans="1:5">
      <c r="A89" s="38"/>
      <c r="B89" s="39"/>
      <c r="C89" s="40"/>
      <c r="D89" s="41"/>
      <c r="E89" s="42"/>
    </row>
    <row r="90" spans="1:5">
      <c r="A90" s="38"/>
      <c r="B90" s="39"/>
      <c r="C90" s="40"/>
      <c r="D90" s="41"/>
      <c r="E90" s="42"/>
    </row>
    <row r="91" spans="1:5">
      <c r="A91" s="38"/>
      <c r="B91" s="39"/>
      <c r="C91" s="40"/>
      <c r="D91" s="41"/>
      <c r="E91" s="42"/>
    </row>
    <row r="92" spans="1:5">
      <c r="A92" s="38"/>
      <c r="B92" s="39"/>
      <c r="C92" s="40"/>
      <c r="D92" s="41"/>
      <c r="E92" s="42"/>
    </row>
    <row r="93" spans="1:5">
      <c r="A93" s="38"/>
      <c r="B93" s="39"/>
      <c r="C93" s="40"/>
      <c r="D93" s="41"/>
      <c r="E93" s="42"/>
    </row>
    <row r="94" spans="1:5">
      <c r="A94" s="38"/>
      <c r="B94" s="39"/>
      <c r="C94" s="40"/>
      <c r="D94" s="41"/>
      <c r="E94" s="42"/>
    </row>
    <row r="95" spans="1:5">
      <c r="A95" s="38"/>
      <c r="B95" s="39"/>
      <c r="C95" s="40"/>
      <c r="D95" s="41"/>
      <c r="E95" s="42"/>
    </row>
    <row r="96" spans="1:5">
      <c r="A96" s="38"/>
      <c r="B96" s="39"/>
      <c r="C96" s="40"/>
      <c r="D96" s="41"/>
      <c r="E96" s="42"/>
    </row>
    <row r="97" spans="1:5">
      <c r="A97" s="38"/>
      <c r="B97" s="39"/>
      <c r="C97" s="40"/>
      <c r="D97" s="41"/>
      <c r="E97" s="42"/>
    </row>
    <row r="98" spans="1:5">
      <c r="A98" s="38"/>
      <c r="B98" s="39"/>
      <c r="C98" s="40"/>
      <c r="D98" s="41"/>
      <c r="E98" s="42"/>
    </row>
    <row r="99" spans="1:5">
      <c r="A99" s="38"/>
      <c r="B99" s="39"/>
      <c r="C99" s="40"/>
      <c r="D99" s="41"/>
      <c r="E99" s="42"/>
    </row>
    <row r="100" spans="1:5">
      <c r="A100" s="38"/>
      <c r="B100" s="39"/>
      <c r="C100" s="40"/>
      <c r="D100" s="41"/>
      <c r="E100" s="42"/>
    </row>
    <row r="101" spans="1:5">
      <c r="A101" s="38"/>
      <c r="B101" s="39"/>
      <c r="C101" s="40"/>
      <c r="D101" s="41"/>
      <c r="E101" s="42"/>
    </row>
    <row r="102" spans="1:5">
      <c r="A102" s="38"/>
      <c r="B102" s="39"/>
      <c r="C102" s="40"/>
      <c r="D102" s="41"/>
      <c r="E102" s="42"/>
    </row>
    <row r="103" spans="1:5">
      <c r="A103" s="38"/>
      <c r="B103" s="39"/>
      <c r="C103" s="40"/>
      <c r="D103" s="41"/>
      <c r="E103" s="42"/>
    </row>
    <row r="104" spans="1:5">
      <c r="A104" s="38"/>
      <c r="B104" s="39"/>
      <c r="C104" s="40"/>
      <c r="D104" s="41"/>
      <c r="E104" s="42"/>
    </row>
    <row r="105" spans="1:5">
      <c r="A105" s="38"/>
      <c r="B105" s="39"/>
      <c r="C105" s="40"/>
      <c r="D105" s="41"/>
      <c r="E105" s="42"/>
    </row>
    <row r="106" spans="1:5">
      <c r="A106" s="38"/>
      <c r="B106" s="39"/>
      <c r="C106" s="40"/>
      <c r="D106" s="41"/>
      <c r="E106" s="42"/>
    </row>
    <row r="107" spans="1:5">
      <c r="A107" s="38"/>
      <c r="B107" s="39"/>
      <c r="C107" s="40"/>
      <c r="D107" s="41"/>
      <c r="E107" s="42"/>
    </row>
    <row r="108" spans="1:5">
      <c r="A108" s="38"/>
      <c r="B108" s="39"/>
      <c r="C108" s="40"/>
      <c r="D108" s="41"/>
      <c r="E108" s="42"/>
    </row>
    <row r="109" spans="1:5">
      <c r="A109" s="38"/>
      <c r="B109" s="39"/>
      <c r="C109" s="40"/>
      <c r="D109" s="41"/>
      <c r="E109" s="42"/>
    </row>
    <row r="110" spans="1:5">
      <c r="A110" s="38"/>
      <c r="B110" s="39"/>
      <c r="C110" s="40"/>
      <c r="D110" s="41"/>
      <c r="E110" s="42"/>
    </row>
    <row r="111" spans="1:5">
      <c r="A111" s="38"/>
      <c r="B111" s="39"/>
      <c r="C111" s="40"/>
      <c r="D111" s="41"/>
      <c r="E111" s="42"/>
    </row>
    <row r="112" spans="1:5">
      <c r="A112" s="38"/>
      <c r="B112" s="39"/>
      <c r="C112" s="40"/>
      <c r="D112" s="41"/>
      <c r="E112" s="42"/>
    </row>
    <row r="113" spans="1:5">
      <c r="A113" s="38"/>
      <c r="B113" s="39"/>
      <c r="C113" s="40"/>
      <c r="D113" s="41"/>
      <c r="E113" s="42"/>
    </row>
    <row r="114" spans="1:5">
      <c r="A114" s="38"/>
      <c r="B114" s="39"/>
      <c r="C114" s="40"/>
      <c r="D114" s="41"/>
      <c r="E114" s="42"/>
    </row>
    <row r="115" spans="1:5">
      <c r="A115" s="38"/>
      <c r="B115" s="39"/>
      <c r="C115" s="40"/>
      <c r="D115" s="41"/>
      <c r="E115" s="42"/>
    </row>
    <row r="116" spans="1:5">
      <c r="A116" s="38"/>
      <c r="B116" s="39"/>
      <c r="C116" s="40"/>
      <c r="D116" s="41"/>
      <c r="E116" s="42"/>
    </row>
    <row r="117" spans="1:5">
      <c r="A117" s="38"/>
      <c r="B117" s="39"/>
      <c r="C117" s="40"/>
      <c r="D117" s="41"/>
      <c r="E117" s="42"/>
    </row>
    <row r="118" spans="1:5">
      <c r="A118" s="38"/>
      <c r="B118" s="39"/>
      <c r="C118" s="40"/>
      <c r="D118" s="41"/>
      <c r="E118" s="42"/>
    </row>
    <row r="119" spans="1:5">
      <c r="A119" s="38"/>
      <c r="B119" s="39"/>
      <c r="C119" s="40"/>
      <c r="D119" s="41"/>
      <c r="E119" s="42"/>
    </row>
    <row r="120" spans="1:5">
      <c r="A120" s="38"/>
      <c r="B120" s="39"/>
      <c r="C120" s="40"/>
      <c r="D120" s="41"/>
      <c r="E120" s="42"/>
    </row>
    <row r="121" spans="1:5">
      <c r="A121" s="38"/>
      <c r="B121" s="39"/>
      <c r="C121" s="40"/>
      <c r="D121" s="41"/>
      <c r="E121" s="42"/>
    </row>
    <row r="122" spans="1:5">
      <c r="A122" s="38"/>
      <c r="B122" s="39"/>
      <c r="C122" s="40"/>
      <c r="D122" s="41"/>
      <c r="E122" s="42"/>
    </row>
    <row r="123" spans="1:5">
      <c r="A123" s="38"/>
      <c r="B123" s="39"/>
      <c r="C123" s="40"/>
      <c r="D123" s="41"/>
      <c r="E123" s="42"/>
    </row>
    <row r="124" spans="1:5">
      <c r="A124" s="38"/>
      <c r="B124" s="39"/>
      <c r="C124" s="40"/>
      <c r="D124" s="41"/>
      <c r="E124" s="42"/>
    </row>
    <row r="125" spans="1:5">
      <c r="A125" s="38"/>
      <c r="B125" s="39"/>
      <c r="C125" s="40"/>
      <c r="D125" s="41"/>
      <c r="E125" s="42"/>
    </row>
    <row r="126" spans="1:5">
      <c r="A126" s="38"/>
      <c r="B126" s="39"/>
      <c r="C126" s="40"/>
      <c r="D126" s="41"/>
      <c r="E126" s="42"/>
    </row>
    <row r="127" spans="1:5">
      <c r="A127" s="38"/>
      <c r="B127" s="39"/>
      <c r="C127" s="40"/>
      <c r="D127" s="41"/>
      <c r="E127" s="42"/>
    </row>
    <row r="128" spans="1:5">
      <c r="A128" s="38"/>
      <c r="B128" s="39"/>
      <c r="C128" s="40"/>
      <c r="D128" s="41"/>
      <c r="E128" s="42"/>
    </row>
    <row r="129" spans="1:5">
      <c r="A129" s="38"/>
      <c r="B129" s="39"/>
      <c r="C129" s="40"/>
      <c r="D129" s="41"/>
      <c r="E129" s="42"/>
    </row>
    <row r="130" spans="1:5">
      <c r="A130" s="38"/>
      <c r="B130" s="39"/>
      <c r="C130" s="40"/>
      <c r="D130" s="41"/>
      <c r="E130" s="42"/>
    </row>
    <row r="131" spans="1:5">
      <c r="A131" s="38"/>
      <c r="B131" s="39"/>
      <c r="C131" s="40"/>
      <c r="D131" s="41"/>
      <c r="E131" s="42"/>
    </row>
    <row r="132" spans="1:5">
      <c r="A132" s="38"/>
      <c r="B132" s="39"/>
      <c r="C132" s="40"/>
      <c r="D132" s="41"/>
      <c r="E132" s="42"/>
    </row>
    <row r="133" spans="1:5">
      <c r="A133" s="38"/>
      <c r="B133" s="39"/>
      <c r="C133" s="40"/>
      <c r="D133" s="41"/>
      <c r="E133" s="42"/>
    </row>
    <row r="134" spans="1:5">
      <c r="A134" s="38"/>
      <c r="B134" s="39"/>
      <c r="C134" s="40"/>
      <c r="D134" s="41"/>
      <c r="E134" s="42"/>
    </row>
    <row r="135" spans="1:5">
      <c r="A135" s="38"/>
      <c r="B135" s="39"/>
      <c r="C135" s="40"/>
      <c r="D135" s="41"/>
      <c r="E135" s="42"/>
    </row>
    <row r="136" spans="1:5">
      <c r="A136" s="38"/>
      <c r="B136" s="39"/>
      <c r="C136" s="40"/>
      <c r="D136" s="41"/>
      <c r="E136" s="42"/>
    </row>
    <row r="137" spans="1:5">
      <c r="A137" s="38"/>
      <c r="B137" s="39"/>
      <c r="C137" s="40"/>
      <c r="D137" s="41"/>
      <c r="E137" s="42"/>
    </row>
    <row r="138" spans="1:5">
      <c r="A138" s="38"/>
      <c r="B138" s="39"/>
      <c r="C138" s="40"/>
      <c r="D138" s="41"/>
      <c r="E138" s="42"/>
    </row>
    <row r="139" spans="1:5">
      <c r="A139" s="38"/>
      <c r="B139" s="39"/>
      <c r="C139" s="40"/>
      <c r="D139" s="41"/>
      <c r="E139" s="42"/>
    </row>
    <row r="140" spans="1:5">
      <c r="A140" s="38"/>
      <c r="B140" s="39"/>
      <c r="C140" s="40"/>
      <c r="D140" s="41"/>
      <c r="E140" s="42"/>
    </row>
    <row r="141" spans="1:5">
      <c r="A141" s="38"/>
      <c r="B141" s="39"/>
      <c r="C141" s="40"/>
      <c r="D141" s="41"/>
      <c r="E141" s="42"/>
    </row>
    <row r="142" spans="1:5">
      <c r="A142" s="38"/>
      <c r="B142" s="39"/>
      <c r="C142" s="40"/>
      <c r="D142" s="41"/>
      <c r="E142" s="42"/>
    </row>
    <row r="143" spans="1:5">
      <c r="A143" s="38"/>
      <c r="B143" s="39"/>
      <c r="C143" s="40"/>
      <c r="D143" s="41"/>
      <c r="E143" s="42"/>
    </row>
    <row r="144" spans="1:5">
      <c r="A144" s="38"/>
      <c r="B144" s="39"/>
      <c r="C144" s="40"/>
      <c r="D144" s="41"/>
      <c r="E144" s="42"/>
    </row>
    <row r="145" spans="1:5">
      <c r="A145" s="38"/>
      <c r="B145" s="39"/>
      <c r="C145" s="40"/>
      <c r="D145" s="41"/>
      <c r="E145" s="42"/>
    </row>
    <row r="146" spans="1:5">
      <c r="A146" s="38"/>
      <c r="B146" s="39"/>
      <c r="C146" s="40"/>
      <c r="D146" s="41"/>
      <c r="E146" s="42"/>
    </row>
    <row r="147" spans="1:5">
      <c r="A147" s="38"/>
      <c r="B147" s="39"/>
      <c r="C147" s="40"/>
      <c r="D147" s="41"/>
      <c r="E147" s="42"/>
    </row>
    <row r="148" spans="1:5">
      <c r="A148" s="38"/>
      <c r="B148" s="39"/>
      <c r="C148" s="40"/>
      <c r="D148" s="41"/>
      <c r="E148" s="42"/>
    </row>
    <row r="149" spans="1:5">
      <c r="A149" s="38"/>
      <c r="B149" s="39"/>
      <c r="C149" s="40"/>
      <c r="D149" s="41"/>
      <c r="E149" s="42"/>
    </row>
    <row r="150" spans="1:5">
      <c r="A150" s="38"/>
      <c r="B150" s="39"/>
      <c r="C150" s="40"/>
      <c r="D150" s="41"/>
      <c r="E150" s="42"/>
    </row>
    <row r="151" spans="1:5">
      <c r="A151" s="38"/>
      <c r="B151" s="39"/>
      <c r="C151" s="40"/>
      <c r="D151" s="41"/>
      <c r="E151" s="42"/>
    </row>
    <row r="152" spans="1:5">
      <c r="A152" s="38"/>
      <c r="B152" s="39"/>
      <c r="C152" s="40"/>
      <c r="D152" s="41"/>
      <c r="E152" s="42"/>
    </row>
    <row r="153" spans="1:5">
      <c r="A153" s="38"/>
      <c r="B153" s="39"/>
      <c r="C153" s="40"/>
      <c r="D153" s="41"/>
      <c r="E153" s="42"/>
    </row>
    <row r="154" spans="1:5">
      <c r="A154" s="38"/>
      <c r="B154" s="39"/>
      <c r="C154" s="40"/>
      <c r="D154" s="41"/>
      <c r="E154" s="42"/>
    </row>
    <row r="155" spans="1:5">
      <c r="A155" s="38"/>
      <c r="B155" s="39"/>
      <c r="C155" s="40"/>
      <c r="D155" s="41"/>
      <c r="E155" s="42"/>
    </row>
    <row r="156" spans="1:5">
      <c r="A156" s="38"/>
      <c r="B156" s="39"/>
      <c r="C156" s="40"/>
      <c r="D156" s="41"/>
      <c r="E156" s="42"/>
    </row>
    <row r="157" spans="1:5">
      <c r="A157" s="38"/>
      <c r="B157" s="39"/>
      <c r="C157" s="40"/>
      <c r="D157" s="41"/>
      <c r="E157" s="42"/>
    </row>
    <row r="158" spans="1:5">
      <c r="A158" s="38"/>
      <c r="B158" s="39"/>
      <c r="C158" s="40"/>
      <c r="D158" s="41"/>
      <c r="E158" s="42"/>
    </row>
    <row r="159" spans="1:5">
      <c r="A159" s="38"/>
      <c r="B159" s="39"/>
      <c r="C159" s="40"/>
      <c r="D159" s="41"/>
      <c r="E159" s="42"/>
    </row>
    <row r="160" spans="1:5">
      <c r="A160" s="38"/>
      <c r="B160" s="39"/>
      <c r="C160" s="40"/>
      <c r="D160" s="41"/>
      <c r="E160" s="42"/>
    </row>
    <row r="161" spans="1:5">
      <c r="A161" s="38"/>
      <c r="B161" s="39"/>
      <c r="C161" s="40"/>
      <c r="D161" s="41"/>
      <c r="E161" s="42"/>
    </row>
    <row r="162" spans="1:5">
      <c r="A162" s="38"/>
      <c r="B162" s="39"/>
      <c r="C162" s="40"/>
      <c r="D162" s="41"/>
      <c r="E162" s="42"/>
    </row>
    <row r="163" spans="1:5">
      <c r="A163" s="38"/>
      <c r="B163" s="39"/>
      <c r="C163" s="40"/>
      <c r="D163" s="41"/>
      <c r="E163" s="42"/>
    </row>
    <row r="164" spans="1:5">
      <c r="A164" s="38"/>
      <c r="B164" s="39"/>
      <c r="C164" s="40"/>
      <c r="D164" s="41"/>
      <c r="E164" s="42"/>
    </row>
    <row r="165" spans="1:5">
      <c r="A165" s="38"/>
      <c r="B165" s="39"/>
      <c r="C165" s="40"/>
      <c r="D165" s="41"/>
      <c r="E165" s="42"/>
    </row>
    <row r="166" spans="1:5">
      <c r="A166" s="38"/>
      <c r="B166" s="39"/>
      <c r="C166" s="40"/>
      <c r="D166" s="41"/>
      <c r="E166" s="42"/>
    </row>
    <row r="167" spans="1:5">
      <c r="A167" s="38"/>
      <c r="B167" s="39"/>
      <c r="C167" s="40"/>
      <c r="D167" s="41"/>
      <c r="E167" s="42"/>
    </row>
    <row r="168" spans="1:5">
      <c r="A168" s="38"/>
      <c r="B168" s="39"/>
      <c r="C168" s="40"/>
      <c r="D168" s="41"/>
      <c r="E168" s="42"/>
    </row>
    <row r="169" spans="1:5">
      <c r="A169" s="38"/>
      <c r="B169" s="39"/>
      <c r="C169" s="40"/>
      <c r="D169" s="41"/>
      <c r="E169" s="42"/>
    </row>
    <row r="170" spans="1:5">
      <c r="A170" s="38"/>
      <c r="B170" s="39"/>
      <c r="C170" s="40"/>
      <c r="D170" s="41"/>
      <c r="E170" s="42"/>
    </row>
    <row r="171" spans="1:5">
      <c r="A171" s="38"/>
      <c r="B171" s="39"/>
      <c r="C171" s="40"/>
      <c r="D171" s="41"/>
      <c r="E171" s="42"/>
    </row>
    <row r="172" spans="1:5">
      <c r="A172" s="38"/>
      <c r="B172" s="39"/>
      <c r="C172" s="40"/>
      <c r="D172" s="41"/>
      <c r="E172" s="42"/>
    </row>
    <row r="173" spans="1:5">
      <c r="A173" s="38"/>
      <c r="B173" s="39"/>
      <c r="C173" s="40"/>
      <c r="D173" s="41"/>
      <c r="E173" s="42"/>
    </row>
    <row r="174" spans="1:5">
      <c r="A174" s="38"/>
      <c r="B174" s="39"/>
      <c r="C174" s="40"/>
      <c r="D174" s="41"/>
      <c r="E174" s="42"/>
    </row>
    <row r="175" spans="1:5">
      <c r="A175" s="38"/>
      <c r="B175" s="39"/>
      <c r="C175" s="40"/>
      <c r="D175" s="41"/>
      <c r="E175" s="42"/>
    </row>
    <row r="176" spans="1:5">
      <c r="A176" s="38"/>
      <c r="B176" s="39"/>
      <c r="C176" s="40"/>
      <c r="D176" s="41"/>
      <c r="E176" s="42"/>
    </row>
    <row r="177" spans="1:5">
      <c r="A177" s="38"/>
      <c r="B177" s="39"/>
      <c r="C177" s="40"/>
      <c r="D177" s="41"/>
      <c r="E177" s="42"/>
    </row>
    <row r="178" spans="1:5">
      <c r="A178" s="38"/>
      <c r="B178" s="39"/>
      <c r="C178" s="40"/>
      <c r="D178" s="41"/>
      <c r="E178" s="42"/>
    </row>
    <row r="179" spans="1:5">
      <c r="A179" s="38"/>
      <c r="B179" s="39"/>
      <c r="C179" s="40"/>
      <c r="E179" s="42"/>
    </row>
    <row r="180" spans="1:5">
      <c r="C180" s="13"/>
      <c r="E180" s="13"/>
    </row>
    <row r="181" spans="1:5">
      <c r="C181" s="13"/>
      <c r="E181" s="13"/>
    </row>
    <row r="182" spans="1:5">
      <c r="C182" s="13"/>
      <c r="E182" s="13"/>
    </row>
    <row r="183" spans="1:5">
      <c r="C183" s="13"/>
      <c r="E183" s="13"/>
    </row>
    <row r="184" spans="1:5">
      <c r="C184" s="13"/>
      <c r="E184" s="13"/>
    </row>
    <row r="185" spans="1:5">
      <c r="C185" s="13"/>
      <c r="E185" s="13"/>
    </row>
    <row r="186" spans="1:5">
      <c r="C186" s="13"/>
      <c r="E186" s="13"/>
    </row>
    <row r="187" spans="1:5">
      <c r="C187" s="13"/>
      <c r="E187" s="13"/>
    </row>
    <row r="188" spans="1:5">
      <c r="C188" s="13"/>
      <c r="E188" s="13"/>
    </row>
    <row r="189" spans="1:5">
      <c r="C189" s="13"/>
      <c r="E189" s="13"/>
    </row>
    <row r="190" spans="1:5">
      <c r="C190" s="13"/>
      <c r="E190" s="13"/>
    </row>
    <row r="191" spans="1:5">
      <c r="C191" s="13"/>
      <c r="E191" s="13"/>
    </row>
    <row r="192" spans="1:5">
      <c r="C192" s="13"/>
      <c r="E192" s="13"/>
    </row>
    <row r="193" spans="3:5">
      <c r="C193" s="13"/>
      <c r="E193" s="13"/>
    </row>
    <row r="194" spans="3:5">
      <c r="C194" s="13"/>
      <c r="E194" s="13"/>
    </row>
    <row r="195" spans="3:5">
      <c r="C195" s="13"/>
      <c r="E195" s="13"/>
    </row>
    <row r="196" spans="3:5">
      <c r="C196" s="13"/>
      <c r="E196" s="13"/>
    </row>
    <row r="197" spans="3:5">
      <c r="C197" s="13"/>
      <c r="E197" s="13"/>
    </row>
    <row r="198" spans="3:5">
      <c r="C198" s="13"/>
      <c r="E198" s="13"/>
    </row>
    <row r="199" spans="3:5">
      <c r="C199" s="13"/>
      <c r="E199" s="13"/>
    </row>
    <row r="200" spans="3:5">
      <c r="C200" s="13"/>
      <c r="E200" s="13"/>
    </row>
    <row r="201" spans="3:5">
      <c r="C201" s="13"/>
      <c r="E201" s="13"/>
    </row>
    <row r="202" spans="3:5">
      <c r="C202" s="13"/>
      <c r="E202" s="13"/>
    </row>
    <row r="203" spans="3:5">
      <c r="C203" s="13"/>
      <c r="E203" s="13"/>
    </row>
    <row r="204" spans="3:5">
      <c r="C204" s="13"/>
      <c r="E204" s="13"/>
    </row>
    <row r="205" spans="3:5">
      <c r="C205" s="13"/>
      <c r="E205" s="13"/>
    </row>
    <row r="206" spans="3:5">
      <c r="C206" s="13"/>
      <c r="E206" s="13"/>
    </row>
    <row r="207" spans="3:5">
      <c r="C207" s="13"/>
      <c r="E207" s="13"/>
    </row>
    <row r="208" spans="3:5">
      <c r="C208" s="13"/>
      <c r="E208" s="13"/>
    </row>
    <row r="209" spans="3:5">
      <c r="C209" s="13"/>
      <c r="E209" s="13"/>
    </row>
    <row r="210" spans="3:5">
      <c r="C210" s="13"/>
      <c r="E210" s="13"/>
    </row>
    <row r="211" spans="3:5">
      <c r="C211" s="13"/>
      <c r="E211" s="13"/>
    </row>
    <row r="212" spans="3:5">
      <c r="C212" s="13"/>
      <c r="E212" s="13"/>
    </row>
    <row r="213" spans="3:5">
      <c r="C213" s="13"/>
      <c r="E213" s="13"/>
    </row>
    <row r="214" spans="3:5">
      <c r="C214" s="13"/>
      <c r="E214" s="13"/>
    </row>
    <row r="215" spans="3:5">
      <c r="C215" s="13"/>
      <c r="E215" s="13"/>
    </row>
    <row r="216" spans="3:5">
      <c r="C216" s="13"/>
      <c r="E216" s="13"/>
    </row>
    <row r="217" spans="3:5">
      <c r="C217" s="13"/>
      <c r="E217" s="13"/>
    </row>
    <row r="218" spans="3:5">
      <c r="C218" s="13"/>
      <c r="E218" s="13"/>
    </row>
    <row r="219" spans="3:5">
      <c r="C219" s="13"/>
      <c r="E219" s="13"/>
    </row>
    <row r="220" spans="3:5">
      <c r="C220" s="13"/>
      <c r="E220" s="13"/>
    </row>
    <row r="221" spans="3:5">
      <c r="C221" s="13"/>
      <c r="E221" s="13"/>
    </row>
    <row r="222" spans="3:5">
      <c r="C222" s="13"/>
      <c r="E222" s="13"/>
    </row>
    <row r="223" spans="3:5">
      <c r="C223" s="13"/>
      <c r="E223" s="13"/>
    </row>
    <row r="224" spans="3:5">
      <c r="C224" s="13"/>
      <c r="E224" s="13"/>
    </row>
    <row r="225" spans="3:5">
      <c r="C225" s="13"/>
      <c r="E225" s="13"/>
    </row>
    <row r="226" spans="3:5">
      <c r="C226" s="13"/>
      <c r="E226" s="13"/>
    </row>
    <row r="227" spans="3:5">
      <c r="C227" s="13"/>
      <c r="E227" s="13"/>
    </row>
    <row r="228" spans="3:5">
      <c r="C228" s="13"/>
      <c r="E228" s="13"/>
    </row>
    <row r="229" spans="3:5">
      <c r="C229" s="13"/>
      <c r="E229" s="13"/>
    </row>
    <row r="230" spans="3:5">
      <c r="C230" s="13"/>
      <c r="E230" s="13"/>
    </row>
    <row r="231" spans="3:5">
      <c r="C231" s="13"/>
      <c r="E231" s="13"/>
    </row>
    <row r="232" spans="3:5">
      <c r="C232" s="13"/>
      <c r="E232" s="13"/>
    </row>
    <row r="233" spans="3:5">
      <c r="C233" s="13"/>
      <c r="E233" s="13"/>
    </row>
    <row r="234" spans="3:5">
      <c r="C234" s="13"/>
      <c r="E234" s="13"/>
    </row>
    <row r="235" spans="3:5">
      <c r="C235" s="13"/>
      <c r="E235" s="13"/>
    </row>
    <row r="236" spans="3:5">
      <c r="C236" s="13"/>
      <c r="E236" s="13"/>
    </row>
    <row r="237" spans="3:5">
      <c r="C237" s="13"/>
      <c r="E237" s="13"/>
    </row>
    <row r="238" spans="3:5">
      <c r="C238" s="13"/>
      <c r="E238" s="13"/>
    </row>
    <row r="239" spans="3:5">
      <c r="C239" s="13"/>
      <c r="E239" s="13"/>
    </row>
    <row r="240" spans="3:5">
      <c r="C240" s="13"/>
      <c r="E240" s="13"/>
    </row>
    <row r="241" spans="3:5">
      <c r="C241" s="13"/>
      <c r="E241" s="13"/>
    </row>
    <row r="242" spans="3:5">
      <c r="C242" s="13"/>
      <c r="E242" s="13"/>
    </row>
    <row r="243" spans="3:5">
      <c r="C243" s="13"/>
      <c r="E243" s="13"/>
    </row>
    <row r="244" spans="3:5">
      <c r="C244" s="13"/>
      <c r="E244" s="13"/>
    </row>
    <row r="245" spans="3:5">
      <c r="C245" s="13"/>
      <c r="E245" s="13"/>
    </row>
    <row r="246" spans="3:5">
      <c r="C246" s="13"/>
    </row>
    <row r="247" spans="3:5">
      <c r="C247" s="13"/>
    </row>
    <row r="248" spans="3:5">
      <c r="C248" s="13"/>
    </row>
    <row r="249" spans="3:5">
      <c r="C249" s="13"/>
    </row>
    <row r="250" spans="3:5">
      <c r="C250" s="13"/>
    </row>
    <row r="251" spans="3:5">
      <c r="C251" s="13"/>
    </row>
    <row r="252" spans="3:5">
      <c r="C252" s="13"/>
    </row>
    <row r="253" spans="3:5">
      <c r="C253" s="13"/>
    </row>
    <row r="254" spans="3:5">
      <c r="C254" s="13"/>
    </row>
    <row r="255" spans="3:5">
      <c r="C255" s="13"/>
    </row>
    <row r="256" spans="3:5">
      <c r="C256" s="13"/>
    </row>
    <row r="257" spans="3:3">
      <c r="C257" s="13"/>
    </row>
    <row r="258" spans="3:3">
      <c r="C258" s="13"/>
    </row>
    <row r="259" spans="3:3">
      <c r="C259" s="13"/>
    </row>
    <row r="260" spans="3:3">
      <c r="C260" s="13"/>
    </row>
    <row r="261" spans="3:3">
      <c r="C261" s="13"/>
    </row>
    <row r="262" spans="3:3">
      <c r="C262" s="13"/>
    </row>
    <row r="263" spans="3:3">
      <c r="C263" s="13"/>
    </row>
    <row r="264" spans="3:3">
      <c r="C264" s="13"/>
    </row>
    <row r="265" spans="3:3">
      <c r="C265" s="13"/>
    </row>
    <row r="266" spans="3:3">
      <c r="C266" s="13"/>
    </row>
    <row r="267" spans="3:3">
      <c r="C267" s="13"/>
    </row>
    <row r="268" spans="3:3">
      <c r="C268" s="13"/>
    </row>
    <row r="269" spans="3:3">
      <c r="C269" s="13"/>
    </row>
    <row r="270" spans="3:3">
      <c r="C270" s="13"/>
    </row>
    <row r="271" spans="3:3">
      <c r="C271" s="13"/>
    </row>
    <row r="272" spans="3:3">
      <c r="C272" s="13"/>
    </row>
    <row r="273" spans="3:3">
      <c r="C273" s="13"/>
    </row>
    <row r="274" spans="3:3">
      <c r="C274" s="13"/>
    </row>
    <row r="275" spans="3:3">
      <c r="C275" s="13"/>
    </row>
    <row r="276" spans="3:3">
      <c r="C276" s="13"/>
    </row>
    <row r="277" spans="3:3">
      <c r="C277" s="13"/>
    </row>
    <row r="278" spans="3:3">
      <c r="C278" s="13"/>
    </row>
    <row r="279" spans="3:3">
      <c r="C279" s="13"/>
    </row>
    <row r="280" spans="3:3">
      <c r="C280" s="13"/>
    </row>
    <row r="281" spans="3:3">
      <c r="C281" s="13"/>
    </row>
    <row r="282" spans="3:3">
      <c r="C282" s="13"/>
    </row>
    <row r="283" spans="3:3">
      <c r="C283" s="13"/>
    </row>
    <row r="284" spans="3:3">
      <c r="C284" s="13"/>
    </row>
    <row r="285" spans="3:3">
      <c r="C285" s="13"/>
    </row>
    <row r="286" spans="3:3">
      <c r="C286" s="13"/>
    </row>
    <row r="287" spans="3:3">
      <c r="C287" s="13"/>
    </row>
    <row r="288" spans="3:3">
      <c r="C288" s="13"/>
    </row>
    <row r="289" spans="3:3">
      <c r="C289" s="13"/>
    </row>
    <row r="290" spans="3:3">
      <c r="C290" s="13"/>
    </row>
    <row r="291" spans="3:3">
      <c r="C291" s="13"/>
    </row>
    <row r="292" spans="3:3">
      <c r="C292" s="13"/>
    </row>
    <row r="293" spans="3:3">
      <c r="C293" s="13"/>
    </row>
    <row r="294" spans="3:3">
      <c r="C294" s="13"/>
    </row>
    <row r="295" spans="3:3">
      <c r="C295" s="13"/>
    </row>
    <row r="296" spans="3:3">
      <c r="C296" s="13"/>
    </row>
    <row r="297" spans="3:3">
      <c r="C297" s="13"/>
    </row>
    <row r="298" spans="3:3">
      <c r="C298" s="13"/>
    </row>
    <row r="299" spans="3:3">
      <c r="C299" s="13"/>
    </row>
    <row r="300" spans="3:3">
      <c r="C300" s="13"/>
    </row>
    <row r="301" spans="3:3">
      <c r="C301" s="13"/>
    </row>
    <row r="302" spans="3:3">
      <c r="C302" s="13"/>
    </row>
    <row r="303" spans="3:3">
      <c r="C303" s="13"/>
    </row>
    <row r="304" spans="3:3">
      <c r="C304" s="13"/>
    </row>
    <row r="305" spans="3:3">
      <c r="C305" s="13"/>
    </row>
    <row r="306" spans="3:3">
      <c r="C306" s="13"/>
    </row>
    <row r="307" spans="3:3">
      <c r="C307" s="13"/>
    </row>
    <row r="308" spans="3:3">
      <c r="C308" s="13"/>
    </row>
    <row r="309" spans="3:3">
      <c r="C309" s="13"/>
    </row>
    <row r="310" spans="3:3">
      <c r="C310" s="13"/>
    </row>
    <row r="311" spans="3:3">
      <c r="C311" s="13"/>
    </row>
    <row r="312" spans="3:3">
      <c r="C312" s="13"/>
    </row>
    <row r="313" spans="3:3">
      <c r="C313" s="13"/>
    </row>
    <row r="314" spans="3:3">
      <c r="C314" s="13"/>
    </row>
    <row r="315" spans="3:3">
      <c r="C315" s="13"/>
    </row>
    <row r="316" spans="3:3">
      <c r="C316" s="13"/>
    </row>
    <row r="317" spans="3:3">
      <c r="C317" s="13"/>
    </row>
    <row r="318" spans="3:3">
      <c r="C318" s="13"/>
    </row>
    <row r="319" spans="3:3">
      <c r="C319" s="13"/>
    </row>
    <row r="320" spans="3:3">
      <c r="C320" s="13"/>
    </row>
    <row r="321" spans="3:3">
      <c r="C321" s="13"/>
    </row>
    <row r="322" spans="3:3">
      <c r="C322" s="13"/>
    </row>
    <row r="323" spans="3:3">
      <c r="C323" s="13"/>
    </row>
    <row r="324" spans="3:3">
      <c r="C324" s="13"/>
    </row>
    <row r="325" spans="3:3">
      <c r="C325" s="13"/>
    </row>
    <row r="326" spans="3:3">
      <c r="C326" s="13"/>
    </row>
    <row r="327" spans="3:3">
      <c r="C327" s="13"/>
    </row>
    <row r="328" spans="3:3">
      <c r="C328" s="13"/>
    </row>
    <row r="329" spans="3:3">
      <c r="C329" s="13"/>
    </row>
    <row r="330" spans="3:3">
      <c r="C330" s="13"/>
    </row>
    <row r="331" spans="3:3">
      <c r="C331" s="13"/>
    </row>
    <row r="332" spans="3:3">
      <c r="C332" s="13"/>
    </row>
    <row r="333" spans="3:3">
      <c r="C333" s="13"/>
    </row>
    <row r="334" spans="3:3">
      <c r="C334" s="13"/>
    </row>
    <row r="335" spans="3:3">
      <c r="C335" s="13"/>
    </row>
    <row r="336" spans="3:3">
      <c r="C336" s="13"/>
    </row>
    <row r="337" spans="3:3">
      <c r="C337" s="13"/>
    </row>
    <row r="338" spans="3:3">
      <c r="C338" s="13"/>
    </row>
    <row r="339" spans="3:3">
      <c r="C339" s="13"/>
    </row>
    <row r="340" spans="3:3">
      <c r="C340" s="13"/>
    </row>
    <row r="341" spans="3:3">
      <c r="C341" s="13"/>
    </row>
    <row r="342" spans="3:3">
      <c r="C342" s="13"/>
    </row>
    <row r="343" spans="3:3">
      <c r="C343" s="13"/>
    </row>
    <row r="344" spans="3:3">
      <c r="C344" s="13"/>
    </row>
    <row r="345" spans="3:3">
      <c r="C345" s="13"/>
    </row>
    <row r="346" spans="3:3">
      <c r="C346" s="13"/>
    </row>
    <row r="347" spans="3:3">
      <c r="C347" s="13"/>
    </row>
    <row r="348" spans="3:3">
      <c r="C348" s="13"/>
    </row>
    <row r="349" spans="3:3">
      <c r="C349" s="13"/>
    </row>
    <row r="350" spans="3:3">
      <c r="C350" s="13"/>
    </row>
    <row r="351" spans="3:3">
      <c r="C351" s="13"/>
    </row>
    <row r="352" spans="3:3">
      <c r="C352" s="13"/>
    </row>
    <row r="353" spans="3:3">
      <c r="C353" s="13"/>
    </row>
    <row r="354" spans="3:3">
      <c r="C354" s="13"/>
    </row>
    <row r="355" spans="3:3">
      <c r="C355" s="13"/>
    </row>
    <row r="356" spans="3:3">
      <c r="C356" s="13"/>
    </row>
    <row r="357" spans="3:3">
      <c r="C357" s="13"/>
    </row>
    <row r="358" spans="3:3">
      <c r="C358" s="13"/>
    </row>
    <row r="359" spans="3:3">
      <c r="C359" s="13"/>
    </row>
    <row r="360" spans="3:3">
      <c r="C360" s="13"/>
    </row>
    <row r="361" spans="3:3">
      <c r="C361" s="13"/>
    </row>
    <row r="362" spans="3:3">
      <c r="C362" s="13"/>
    </row>
    <row r="363" spans="3:3">
      <c r="C363" s="13"/>
    </row>
    <row r="364" spans="3:3">
      <c r="C364" s="13"/>
    </row>
    <row r="365" spans="3:3">
      <c r="C365" s="13"/>
    </row>
    <row r="366" spans="3:3">
      <c r="C366" s="13"/>
    </row>
    <row r="367" spans="3:3">
      <c r="C367" s="13"/>
    </row>
    <row r="368" spans="3:3">
      <c r="C368" s="13"/>
    </row>
    <row r="369" spans="3:3">
      <c r="C369" s="13"/>
    </row>
    <row r="370" spans="3:3">
      <c r="C370" s="13"/>
    </row>
    <row r="371" spans="3:3">
      <c r="C371" s="13"/>
    </row>
    <row r="372" spans="3:3">
      <c r="C372" s="13"/>
    </row>
    <row r="373" spans="3:3">
      <c r="C373" s="13"/>
    </row>
    <row r="374" spans="3:3">
      <c r="C374" s="13"/>
    </row>
    <row r="375" spans="3:3">
      <c r="C375" s="13"/>
    </row>
    <row r="376" spans="3:3">
      <c r="C376" s="13"/>
    </row>
    <row r="377" spans="3:3">
      <c r="C377" s="13"/>
    </row>
    <row r="378" spans="3:3">
      <c r="C378" s="13"/>
    </row>
    <row r="379" spans="3:3">
      <c r="C379" s="13"/>
    </row>
    <row r="380" spans="3:3">
      <c r="C380" s="13"/>
    </row>
    <row r="381" spans="3:3">
      <c r="C381" s="13"/>
    </row>
    <row r="382" spans="3:3">
      <c r="C382" s="13"/>
    </row>
    <row r="383" spans="3:3">
      <c r="C383" s="13"/>
    </row>
    <row r="384" spans="3:3">
      <c r="C384" s="13"/>
    </row>
    <row r="385" spans="3:3">
      <c r="C385" s="13"/>
    </row>
    <row r="386" spans="3:3">
      <c r="C386" s="13"/>
    </row>
    <row r="387" spans="3:3">
      <c r="C387" s="13"/>
    </row>
    <row r="388" spans="3:3">
      <c r="C388" s="13"/>
    </row>
    <row r="389" spans="3:3">
      <c r="C389" s="13"/>
    </row>
    <row r="390" spans="3:3">
      <c r="C390" s="13"/>
    </row>
    <row r="391" spans="3:3">
      <c r="C391" s="13"/>
    </row>
    <row r="392" spans="3:3">
      <c r="C392" s="13"/>
    </row>
    <row r="393" spans="3:3">
      <c r="C393" s="13"/>
    </row>
    <row r="394" spans="3:3">
      <c r="C394" s="13"/>
    </row>
    <row r="395" spans="3:3">
      <c r="C395" s="13"/>
    </row>
    <row r="396" spans="3:3">
      <c r="C396" s="13"/>
    </row>
    <row r="397" spans="3:3">
      <c r="C397" s="13"/>
    </row>
    <row r="398" spans="3:3">
      <c r="C398" s="13"/>
    </row>
    <row r="399" spans="3:3">
      <c r="C399" s="13"/>
    </row>
    <row r="400" spans="3:3">
      <c r="C400" s="13"/>
    </row>
    <row r="401" spans="3:3">
      <c r="C401" s="13"/>
    </row>
    <row r="402" spans="3:3">
      <c r="C402" s="13"/>
    </row>
    <row r="403" spans="3:3">
      <c r="C403" s="13"/>
    </row>
    <row r="404" spans="3:3">
      <c r="C404" s="13"/>
    </row>
    <row r="405" spans="3:3">
      <c r="C405" s="13"/>
    </row>
    <row r="406" spans="3:3">
      <c r="C406" s="13"/>
    </row>
    <row r="407" spans="3:3">
      <c r="C407" s="13"/>
    </row>
    <row r="408" spans="3:3">
      <c r="C408" s="13"/>
    </row>
    <row r="409" spans="3:3">
      <c r="C409" s="13"/>
    </row>
    <row r="410" spans="3:3">
      <c r="C410" s="13"/>
    </row>
    <row r="411" spans="3:3">
      <c r="C411" s="13"/>
    </row>
    <row r="412" spans="3:3">
      <c r="C412" s="13"/>
    </row>
    <row r="413" spans="3:3">
      <c r="C413" s="13"/>
    </row>
    <row r="414" spans="3:3">
      <c r="C414" s="13"/>
    </row>
    <row r="415" spans="3:3">
      <c r="C415" s="13"/>
    </row>
    <row r="416" spans="3:3">
      <c r="C416" s="13"/>
    </row>
    <row r="417" spans="3:3">
      <c r="C417" s="13"/>
    </row>
    <row r="418" spans="3:3">
      <c r="C418" s="13"/>
    </row>
    <row r="419" spans="3:3">
      <c r="C419" s="13"/>
    </row>
    <row r="420" spans="3:3">
      <c r="C420" s="13"/>
    </row>
    <row r="421" spans="3:3">
      <c r="C421" s="13"/>
    </row>
    <row r="422" spans="3:3">
      <c r="C422" s="13"/>
    </row>
    <row r="423" spans="3:3">
      <c r="C423" s="13"/>
    </row>
    <row r="424" spans="3:3">
      <c r="C424" s="13"/>
    </row>
    <row r="425" spans="3:3">
      <c r="C425" s="13"/>
    </row>
    <row r="426" spans="3:3">
      <c r="C426" s="13"/>
    </row>
    <row r="427" spans="3:3">
      <c r="C427" s="13"/>
    </row>
    <row r="428" spans="3:3">
      <c r="C428" s="13"/>
    </row>
    <row r="429" spans="3:3">
      <c r="C429" s="13"/>
    </row>
    <row r="430" spans="3:3">
      <c r="C430" s="13"/>
    </row>
    <row r="431" spans="3:3">
      <c r="C431" s="13"/>
    </row>
    <row r="432" spans="3:3">
      <c r="C432" s="13"/>
    </row>
    <row r="433" spans="3:3">
      <c r="C433" s="13"/>
    </row>
    <row r="434" spans="3:3">
      <c r="C434" s="13"/>
    </row>
    <row r="435" spans="3:3">
      <c r="C435" s="13"/>
    </row>
    <row r="436" spans="3:3">
      <c r="C436" s="13"/>
    </row>
    <row r="437" spans="3:3">
      <c r="C437" s="13"/>
    </row>
    <row r="438" spans="3:3">
      <c r="C438" s="13"/>
    </row>
    <row r="439" spans="3:3">
      <c r="C439" s="13"/>
    </row>
    <row r="440" spans="3:3">
      <c r="C440" s="13"/>
    </row>
    <row r="441" spans="3:3">
      <c r="C441" s="13"/>
    </row>
    <row r="442" spans="3:3">
      <c r="C442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E708"/>
  <sheetViews>
    <sheetView workbookViewId="0">
      <selection activeCell="E17" sqref="E17"/>
    </sheetView>
  </sheetViews>
  <sheetFormatPr defaultRowHeight="15"/>
  <cols>
    <col min="1" max="1" width="9.5703125" style="18" bestFit="1" customWidth="1"/>
    <col min="2" max="2" width="22.5703125" style="18" bestFit="1" customWidth="1"/>
    <col min="3" max="3" width="7.5703125" style="18" bestFit="1" customWidth="1"/>
    <col min="4" max="4" width="3.7109375" style="18" bestFit="1" customWidth="1"/>
    <col min="5" max="5" width="5.5703125" style="18" bestFit="1" customWidth="1"/>
  </cols>
  <sheetData>
    <row r="1" spans="1:5">
      <c r="A1" s="18" t="s">
        <v>0</v>
      </c>
      <c r="B1" s="18" t="s">
        <v>1</v>
      </c>
      <c r="C1" s="18" t="s">
        <v>2</v>
      </c>
      <c r="D1" s="18" t="s">
        <v>117</v>
      </c>
      <c r="E1" s="18" t="s">
        <v>265</v>
      </c>
    </row>
    <row r="2" spans="1:5">
      <c r="A2" s="18" t="s">
        <v>12</v>
      </c>
      <c r="B2" s="18" t="s">
        <v>29</v>
      </c>
      <c r="C2" s="18">
        <v>8800</v>
      </c>
      <c r="D2" s="46"/>
      <c r="E2" s="18">
        <v>12.782353120691599</v>
      </c>
    </row>
    <row r="3" spans="1:5">
      <c r="A3" s="18" t="s">
        <v>12</v>
      </c>
      <c r="B3" s="18" t="s">
        <v>123</v>
      </c>
      <c r="C3" s="18">
        <v>8600</v>
      </c>
      <c r="D3" s="46"/>
      <c r="E3" s="18">
        <v>14.689999389648399</v>
      </c>
    </row>
    <row r="4" spans="1:5">
      <c r="A4" s="18" t="s">
        <v>12</v>
      </c>
      <c r="B4" s="18" t="s">
        <v>19</v>
      </c>
      <c r="C4" s="18">
        <v>8000</v>
      </c>
      <c r="D4" s="46"/>
      <c r="E4" s="18">
        <v>14.522221883138</v>
      </c>
    </row>
    <row r="5" spans="1:5">
      <c r="A5" s="18" t="s">
        <v>12</v>
      </c>
      <c r="B5" s="18" t="s">
        <v>88</v>
      </c>
      <c r="C5" s="18">
        <v>7800</v>
      </c>
      <c r="D5" s="46"/>
      <c r="E5" s="18">
        <v>18.9615384615384</v>
      </c>
    </row>
    <row r="6" spans="1:5">
      <c r="A6" s="18" t="s">
        <v>12</v>
      </c>
      <c r="B6" s="18" t="s">
        <v>125</v>
      </c>
      <c r="C6" s="18">
        <v>7700</v>
      </c>
      <c r="D6" s="46"/>
      <c r="E6" s="18">
        <v>13.736842105263101</v>
      </c>
    </row>
    <row r="7" spans="1:5">
      <c r="A7" s="18" t="s">
        <v>12</v>
      </c>
      <c r="B7" s="18" t="s">
        <v>352</v>
      </c>
      <c r="C7" s="18">
        <v>7600</v>
      </c>
      <c r="D7" s="46"/>
      <c r="E7" s="18">
        <v>12.1736843711451</v>
      </c>
    </row>
    <row r="8" spans="1:5">
      <c r="A8" s="18" t="s">
        <v>12</v>
      </c>
      <c r="B8" s="18" t="s">
        <v>90</v>
      </c>
      <c r="C8" s="18">
        <v>7500</v>
      </c>
      <c r="D8" s="46"/>
      <c r="E8" s="18">
        <v>14.9058819939108</v>
      </c>
    </row>
    <row r="9" spans="1:5">
      <c r="A9" s="18" t="s">
        <v>12</v>
      </c>
      <c r="B9" s="18" t="s">
        <v>87</v>
      </c>
      <c r="C9" s="18">
        <v>7400</v>
      </c>
      <c r="D9" s="46"/>
      <c r="E9" s="18">
        <v>12.3266662597656</v>
      </c>
    </row>
    <row r="10" spans="1:5">
      <c r="A10" s="18" t="s">
        <v>12</v>
      </c>
      <c r="B10" s="18" t="s">
        <v>9</v>
      </c>
      <c r="C10" s="18">
        <v>7300</v>
      </c>
      <c r="D10" s="46"/>
      <c r="E10" s="18">
        <v>14.176470588235199</v>
      </c>
    </row>
    <row r="11" spans="1:5">
      <c r="A11" s="18" t="s">
        <v>12</v>
      </c>
      <c r="B11" s="18" t="s">
        <v>353</v>
      </c>
      <c r="C11" s="18">
        <v>7200</v>
      </c>
      <c r="D11" s="46"/>
      <c r="E11" s="18">
        <v>15.1416664123535</v>
      </c>
    </row>
    <row r="12" spans="1:5">
      <c r="A12" s="18" t="s">
        <v>12</v>
      </c>
      <c r="B12" s="18" t="s">
        <v>6</v>
      </c>
      <c r="C12" s="18">
        <v>7100</v>
      </c>
      <c r="D12" s="46"/>
      <c r="E12" s="18">
        <v>15.038461538461499</v>
      </c>
    </row>
    <row r="13" spans="1:5">
      <c r="A13" s="18" t="s">
        <v>12</v>
      </c>
      <c r="B13" s="18" t="s">
        <v>28</v>
      </c>
      <c r="C13" s="18">
        <v>7000</v>
      </c>
      <c r="D13" s="46"/>
      <c r="E13" s="18">
        <v>13.1666666666666</v>
      </c>
    </row>
    <row r="14" spans="1:5">
      <c r="A14" s="18" t="s">
        <v>12</v>
      </c>
      <c r="B14" s="18" t="s">
        <v>91</v>
      </c>
      <c r="C14" s="18">
        <v>6900</v>
      </c>
      <c r="D14" s="46"/>
      <c r="E14" s="18">
        <v>11.150000435965399</v>
      </c>
    </row>
    <row r="15" spans="1:5">
      <c r="A15" s="18" t="s">
        <v>12</v>
      </c>
      <c r="B15" s="18" t="s">
        <v>354</v>
      </c>
      <c r="C15" s="18">
        <v>6800</v>
      </c>
      <c r="D15" s="46"/>
      <c r="E15" s="18">
        <v>12.815385084885801</v>
      </c>
    </row>
    <row r="16" spans="1:5">
      <c r="A16" s="18" t="s">
        <v>12</v>
      </c>
      <c r="B16" s="18" t="s">
        <v>355</v>
      </c>
      <c r="C16" s="18">
        <v>6700</v>
      </c>
      <c r="D16" s="46"/>
      <c r="E16" s="18">
        <v>10.3999998304578</v>
      </c>
    </row>
    <row r="17" spans="1:5">
      <c r="A17" s="18" t="s">
        <v>12</v>
      </c>
      <c r="B17" s="18" t="s">
        <v>4</v>
      </c>
      <c r="C17" s="18">
        <v>6600</v>
      </c>
      <c r="D17" s="46"/>
      <c r="E17" s="18">
        <v>16.1687507629394</v>
      </c>
    </row>
    <row r="18" spans="1:5">
      <c r="A18" s="18" t="s">
        <v>12</v>
      </c>
      <c r="B18" s="18" t="s">
        <v>30</v>
      </c>
      <c r="C18" s="18">
        <v>6500</v>
      </c>
      <c r="D18" s="46"/>
      <c r="E18" s="18">
        <v>11.0823525821461</v>
      </c>
    </row>
    <row r="19" spans="1:5">
      <c r="A19" s="18" t="s">
        <v>12</v>
      </c>
      <c r="B19" s="18" t="s">
        <v>135</v>
      </c>
      <c r="C19" s="18">
        <v>6400</v>
      </c>
      <c r="D19" s="46"/>
      <c r="E19" s="18">
        <v>4.7428572518484904</v>
      </c>
    </row>
    <row r="20" spans="1:5">
      <c r="A20" s="18" t="s">
        <v>12</v>
      </c>
      <c r="B20" s="18" t="s">
        <v>357</v>
      </c>
      <c r="C20" s="18">
        <v>6300</v>
      </c>
      <c r="D20" s="46"/>
      <c r="E20" s="18">
        <v>11.838889227973</v>
      </c>
    </row>
    <row r="21" spans="1:5">
      <c r="A21" s="18" t="s">
        <v>12</v>
      </c>
      <c r="B21" s="18" t="s">
        <v>152</v>
      </c>
      <c r="C21" s="18">
        <v>6300</v>
      </c>
      <c r="D21" s="46"/>
      <c r="E21" s="18">
        <v>9.2810524388363493</v>
      </c>
    </row>
    <row r="22" spans="1:5">
      <c r="A22" s="18" t="s">
        <v>12</v>
      </c>
      <c r="B22" s="18" t="s">
        <v>124</v>
      </c>
      <c r="C22" s="18">
        <v>6200</v>
      </c>
      <c r="D22" s="46"/>
      <c r="E22" s="18">
        <v>10.799999660915701</v>
      </c>
    </row>
    <row r="23" spans="1:5">
      <c r="A23" s="18" t="s">
        <v>12</v>
      </c>
      <c r="B23" s="18" t="s">
        <v>126</v>
      </c>
      <c r="C23" s="18">
        <v>6200</v>
      </c>
      <c r="D23" s="46"/>
      <c r="E23" s="18">
        <v>10.5583330790201</v>
      </c>
    </row>
    <row r="24" spans="1:5">
      <c r="A24" s="18" t="s">
        <v>12</v>
      </c>
      <c r="B24" s="18" t="s">
        <v>359</v>
      </c>
      <c r="C24" s="18">
        <v>6100</v>
      </c>
      <c r="D24" s="46"/>
      <c r="E24" s="18">
        <v>14.4615384615384</v>
      </c>
    </row>
    <row r="25" spans="1:5">
      <c r="A25" s="18" t="s">
        <v>12</v>
      </c>
      <c r="B25" s="18" t="s">
        <v>358</v>
      </c>
      <c r="C25" s="18">
        <v>6100</v>
      </c>
      <c r="D25" s="46"/>
      <c r="E25" s="18">
        <v>9.7312498092651296</v>
      </c>
    </row>
    <row r="26" spans="1:5">
      <c r="A26" s="18" t="s">
        <v>12</v>
      </c>
      <c r="B26" s="18" t="s">
        <v>360</v>
      </c>
      <c r="C26" s="18">
        <v>6000</v>
      </c>
      <c r="D26" s="46"/>
      <c r="E26" s="18">
        <v>9.9736842105263097</v>
      </c>
    </row>
    <row r="27" spans="1:5">
      <c r="A27" s="18" t="s">
        <v>12</v>
      </c>
      <c r="B27" s="18" t="s">
        <v>122</v>
      </c>
      <c r="C27" s="18">
        <v>5900</v>
      </c>
      <c r="D27" s="46"/>
      <c r="E27" s="18">
        <v>12.0066670735677</v>
      </c>
    </row>
    <row r="28" spans="1:5">
      <c r="A28" s="18" t="s">
        <v>12</v>
      </c>
      <c r="B28" s="18" t="s">
        <v>139</v>
      </c>
      <c r="C28" s="18">
        <v>5800</v>
      </c>
      <c r="D28" s="46"/>
      <c r="E28" s="18">
        <v>8.7647058823529402</v>
      </c>
    </row>
    <row r="29" spans="1:5">
      <c r="A29" s="18" t="s">
        <v>12</v>
      </c>
      <c r="B29" s="18" t="s">
        <v>136</v>
      </c>
      <c r="C29" s="18">
        <v>5600</v>
      </c>
      <c r="D29" s="46"/>
      <c r="E29" s="18">
        <v>9.5882352941176396</v>
      </c>
    </row>
    <row r="30" spans="1:5">
      <c r="A30" s="43"/>
      <c r="B30" s="44"/>
      <c r="C30" s="45"/>
      <c r="D30" s="46"/>
      <c r="E30" s="47"/>
    </row>
    <row r="31" spans="1:5">
      <c r="A31" s="43"/>
      <c r="B31" s="44"/>
      <c r="C31" s="45"/>
      <c r="D31" s="46"/>
      <c r="E31" s="47"/>
    </row>
    <row r="32" spans="1:5">
      <c r="A32" s="43"/>
      <c r="B32" s="44"/>
      <c r="C32" s="45"/>
      <c r="D32" s="46"/>
      <c r="E32" s="47"/>
    </row>
    <row r="33" spans="1:5">
      <c r="A33" s="43"/>
      <c r="B33" s="44"/>
      <c r="C33" s="45"/>
      <c r="D33" s="46"/>
      <c r="E33" s="47"/>
    </row>
    <row r="34" spans="1:5">
      <c r="A34" s="43"/>
      <c r="B34" s="44"/>
      <c r="C34" s="45"/>
      <c r="D34" s="46"/>
      <c r="E34" s="47"/>
    </row>
    <row r="35" spans="1:5">
      <c r="A35" s="43"/>
      <c r="B35" s="44"/>
      <c r="C35" s="45"/>
      <c r="D35" s="46"/>
      <c r="E35" s="47"/>
    </row>
    <row r="36" spans="1:5">
      <c r="A36" s="43"/>
      <c r="B36" s="44"/>
      <c r="C36" s="45"/>
      <c r="D36" s="46"/>
      <c r="E36" s="47"/>
    </row>
    <row r="37" spans="1:5">
      <c r="A37" s="43"/>
      <c r="B37" s="44"/>
      <c r="C37" s="45"/>
      <c r="D37" s="46"/>
      <c r="E37" s="47"/>
    </row>
    <row r="38" spans="1:5">
      <c r="A38" s="43"/>
      <c r="B38" s="44"/>
      <c r="C38" s="45"/>
      <c r="D38" s="46"/>
      <c r="E38" s="47"/>
    </row>
    <row r="39" spans="1:5">
      <c r="A39" s="43"/>
      <c r="B39" s="44"/>
      <c r="C39" s="45"/>
      <c r="D39" s="46"/>
      <c r="E39" s="47"/>
    </row>
    <row r="40" spans="1:5">
      <c r="A40" s="43"/>
      <c r="B40" s="44"/>
      <c r="C40" s="45"/>
      <c r="D40" s="46"/>
      <c r="E40" s="47"/>
    </row>
    <row r="41" spans="1:5">
      <c r="A41" s="43"/>
      <c r="B41" s="44"/>
      <c r="C41" s="45"/>
      <c r="D41" s="46"/>
      <c r="E41" s="47"/>
    </row>
    <row r="42" spans="1:5">
      <c r="A42" s="43"/>
      <c r="B42" s="44"/>
      <c r="C42" s="45"/>
      <c r="D42" s="46"/>
      <c r="E42" s="47"/>
    </row>
    <row r="43" spans="1:5">
      <c r="A43" s="43"/>
      <c r="B43" s="44"/>
      <c r="C43" s="45"/>
      <c r="D43" s="46"/>
      <c r="E43" s="47"/>
    </row>
    <row r="44" spans="1:5">
      <c r="A44" s="43"/>
      <c r="B44" s="44"/>
      <c r="C44" s="45"/>
      <c r="D44" s="46"/>
      <c r="E44" s="47"/>
    </row>
    <row r="45" spans="1:5">
      <c r="A45" s="43"/>
      <c r="B45" s="44"/>
      <c r="C45" s="45"/>
      <c r="D45" s="46"/>
      <c r="E45" s="47"/>
    </row>
    <row r="46" spans="1:5">
      <c r="A46" s="43"/>
      <c r="B46" s="44"/>
      <c r="C46" s="45"/>
      <c r="D46" s="46"/>
      <c r="E46" s="47"/>
    </row>
    <row r="47" spans="1:5">
      <c r="A47" s="43"/>
      <c r="B47" s="44"/>
      <c r="C47" s="45"/>
      <c r="D47" s="46"/>
      <c r="E47" s="47"/>
    </row>
    <row r="48" spans="1:5">
      <c r="A48" s="43"/>
      <c r="B48" s="44"/>
      <c r="C48" s="45"/>
      <c r="D48" s="46"/>
      <c r="E48" s="47"/>
    </row>
    <row r="49" spans="1:5">
      <c r="A49" s="43"/>
      <c r="B49" s="44"/>
      <c r="C49" s="45"/>
      <c r="D49" s="46"/>
      <c r="E49" s="47"/>
    </row>
    <row r="50" spans="1:5">
      <c r="A50" s="43"/>
      <c r="B50" s="44"/>
      <c r="C50" s="45"/>
      <c r="D50" s="46"/>
      <c r="E50" s="47"/>
    </row>
    <row r="51" spans="1:5">
      <c r="A51" s="43"/>
      <c r="B51" s="44"/>
      <c r="C51" s="45"/>
      <c r="D51" s="46"/>
      <c r="E51" s="47"/>
    </row>
    <row r="52" spans="1:5">
      <c r="A52" s="43"/>
      <c r="B52" s="44"/>
      <c r="C52" s="45"/>
      <c r="D52" s="46"/>
      <c r="E52" s="47"/>
    </row>
    <row r="53" spans="1:5">
      <c r="A53" s="43"/>
      <c r="B53" s="44"/>
      <c r="C53" s="45"/>
      <c r="D53" s="46"/>
      <c r="E53" s="47"/>
    </row>
    <row r="54" spans="1:5">
      <c r="A54" s="43"/>
      <c r="B54" s="44"/>
      <c r="C54" s="45"/>
      <c r="D54" s="46"/>
      <c r="E54" s="47"/>
    </row>
    <row r="55" spans="1:5">
      <c r="A55" s="43"/>
      <c r="B55" s="44"/>
      <c r="C55" s="45"/>
      <c r="D55" s="46"/>
      <c r="E55" s="47"/>
    </row>
    <row r="56" spans="1:5">
      <c r="A56" s="43"/>
      <c r="B56" s="44"/>
      <c r="C56" s="45"/>
      <c r="D56" s="46"/>
      <c r="E56" s="47"/>
    </row>
    <row r="57" spans="1:5">
      <c r="A57" s="43"/>
      <c r="B57" s="44"/>
      <c r="C57" s="45"/>
      <c r="D57" s="46"/>
      <c r="E57" s="47"/>
    </row>
    <row r="58" spans="1:5">
      <c r="A58" s="43"/>
      <c r="B58" s="44"/>
      <c r="C58" s="45"/>
      <c r="D58" s="46"/>
      <c r="E58" s="47"/>
    </row>
    <row r="59" spans="1:5">
      <c r="A59" s="43"/>
      <c r="B59" s="44"/>
      <c r="C59" s="45"/>
      <c r="D59" s="46"/>
      <c r="E59" s="47"/>
    </row>
    <row r="60" spans="1:5">
      <c r="A60" s="43"/>
      <c r="B60" s="44"/>
      <c r="C60" s="45"/>
      <c r="D60" s="46"/>
      <c r="E60" s="47"/>
    </row>
    <row r="61" spans="1:5">
      <c r="A61" s="43"/>
      <c r="B61" s="44"/>
      <c r="C61" s="45"/>
      <c r="D61" s="46"/>
      <c r="E61" s="47"/>
    </row>
    <row r="62" spans="1:5">
      <c r="A62" s="43"/>
      <c r="B62" s="44"/>
      <c r="C62" s="45"/>
      <c r="D62" s="46"/>
      <c r="E62" s="47"/>
    </row>
    <row r="63" spans="1:5">
      <c r="A63" s="43"/>
      <c r="B63" s="44"/>
      <c r="C63" s="45"/>
      <c r="D63" s="46"/>
      <c r="E63" s="47"/>
    </row>
    <row r="64" spans="1:5">
      <c r="A64" s="43"/>
      <c r="B64" s="44"/>
      <c r="C64" s="45"/>
      <c r="D64" s="46"/>
      <c r="E64" s="47"/>
    </row>
    <row r="65" spans="1:5">
      <c r="A65" s="43"/>
      <c r="B65" s="44"/>
      <c r="C65" s="45"/>
      <c r="D65" s="46"/>
      <c r="E65" s="47"/>
    </row>
    <row r="66" spans="1:5">
      <c r="A66" s="43"/>
      <c r="B66" s="44"/>
      <c r="C66" s="45"/>
      <c r="D66" s="46"/>
      <c r="E66" s="47"/>
    </row>
    <row r="67" spans="1:5">
      <c r="A67" s="43"/>
      <c r="B67" s="44"/>
      <c r="C67" s="45"/>
      <c r="D67" s="46"/>
      <c r="E67" s="47"/>
    </row>
    <row r="68" spans="1:5">
      <c r="A68" s="43"/>
      <c r="B68" s="44"/>
      <c r="C68" s="45"/>
      <c r="D68" s="46"/>
      <c r="E68" s="47"/>
    </row>
    <row r="69" spans="1:5">
      <c r="A69" s="43"/>
      <c r="B69" s="44"/>
      <c r="C69" s="45"/>
      <c r="D69" s="46"/>
      <c r="E69" s="47"/>
    </row>
    <row r="70" spans="1:5">
      <c r="A70" s="43"/>
      <c r="B70" s="44"/>
      <c r="C70" s="45"/>
      <c r="D70" s="46"/>
      <c r="E70" s="47"/>
    </row>
    <row r="71" spans="1:5">
      <c r="A71" s="43"/>
      <c r="B71" s="44"/>
      <c r="C71" s="45"/>
      <c r="D71" s="46"/>
      <c r="E71" s="47"/>
    </row>
    <row r="72" spans="1:5">
      <c r="A72" s="43"/>
      <c r="B72" s="44"/>
      <c r="C72" s="45"/>
      <c r="D72" s="46"/>
      <c r="E72" s="47"/>
    </row>
    <row r="73" spans="1:5">
      <c r="A73" s="43"/>
      <c r="B73" s="44"/>
      <c r="C73" s="45"/>
      <c r="D73" s="46"/>
      <c r="E73" s="47"/>
    </row>
    <row r="74" spans="1:5">
      <c r="A74" s="43"/>
      <c r="B74" s="44"/>
      <c r="C74" s="45"/>
      <c r="D74" s="46"/>
      <c r="E74" s="47"/>
    </row>
    <row r="75" spans="1:5">
      <c r="A75" s="43"/>
      <c r="B75" s="44"/>
      <c r="C75" s="45"/>
      <c r="D75" s="46"/>
      <c r="E75" s="47"/>
    </row>
    <row r="76" spans="1:5">
      <c r="A76" s="43"/>
      <c r="B76" s="44"/>
      <c r="C76" s="45"/>
      <c r="D76" s="46"/>
      <c r="E76" s="47"/>
    </row>
    <row r="77" spans="1:5">
      <c r="A77" s="43"/>
      <c r="B77" s="44"/>
      <c r="C77" s="45"/>
      <c r="D77" s="46"/>
      <c r="E77" s="47"/>
    </row>
    <row r="78" spans="1:5">
      <c r="A78" s="43"/>
      <c r="B78" s="44"/>
      <c r="C78" s="45"/>
      <c r="D78" s="46"/>
      <c r="E78" s="47"/>
    </row>
    <row r="79" spans="1:5">
      <c r="A79" s="43"/>
      <c r="B79" s="44"/>
      <c r="C79" s="45"/>
      <c r="D79" s="46"/>
      <c r="E79" s="47"/>
    </row>
    <row r="80" spans="1:5">
      <c r="A80" s="43"/>
      <c r="B80" s="44"/>
      <c r="C80" s="45"/>
      <c r="D80" s="46"/>
      <c r="E80" s="47"/>
    </row>
    <row r="81" spans="1:5">
      <c r="A81" s="43"/>
      <c r="B81" s="44"/>
      <c r="C81" s="45"/>
      <c r="D81" s="46"/>
      <c r="E81" s="47"/>
    </row>
    <row r="82" spans="1:5">
      <c r="A82" s="43"/>
      <c r="B82" s="44"/>
      <c r="C82" s="45"/>
      <c r="D82" s="46"/>
      <c r="E82" s="47"/>
    </row>
    <row r="83" spans="1:5">
      <c r="A83" s="43"/>
      <c r="B83" s="44"/>
      <c r="C83" s="45"/>
      <c r="D83" s="46"/>
      <c r="E83" s="47"/>
    </row>
    <row r="84" spans="1:5">
      <c r="A84" s="43"/>
      <c r="B84" s="44"/>
      <c r="C84" s="45"/>
      <c r="D84" s="46"/>
      <c r="E84" s="47"/>
    </row>
    <row r="85" spans="1:5">
      <c r="A85" s="43"/>
      <c r="B85" s="44"/>
      <c r="C85" s="45"/>
      <c r="D85" s="46"/>
      <c r="E85" s="47"/>
    </row>
    <row r="86" spans="1:5">
      <c r="A86" s="43"/>
      <c r="B86" s="44"/>
      <c r="C86" s="45"/>
      <c r="D86" s="46"/>
      <c r="E86" s="47"/>
    </row>
    <row r="87" spans="1:5">
      <c r="A87" s="43"/>
      <c r="B87" s="44"/>
      <c r="C87" s="45"/>
      <c r="D87" s="46"/>
      <c r="E87" s="47"/>
    </row>
    <row r="88" spans="1:5">
      <c r="A88" s="43"/>
      <c r="B88" s="44"/>
      <c r="C88" s="45"/>
      <c r="D88" s="46"/>
      <c r="E88" s="47"/>
    </row>
    <row r="89" spans="1:5">
      <c r="A89" s="43"/>
      <c r="B89" s="44"/>
      <c r="C89" s="45"/>
      <c r="D89" s="46"/>
      <c r="E89" s="47"/>
    </row>
    <row r="90" spans="1:5">
      <c r="A90" s="43"/>
      <c r="B90" s="44"/>
      <c r="C90" s="45"/>
      <c r="D90" s="46"/>
      <c r="E90" s="47"/>
    </row>
    <row r="91" spans="1:5">
      <c r="A91" s="43"/>
      <c r="B91" s="44"/>
      <c r="C91" s="45"/>
      <c r="D91" s="46"/>
      <c r="E91" s="47"/>
    </row>
    <row r="92" spans="1:5">
      <c r="A92" s="43"/>
      <c r="B92" s="44"/>
      <c r="C92" s="45"/>
      <c r="D92" s="46"/>
      <c r="E92" s="47"/>
    </row>
    <row r="93" spans="1:5">
      <c r="A93" s="43"/>
      <c r="B93" s="44"/>
      <c r="C93" s="45"/>
      <c r="D93" s="46"/>
      <c r="E93" s="47"/>
    </row>
    <row r="94" spans="1:5">
      <c r="A94" s="43"/>
      <c r="B94" s="44"/>
      <c r="C94" s="45"/>
      <c r="D94" s="46"/>
      <c r="E94" s="47"/>
    </row>
    <row r="95" spans="1:5">
      <c r="A95" s="43"/>
      <c r="B95" s="44"/>
      <c r="C95" s="45"/>
      <c r="D95" s="46"/>
      <c r="E95" s="47"/>
    </row>
    <row r="96" spans="1:5">
      <c r="A96" s="43"/>
      <c r="B96" s="44"/>
      <c r="C96" s="45"/>
      <c r="D96" s="46"/>
      <c r="E96" s="47"/>
    </row>
    <row r="97" spans="1:5">
      <c r="A97" s="43"/>
      <c r="B97" s="44"/>
      <c r="C97" s="45"/>
      <c r="D97" s="46"/>
      <c r="E97" s="47"/>
    </row>
    <row r="98" spans="1:5">
      <c r="A98" s="43"/>
      <c r="B98" s="44"/>
      <c r="C98" s="45"/>
      <c r="D98" s="46"/>
      <c r="E98" s="47"/>
    </row>
    <row r="99" spans="1:5">
      <c r="A99" s="43"/>
      <c r="B99" s="44"/>
      <c r="C99" s="45"/>
      <c r="D99" s="46"/>
      <c r="E99" s="47"/>
    </row>
    <row r="100" spans="1:5">
      <c r="A100" s="43"/>
      <c r="B100" s="44"/>
      <c r="C100" s="45"/>
      <c r="D100" s="46"/>
      <c r="E100" s="47"/>
    </row>
    <row r="101" spans="1:5">
      <c r="A101" s="43"/>
      <c r="B101" s="44"/>
      <c r="C101" s="45"/>
      <c r="D101" s="46"/>
      <c r="E101" s="47"/>
    </row>
    <row r="102" spans="1:5">
      <c r="A102" s="43"/>
      <c r="B102" s="44"/>
      <c r="C102" s="45"/>
      <c r="D102" s="46"/>
      <c r="E102" s="47"/>
    </row>
    <row r="103" spans="1:5">
      <c r="A103" s="43"/>
      <c r="B103" s="44"/>
      <c r="C103" s="45"/>
      <c r="D103" s="46"/>
      <c r="E103" s="47"/>
    </row>
    <row r="104" spans="1:5">
      <c r="A104" s="43"/>
      <c r="B104" s="44"/>
      <c r="C104" s="45"/>
      <c r="D104" s="46"/>
      <c r="E104" s="47"/>
    </row>
    <row r="105" spans="1:5">
      <c r="A105" s="43"/>
      <c r="B105" s="44"/>
      <c r="C105" s="45"/>
      <c r="D105" s="46"/>
      <c r="E105" s="47"/>
    </row>
    <row r="106" spans="1:5">
      <c r="A106" s="43"/>
      <c r="B106" s="44"/>
      <c r="C106" s="45"/>
      <c r="D106" s="46"/>
      <c r="E106" s="47"/>
    </row>
    <row r="107" spans="1:5">
      <c r="A107" s="43"/>
      <c r="B107" s="44"/>
      <c r="C107" s="45"/>
      <c r="D107" s="46"/>
      <c r="E107" s="47"/>
    </row>
    <row r="108" spans="1:5">
      <c r="A108" s="43"/>
      <c r="B108" s="44"/>
      <c r="C108" s="45"/>
      <c r="D108" s="46"/>
      <c r="E108" s="47"/>
    </row>
    <row r="109" spans="1:5">
      <c r="A109" s="43"/>
      <c r="B109" s="44"/>
      <c r="C109" s="45"/>
      <c r="D109" s="46"/>
      <c r="E109" s="47"/>
    </row>
    <row r="110" spans="1:5">
      <c r="A110" s="43"/>
      <c r="B110" s="44"/>
      <c r="C110" s="45"/>
      <c r="D110" s="46"/>
      <c r="E110" s="47"/>
    </row>
    <row r="111" spans="1:5">
      <c r="A111" s="43"/>
      <c r="B111" s="44"/>
      <c r="C111" s="45"/>
      <c r="D111" s="46"/>
      <c r="E111" s="47"/>
    </row>
    <row r="112" spans="1:5">
      <c r="A112" s="43"/>
      <c r="B112" s="44"/>
      <c r="C112" s="45"/>
      <c r="D112" s="46"/>
      <c r="E112" s="47"/>
    </row>
    <row r="113" spans="1:5">
      <c r="A113" s="43"/>
      <c r="B113" s="44"/>
      <c r="C113" s="45"/>
      <c r="D113" s="46"/>
      <c r="E113" s="47"/>
    </row>
    <row r="114" spans="1:5">
      <c r="A114" s="43"/>
      <c r="B114" s="44"/>
      <c r="C114" s="45"/>
      <c r="D114" s="46"/>
      <c r="E114" s="47"/>
    </row>
    <row r="115" spans="1:5">
      <c r="A115" s="43"/>
      <c r="B115" s="44"/>
      <c r="C115" s="45"/>
      <c r="D115" s="46"/>
      <c r="E115" s="47"/>
    </row>
    <row r="116" spans="1:5">
      <c r="A116" s="43"/>
      <c r="B116" s="44"/>
      <c r="C116" s="45"/>
      <c r="D116" s="46"/>
      <c r="E116" s="47"/>
    </row>
    <row r="117" spans="1:5">
      <c r="A117" s="43"/>
      <c r="B117" s="44"/>
      <c r="C117" s="45"/>
      <c r="D117" s="46"/>
      <c r="E117" s="47"/>
    </row>
    <row r="118" spans="1:5">
      <c r="A118" s="43"/>
      <c r="B118" s="44"/>
      <c r="C118" s="45"/>
      <c r="D118" s="46"/>
      <c r="E118" s="47"/>
    </row>
    <row r="119" spans="1:5">
      <c r="A119" s="43"/>
      <c r="B119" s="44"/>
      <c r="C119" s="45"/>
      <c r="D119" s="46"/>
      <c r="E119" s="47"/>
    </row>
    <row r="120" spans="1:5">
      <c r="A120" s="43"/>
      <c r="B120" s="44"/>
      <c r="C120" s="45"/>
      <c r="D120" s="46"/>
      <c r="E120" s="47"/>
    </row>
    <row r="121" spans="1:5">
      <c r="A121" s="43"/>
      <c r="B121" s="44"/>
      <c r="C121" s="45"/>
      <c r="D121" s="46"/>
      <c r="E121" s="47"/>
    </row>
    <row r="122" spans="1:5">
      <c r="A122" s="43"/>
      <c r="B122" s="44"/>
      <c r="C122" s="45"/>
      <c r="D122" s="46"/>
      <c r="E122" s="47"/>
    </row>
    <row r="123" spans="1:5">
      <c r="A123" s="43"/>
      <c r="B123" s="44"/>
      <c r="C123" s="45"/>
      <c r="D123" s="46"/>
      <c r="E123" s="47"/>
    </row>
    <row r="124" spans="1:5">
      <c r="A124" s="43"/>
      <c r="B124" s="44"/>
      <c r="C124" s="45"/>
      <c r="D124" s="46"/>
      <c r="E124" s="47"/>
    </row>
    <row r="125" spans="1:5">
      <c r="A125" s="43"/>
      <c r="B125" s="44"/>
      <c r="C125" s="45"/>
      <c r="D125" s="46"/>
      <c r="E125" s="47"/>
    </row>
    <row r="126" spans="1:5">
      <c r="A126" s="43"/>
      <c r="B126" s="44"/>
      <c r="C126" s="45"/>
      <c r="D126" s="46"/>
      <c r="E126" s="47"/>
    </row>
    <row r="127" spans="1:5">
      <c r="A127" s="43"/>
      <c r="B127" s="44"/>
      <c r="C127" s="45"/>
      <c r="D127" s="46"/>
      <c r="E127" s="47"/>
    </row>
    <row r="128" spans="1:5">
      <c r="A128" s="43"/>
      <c r="B128" s="44"/>
      <c r="C128" s="45"/>
      <c r="D128" s="46"/>
      <c r="E128" s="47"/>
    </row>
    <row r="129" spans="1:5">
      <c r="A129" s="43"/>
      <c r="B129" s="44"/>
      <c r="C129" s="45"/>
      <c r="D129" s="46"/>
      <c r="E129" s="47"/>
    </row>
    <row r="130" spans="1:5">
      <c r="A130" s="43"/>
      <c r="B130" s="44"/>
      <c r="C130" s="45"/>
      <c r="D130" s="46"/>
      <c r="E130" s="47"/>
    </row>
    <row r="131" spans="1:5">
      <c r="A131" s="43"/>
      <c r="B131" s="44"/>
      <c r="C131" s="45"/>
      <c r="D131" s="46"/>
      <c r="E131" s="47"/>
    </row>
    <row r="132" spans="1:5">
      <c r="A132" s="43"/>
      <c r="B132" s="44"/>
      <c r="C132" s="45"/>
      <c r="D132" s="46"/>
      <c r="E132" s="47"/>
    </row>
    <row r="133" spans="1:5">
      <c r="A133" s="43"/>
      <c r="B133" s="44"/>
      <c r="C133" s="45"/>
      <c r="D133" s="46"/>
      <c r="E133" s="47"/>
    </row>
    <row r="134" spans="1:5">
      <c r="A134" s="43"/>
      <c r="B134" s="44"/>
      <c r="C134" s="45"/>
      <c r="D134" s="46"/>
      <c r="E134" s="47"/>
    </row>
    <row r="135" spans="1:5">
      <c r="A135" s="43"/>
      <c r="B135" s="44"/>
      <c r="C135" s="45"/>
      <c r="D135" s="46"/>
      <c r="E135" s="47"/>
    </row>
    <row r="136" spans="1:5">
      <c r="A136" s="43"/>
      <c r="B136" s="44"/>
      <c r="C136" s="45"/>
      <c r="D136" s="46"/>
      <c r="E136" s="47"/>
    </row>
    <row r="137" spans="1:5">
      <c r="A137" s="43"/>
      <c r="B137" s="44"/>
      <c r="C137" s="45"/>
      <c r="D137" s="46"/>
      <c r="E137" s="47"/>
    </row>
    <row r="138" spans="1:5">
      <c r="A138" s="43"/>
      <c r="B138" s="44"/>
      <c r="C138" s="45"/>
      <c r="D138" s="46"/>
      <c r="E138" s="47"/>
    </row>
    <row r="139" spans="1:5">
      <c r="A139" s="43"/>
      <c r="B139" s="44"/>
      <c r="C139" s="45"/>
      <c r="D139" s="46"/>
      <c r="E139" s="47"/>
    </row>
    <row r="140" spans="1:5">
      <c r="A140" s="43"/>
      <c r="B140" s="44"/>
      <c r="C140" s="45"/>
      <c r="D140" s="46"/>
      <c r="E140" s="47"/>
    </row>
    <row r="141" spans="1:5">
      <c r="A141" s="43"/>
      <c r="B141" s="44"/>
      <c r="C141" s="45"/>
      <c r="D141" s="46"/>
      <c r="E141" s="47"/>
    </row>
    <row r="142" spans="1:5">
      <c r="A142" s="43"/>
      <c r="B142" s="44"/>
      <c r="C142" s="45"/>
      <c r="D142" s="46"/>
      <c r="E142" s="47"/>
    </row>
    <row r="143" spans="1:5">
      <c r="A143" s="43"/>
      <c r="B143" s="44"/>
      <c r="C143" s="45"/>
      <c r="D143" s="46"/>
      <c r="E143" s="47"/>
    </row>
    <row r="144" spans="1:5">
      <c r="A144" s="43"/>
      <c r="B144" s="44"/>
      <c r="C144" s="45"/>
      <c r="D144" s="46"/>
      <c r="E144" s="47"/>
    </row>
    <row r="145" spans="1:5">
      <c r="A145" s="43"/>
      <c r="B145" s="44"/>
      <c r="C145" s="45"/>
      <c r="D145" s="46"/>
      <c r="E145" s="47"/>
    </row>
    <row r="146" spans="1:5">
      <c r="A146" s="43"/>
      <c r="B146" s="44"/>
      <c r="C146" s="45"/>
      <c r="D146" s="46"/>
      <c r="E146" s="47"/>
    </row>
    <row r="147" spans="1:5">
      <c r="A147" s="43"/>
      <c r="B147" s="44"/>
      <c r="C147" s="45"/>
      <c r="D147" s="46"/>
      <c r="E147" s="47"/>
    </row>
    <row r="148" spans="1:5">
      <c r="A148" s="43"/>
      <c r="B148" s="44"/>
      <c r="C148" s="45"/>
      <c r="D148" s="46"/>
      <c r="E148" s="47"/>
    </row>
    <row r="149" spans="1:5">
      <c r="A149" s="43"/>
      <c r="B149" s="44"/>
      <c r="C149" s="45"/>
      <c r="D149" s="46"/>
      <c r="E149" s="47"/>
    </row>
    <row r="150" spans="1:5">
      <c r="A150" s="43"/>
      <c r="B150" s="44"/>
      <c r="C150" s="45"/>
      <c r="D150" s="46"/>
      <c r="E150" s="47"/>
    </row>
    <row r="151" spans="1:5">
      <c r="A151" s="43"/>
      <c r="B151" s="44"/>
      <c r="C151" s="45"/>
      <c r="D151" s="46"/>
      <c r="E151" s="47"/>
    </row>
    <row r="152" spans="1:5">
      <c r="A152" s="43"/>
      <c r="B152" s="44"/>
      <c r="C152" s="45"/>
      <c r="D152" s="46"/>
      <c r="E152" s="47"/>
    </row>
    <row r="153" spans="1:5">
      <c r="A153" s="43"/>
      <c r="B153" s="44"/>
      <c r="C153" s="45"/>
      <c r="D153" s="46"/>
      <c r="E153" s="47"/>
    </row>
    <row r="154" spans="1:5">
      <c r="A154" s="43"/>
      <c r="B154" s="44"/>
      <c r="C154" s="45"/>
      <c r="D154" s="46"/>
      <c r="E154" s="47"/>
    </row>
    <row r="155" spans="1:5">
      <c r="A155" s="43"/>
      <c r="B155" s="44"/>
      <c r="C155" s="45"/>
      <c r="D155" s="46"/>
      <c r="E155" s="47"/>
    </row>
    <row r="156" spans="1:5">
      <c r="A156" s="43"/>
      <c r="B156" s="44"/>
      <c r="C156" s="45"/>
      <c r="D156" s="46"/>
      <c r="E156" s="47"/>
    </row>
    <row r="157" spans="1:5">
      <c r="A157" s="43"/>
      <c r="B157" s="44"/>
      <c r="C157" s="45"/>
      <c r="D157" s="46"/>
      <c r="E157" s="47"/>
    </row>
    <row r="158" spans="1:5">
      <c r="A158" s="43"/>
      <c r="B158" s="44"/>
      <c r="C158" s="45"/>
      <c r="D158" s="46"/>
      <c r="E158" s="47"/>
    </row>
    <row r="159" spans="1:5">
      <c r="A159" s="43"/>
      <c r="B159" s="44"/>
      <c r="C159" s="45"/>
      <c r="D159" s="46"/>
      <c r="E159" s="47"/>
    </row>
    <row r="160" spans="1:5">
      <c r="A160" s="43"/>
      <c r="B160" s="44"/>
      <c r="C160" s="45"/>
      <c r="D160" s="46"/>
      <c r="E160" s="47"/>
    </row>
    <row r="161" spans="1:5">
      <c r="A161" s="43"/>
      <c r="B161" s="44"/>
      <c r="C161" s="45"/>
      <c r="D161" s="46"/>
      <c r="E161" s="47"/>
    </row>
    <row r="162" spans="1:5">
      <c r="A162" s="43"/>
      <c r="B162" s="44"/>
      <c r="C162" s="45"/>
      <c r="D162" s="46"/>
      <c r="E162" s="47"/>
    </row>
    <row r="163" spans="1:5">
      <c r="A163" s="43"/>
      <c r="B163" s="44"/>
      <c r="C163" s="45"/>
      <c r="D163" s="46"/>
      <c r="E163" s="47"/>
    </row>
    <row r="164" spans="1:5">
      <c r="A164" s="43"/>
      <c r="B164" s="44"/>
      <c r="C164" s="45"/>
      <c r="D164" s="46"/>
      <c r="E164" s="47"/>
    </row>
    <row r="165" spans="1:5">
      <c r="A165" s="43"/>
      <c r="B165" s="44"/>
      <c r="C165" s="45"/>
      <c r="D165" s="46"/>
      <c r="E165" s="47"/>
    </row>
    <row r="166" spans="1:5">
      <c r="A166" s="43"/>
      <c r="B166" s="44"/>
      <c r="C166" s="45"/>
      <c r="D166" s="46"/>
      <c r="E166" s="47"/>
    </row>
    <row r="167" spans="1:5">
      <c r="A167" s="43"/>
      <c r="B167" s="44"/>
      <c r="C167" s="45"/>
      <c r="D167" s="46"/>
      <c r="E167" s="47"/>
    </row>
    <row r="168" spans="1:5">
      <c r="A168" s="43"/>
      <c r="B168" s="44"/>
      <c r="C168" s="45"/>
      <c r="D168" s="46"/>
      <c r="E168" s="47"/>
    </row>
    <row r="169" spans="1:5">
      <c r="A169" s="43"/>
      <c r="B169" s="44"/>
      <c r="C169" s="45"/>
      <c r="D169" s="46"/>
      <c r="E169" s="47"/>
    </row>
    <row r="170" spans="1:5">
      <c r="A170" s="43"/>
      <c r="B170" s="44"/>
      <c r="C170" s="45"/>
      <c r="D170" s="46"/>
      <c r="E170" s="47"/>
    </row>
    <row r="171" spans="1:5">
      <c r="A171" s="43"/>
      <c r="B171" s="44"/>
      <c r="C171" s="45"/>
      <c r="D171" s="46"/>
      <c r="E171" s="47"/>
    </row>
    <row r="172" spans="1:5">
      <c r="A172" s="43"/>
      <c r="B172" s="44"/>
      <c r="C172" s="45"/>
      <c r="D172" s="46"/>
      <c r="E172" s="47"/>
    </row>
    <row r="173" spans="1:5">
      <c r="A173" s="43"/>
      <c r="B173" s="44"/>
      <c r="C173" s="45"/>
      <c r="D173" s="46"/>
      <c r="E173" s="47"/>
    </row>
    <row r="174" spans="1:5">
      <c r="A174" s="43"/>
      <c r="B174" s="44"/>
      <c r="C174" s="45"/>
      <c r="D174" s="46"/>
      <c r="E174" s="47"/>
    </row>
    <row r="175" spans="1:5">
      <c r="A175" s="43"/>
      <c r="B175" s="44"/>
      <c r="C175" s="45"/>
      <c r="D175" s="46"/>
      <c r="E175" s="47"/>
    </row>
    <row r="176" spans="1:5">
      <c r="A176" s="43"/>
      <c r="B176" s="44"/>
      <c r="C176" s="45"/>
      <c r="D176" s="46"/>
      <c r="E176" s="47"/>
    </row>
    <row r="177" spans="1:5">
      <c r="A177" s="43"/>
      <c r="B177" s="44"/>
      <c r="C177" s="45"/>
      <c r="D177" s="46"/>
      <c r="E177" s="47"/>
    </row>
    <row r="178" spans="1:5">
      <c r="A178" s="43"/>
      <c r="B178" s="44"/>
      <c r="C178" s="45"/>
      <c r="D178" s="46"/>
      <c r="E178" s="47"/>
    </row>
    <row r="179" spans="1:5">
      <c r="A179" s="43"/>
      <c r="B179" s="44"/>
      <c r="C179" s="45"/>
      <c r="D179" s="46"/>
      <c r="E179" s="47"/>
    </row>
    <row r="180" spans="1:5">
      <c r="A180" s="43"/>
      <c r="B180" s="44"/>
      <c r="C180" s="45"/>
      <c r="D180" s="46"/>
      <c r="E180" s="47"/>
    </row>
    <row r="181" spans="1:5">
      <c r="A181" s="43"/>
      <c r="B181" s="44"/>
      <c r="C181" s="45"/>
      <c r="D181" s="46"/>
      <c r="E181" s="47"/>
    </row>
    <row r="182" spans="1:5">
      <c r="A182" s="43"/>
      <c r="B182" s="44"/>
      <c r="C182" s="45"/>
      <c r="D182" s="46"/>
      <c r="E182" s="47"/>
    </row>
    <row r="183" spans="1:5">
      <c r="A183" s="43"/>
      <c r="B183" s="44"/>
      <c r="C183" s="45"/>
      <c r="D183" s="46"/>
      <c r="E183" s="47"/>
    </row>
    <row r="184" spans="1:5">
      <c r="A184" s="43"/>
      <c r="B184" s="44"/>
      <c r="C184" s="45"/>
      <c r="D184" s="46"/>
      <c r="E184" s="47"/>
    </row>
    <row r="185" spans="1:5">
      <c r="A185" s="43"/>
      <c r="B185" s="44"/>
      <c r="C185" s="45"/>
      <c r="D185" s="46"/>
      <c r="E185" s="47"/>
    </row>
    <row r="186" spans="1:5">
      <c r="A186" s="43"/>
      <c r="B186" s="44"/>
      <c r="C186" s="45"/>
      <c r="D186" s="46"/>
      <c r="E186" s="47"/>
    </row>
    <row r="187" spans="1:5">
      <c r="A187" s="43"/>
      <c r="B187" s="44"/>
      <c r="C187" s="45"/>
      <c r="D187" s="46"/>
      <c r="E187" s="47"/>
    </row>
    <row r="188" spans="1:5">
      <c r="A188" s="43"/>
      <c r="B188" s="44"/>
      <c r="C188" s="45"/>
      <c r="D188" s="46"/>
      <c r="E188" s="47"/>
    </row>
    <row r="189" spans="1:5">
      <c r="A189" s="43"/>
      <c r="B189" s="44"/>
      <c r="C189" s="45"/>
      <c r="D189" s="46"/>
      <c r="E189" s="47"/>
    </row>
    <row r="190" spans="1:5">
      <c r="A190" s="43"/>
      <c r="B190" s="44"/>
      <c r="C190" s="45"/>
      <c r="D190" s="46"/>
      <c r="E190" s="47"/>
    </row>
    <row r="191" spans="1:5">
      <c r="A191" s="43"/>
      <c r="B191" s="44"/>
      <c r="C191" s="45"/>
      <c r="D191" s="46"/>
      <c r="E191" s="47"/>
    </row>
    <row r="192" spans="1:5">
      <c r="A192" s="43"/>
      <c r="B192" s="44"/>
      <c r="C192" s="45"/>
      <c r="D192" s="46"/>
      <c r="E192" s="47"/>
    </row>
    <row r="193" spans="1:5">
      <c r="A193" s="43"/>
      <c r="B193" s="44"/>
      <c r="C193" s="45"/>
      <c r="D193" s="46"/>
      <c r="E193" s="47"/>
    </row>
    <row r="194" spans="1:5">
      <c r="A194" s="43"/>
      <c r="B194" s="44"/>
      <c r="C194" s="45"/>
      <c r="D194" s="46"/>
      <c r="E194" s="47"/>
    </row>
    <row r="195" spans="1:5">
      <c r="A195" s="43"/>
      <c r="B195" s="44"/>
      <c r="C195" s="45"/>
      <c r="D195" s="46"/>
      <c r="E195" s="47"/>
    </row>
    <row r="196" spans="1:5">
      <c r="A196" s="43"/>
      <c r="B196" s="44"/>
      <c r="C196" s="45"/>
      <c r="D196" s="46"/>
      <c r="E196" s="47"/>
    </row>
    <row r="197" spans="1:5">
      <c r="A197" s="43"/>
      <c r="B197" s="44"/>
      <c r="C197" s="45"/>
      <c r="D197" s="46"/>
      <c r="E197" s="47"/>
    </row>
    <row r="198" spans="1:5">
      <c r="A198" s="43"/>
      <c r="B198" s="44"/>
      <c r="C198" s="45"/>
      <c r="D198" s="46"/>
      <c r="E198" s="47"/>
    </row>
    <row r="199" spans="1:5">
      <c r="A199" s="43"/>
      <c r="B199" s="44"/>
      <c r="C199" s="45"/>
      <c r="D199" s="46"/>
      <c r="E199" s="47"/>
    </row>
    <row r="200" spans="1:5">
      <c r="A200" s="43"/>
      <c r="B200" s="44"/>
      <c r="C200" s="45"/>
      <c r="D200" s="46"/>
      <c r="E200" s="47"/>
    </row>
    <row r="201" spans="1:5">
      <c r="A201" s="43"/>
      <c r="B201" s="44"/>
      <c r="C201" s="45"/>
      <c r="D201" s="46"/>
      <c r="E201" s="47"/>
    </row>
    <row r="202" spans="1:5">
      <c r="A202" s="43"/>
      <c r="B202" s="44"/>
      <c r="C202" s="45"/>
      <c r="D202" s="46"/>
      <c r="E202" s="47"/>
    </row>
    <row r="203" spans="1:5">
      <c r="A203" s="43"/>
      <c r="B203" s="44"/>
      <c r="C203" s="45"/>
      <c r="D203" s="46"/>
      <c r="E203" s="47"/>
    </row>
    <row r="204" spans="1:5">
      <c r="A204" s="43"/>
      <c r="B204" s="44"/>
      <c r="C204" s="45"/>
      <c r="D204" s="46"/>
      <c r="E204" s="47"/>
    </row>
    <row r="205" spans="1:5">
      <c r="A205" s="43"/>
      <c r="B205" s="44"/>
      <c r="C205" s="45"/>
      <c r="D205" s="46"/>
      <c r="E205" s="47"/>
    </row>
    <row r="206" spans="1:5">
      <c r="A206" s="43"/>
      <c r="B206" s="44"/>
      <c r="C206" s="45"/>
      <c r="D206" s="46"/>
      <c r="E206" s="47"/>
    </row>
    <row r="207" spans="1:5">
      <c r="A207" s="43"/>
      <c r="B207" s="44"/>
      <c r="C207" s="45"/>
      <c r="D207" s="46"/>
      <c r="E207" s="47"/>
    </row>
    <row r="208" spans="1:5">
      <c r="A208" s="43"/>
      <c r="B208" s="44"/>
      <c r="C208" s="45"/>
      <c r="D208" s="46"/>
      <c r="E208" s="47"/>
    </row>
    <row r="209" spans="1:5">
      <c r="A209" s="43"/>
      <c r="B209" s="44"/>
      <c r="C209" s="45"/>
      <c r="D209" s="46"/>
      <c r="E209" s="47"/>
    </row>
    <row r="210" spans="1:5">
      <c r="A210" s="43"/>
      <c r="B210" s="44"/>
      <c r="C210" s="45"/>
      <c r="D210" s="46"/>
      <c r="E210" s="47"/>
    </row>
    <row r="211" spans="1:5">
      <c r="A211" s="43"/>
      <c r="B211" s="44"/>
      <c r="C211" s="45"/>
      <c r="D211" s="46"/>
      <c r="E211" s="47"/>
    </row>
    <row r="212" spans="1:5">
      <c r="A212" s="43"/>
      <c r="B212" s="44"/>
      <c r="C212" s="45"/>
      <c r="D212" s="46"/>
      <c r="E212" s="47"/>
    </row>
    <row r="213" spans="1:5">
      <c r="A213" s="43"/>
      <c r="B213" s="44"/>
      <c r="C213" s="45"/>
      <c r="D213" s="46"/>
      <c r="E213" s="47"/>
    </row>
    <row r="214" spans="1:5">
      <c r="A214" s="43"/>
      <c r="B214" s="44"/>
      <c r="C214" s="45"/>
      <c r="D214" s="46"/>
      <c r="E214" s="47"/>
    </row>
    <row r="215" spans="1:5">
      <c r="A215" s="43"/>
      <c r="B215" s="44"/>
      <c r="C215" s="45"/>
      <c r="D215" s="46"/>
      <c r="E215" s="47"/>
    </row>
    <row r="216" spans="1:5">
      <c r="A216" s="43"/>
      <c r="B216" s="44"/>
      <c r="C216" s="45"/>
      <c r="D216" s="46"/>
      <c r="E216" s="47"/>
    </row>
    <row r="217" spans="1:5">
      <c r="A217" s="43"/>
      <c r="B217" s="44"/>
      <c r="C217" s="45"/>
      <c r="D217" s="46"/>
      <c r="E217" s="47"/>
    </row>
    <row r="218" spans="1:5">
      <c r="A218" s="43"/>
      <c r="B218" s="44"/>
      <c r="C218" s="45"/>
      <c r="D218" s="46"/>
      <c r="E218" s="47"/>
    </row>
    <row r="219" spans="1:5">
      <c r="A219" s="43"/>
      <c r="B219" s="44"/>
      <c r="C219" s="45"/>
      <c r="D219" s="46"/>
      <c r="E219" s="47"/>
    </row>
    <row r="220" spans="1:5">
      <c r="A220" s="43"/>
      <c r="B220" s="44"/>
      <c r="C220" s="45"/>
      <c r="D220" s="46"/>
      <c r="E220" s="47"/>
    </row>
    <row r="221" spans="1:5">
      <c r="A221" s="43"/>
      <c r="B221" s="44"/>
      <c r="C221" s="45"/>
      <c r="D221" s="46"/>
      <c r="E221" s="47"/>
    </row>
    <row r="222" spans="1:5">
      <c r="A222" s="43"/>
      <c r="B222" s="44"/>
      <c r="C222" s="45"/>
      <c r="D222" s="46"/>
      <c r="E222" s="47"/>
    </row>
    <row r="223" spans="1:5">
      <c r="A223" s="43"/>
      <c r="B223" s="44"/>
      <c r="C223" s="45"/>
      <c r="D223" s="46"/>
      <c r="E223" s="47"/>
    </row>
    <row r="224" spans="1:5">
      <c r="A224" s="43"/>
      <c r="B224" s="44"/>
      <c r="C224" s="45"/>
      <c r="D224" s="46"/>
      <c r="E224" s="47"/>
    </row>
    <row r="225" spans="1:5">
      <c r="A225" s="43"/>
      <c r="B225" s="44"/>
      <c r="C225" s="45"/>
      <c r="D225" s="46"/>
      <c r="E225" s="47"/>
    </row>
    <row r="226" spans="1:5">
      <c r="A226" s="43"/>
      <c r="B226" s="44"/>
      <c r="C226" s="45"/>
      <c r="D226" s="46"/>
      <c r="E226" s="47"/>
    </row>
    <row r="227" spans="1:5">
      <c r="A227" s="43"/>
      <c r="B227" s="44"/>
      <c r="C227" s="45"/>
      <c r="D227" s="46"/>
      <c r="E227" s="47"/>
    </row>
    <row r="228" spans="1:5">
      <c r="A228" s="43"/>
      <c r="B228" s="44"/>
      <c r="C228" s="45"/>
      <c r="D228" s="46"/>
      <c r="E228" s="47"/>
    </row>
    <row r="229" spans="1:5">
      <c r="A229" s="43"/>
      <c r="B229" s="44"/>
      <c r="C229" s="45"/>
      <c r="D229" s="46"/>
      <c r="E229" s="47"/>
    </row>
    <row r="230" spans="1:5">
      <c r="A230" s="43"/>
      <c r="B230" s="44"/>
      <c r="C230" s="45"/>
      <c r="D230" s="46"/>
      <c r="E230" s="47"/>
    </row>
    <row r="231" spans="1:5">
      <c r="A231" s="43"/>
      <c r="B231" s="44"/>
      <c r="C231" s="45"/>
      <c r="D231" s="46"/>
      <c r="E231" s="47"/>
    </row>
    <row r="232" spans="1:5">
      <c r="A232" s="43"/>
      <c r="B232" s="44"/>
      <c r="C232" s="45"/>
      <c r="D232" s="46"/>
      <c r="E232" s="47"/>
    </row>
    <row r="233" spans="1:5">
      <c r="A233" s="43"/>
      <c r="B233" s="44"/>
      <c r="C233" s="45"/>
      <c r="D233" s="46"/>
      <c r="E233" s="47"/>
    </row>
    <row r="234" spans="1:5">
      <c r="A234" s="43"/>
      <c r="B234" s="44"/>
      <c r="C234" s="45"/>
      <c r="D234" s="46"/>
      <c r="E234" s="47"/>
    </row>
    <row r="235" spans="1:5">
      <c r="A235" s="43"/>
      <c r="B235" s="44"/>
      <c r="C235" s="45"/>
      <c r="D235" s="46"/>
      <c r="E235" s="47"/>
    </row>
    <row r="236" spans="1:5">
      <c r="A236" s="43"/>
      <c r="B236" s="44"/>
      <c r="C236" s="45"/>
      <c r="D236" s="46"/>
      <c r="E236" s="47"/>
    </row>
    <row r="237" spans="1:5">
      <c r="A237" s="43"/>
      <c r="B237" s="44"/>
      <c r="C237" s="45"/>
      <c r="D237" s="46"/>
      <c r="E237" s="47"/>
    </row>
    <row r="238" spans="1:5">
      <c r="A238" s="43"/>
      <c r="B238" s="44"/>
      <c r="C238" s="45"/>
      <c r="D238" s="46"/>
      <c r="E238" s="47"/>
    </row>
    <row r="239" spans="1:5">
      <c r="A239" s="43"/>
      <c r="B239" s="44"/>
      <c r="C239" s="45"/>
      <c r="D239" s="46"/>
      <c r="E239" s="47"/>
    </row>
    <row r="240" spans="1:5">
      <c r="A240" s="43"/>
      <c r="B240" s="44"/>
      <c r="C240" s="45"/>
      <c r="D240" s="46"/>
      <c r="E240" s="47"/>
    </row>
    <row r="241" spans="1:5">
      <c r="A241" s="43"/>
      <c r="B241" s="44"/>
      <c r="C241" s="45"/>
      <c r="D241" s="46"/>
      <c r="E241" s="47"/>
    </row>
    <row r="242" spans="1:5">
      <c r="A242" s="43"/>
      <c r="B242" s="44"/>
      <c r="C242" s="45"/>
      <c r="D242" s="46"/>
      <c r="E242" s="47"/>
    </row>
    <row r="243" spans="1:5">
      <c r="A243" s="43"/>
      <c r="B243" s="44"/>
      <c r="C243" s="45"/>
      <c r="D243" s="46"/>
      <c r="E243" s="47"/>
    </row>
    <row r="244" spans="1:5">
      <c r="A244" s="43"/>
      <c r="B244" s="44"/>
      <c r="C244" s="45"/>
      <c r="D244" s="46"/>
      <c r="E244" s="47"/>
    </row>
    <row r="245" spans="1:5">
      <c r="A245" s="43"/>
      <c r="B245" s="44"/>
      <c r="C245" s="45"/>
      <c r="D245" s="46"/>
      <c r="E245" s="47"/>
    </row>
    <row r="246" spans="1:5">
      <c r="A246" s="43"/>
      <c r="B246" s="44"/>
      <c r="C246" s="45"/>
      <c r="D246" s="46"/>
      <c r="E246" s="47"/>
    </row>
    <row r="247" spans="1:5">
      <c r="A247" s="43"/>
      <c r="B247" s="44"/>
      <c r="C247" s="45"/>
      <c r="D247" s="46"/>
      <c r="E247" s="47"/>
    </row>
    <row r="248" spans="1:5">
      <c r="A248" s="43"/>
      <c r="B248" s="44"/>
      <c r="C248" s="45"/>
      <c r="D248" s="46"/>
      <c r="E248" s="47"/>
    </row>
    <row r="249" spans="1:5">
      <c r="A249" s="43"/>
      <c r="B249" s="44"/>
      <c r="C249" s="45"/>
      <c r="D249" s="46"/>
      <c r="E249" s="47"/>
    </row>
    <row r="250" spans="1:5">
      <c r="A250" s="43"/>
      <c r="B250" s="44"/>
      <c r="C250" s="45"/>
      <c r="D250" s="46"/>
      <c r="E250" s="47"/>
    </row>
    <row r="251" spans="1:5">
      <c r="A251" s="43"/>
      <c r="B251" s="44"/>
      <c r="C251" s="45"/>
      <c r="D251" s="46"/>
      <c r="E251" s="47"/>
    </row>
    <row r="252" spans="1:5">
      <c r="A252" s="43"/>
      <c r="B252" s="44"/>
      <c r="C252" s="45"/>
      <c r="D252" s="46"/>
      <c r="E252" s="47"/>
    </row>
    <row r="253" spans="1:5">
      <c r="A253" s="43"/>
      <c r="B253" s="44"/>
      <c r="C253" s="45"/>
      <c r="D253" s="46"/>
      <c r="E253" s="47"/>
    </row>
    <row r="254" spans="1:5">
      <c r="A254" s="43"/>
      <c r="B254" s="44"/>
      <c r="C254" s="45"/>
      <c r="D254" s="46"/>
      <c r="E254" s="47"/>
    </row>
    <row r="255" spans="1:5">
      <c r="A255" s="43"/>
      <c r="B255" s="44"/>
      <c r="C255" s="45"/>
      <c r="D255" s="46"/>
      <c r="E255" s="47"/>
    </row>
    <row r="256" spans="1:5">
      <c r="A256" s="43"/>
      <c r="B256" s="44"/>
      <c r="C256" s="45"/>
      <c r="D256" s="46"/>
      <c r="E256" s="47"/>
    </row>
    <row r="257" spans="1:5">
      <c r="A257" s="43"/>
      <c r="B257" s="44"/>
      <c r="C257" s="45"/>
      <c r="D257" s="46"/>
      <c r="E257" s="47"/>
    </row>
    <row r="258" spans="1:5">
      <c r="A258" s="43"/>
      <c r="B258" s="44"/>
      <c r="C258" s="45"/>
      <c r="D258" s="46"/>
      <c r="E258" s="47"/>
    </row>
    <row r="259" spans="1:5">
      <c r="A259" s="43"/>
      <c r="B259" s="44"/>
      <c r="C259" s="45"/>
      <c r="D259" s="46"/>
      <c r="E259" s="47"/>
    </row>
    <row r="260" spans="1:5">
      <c r="A260" s="43"/>
      <c r="B260" s="44"/>
      <c r="C260" s="45"/>
      <c r="D260" s="46"/>
      <c r="E260" s="47"/>
    </row>
    <row r="261" spans="1:5">
      <c r="A261" s="43"/>
      <c r="B261" s="44"/>
      <c r="C261" s="45"/>
      <c r="D261" s="46"/>
      <c r="E261" s="47"/>
    </row>
    <row r="262" spans="1:5">
      <c r="A262" s="43"/>
      <c r="B262" s="44"/>
      <c r="C262" s="45"/>
      <c r="D262" s="46"/>
      <c r="E262" s="47"/>
    </row>
    <row r="263" spans="1:5">
      <c r="A263" s="43"/>
      <c r="B263" s="44"/>
      <c r="C263" s="45"/>
      <c r="D263" s="46"/>
      <c r="E263" s="47"/>
    </row>
    <row r="264" spans="1:5">
      <c r="A264" s="43"/>
      <c r="B264" s="44"/>
      <c r="C264" s="45"/>
      <c r="D264" s="46"/>
      <c r="E264" s="47"/>
    </row>
    <row r="265" spans="1:5">
      <c r="A265" s="43"/>
      <c r="B265" s="44"/>
      <c r="C265" s="45"/>
      <c r="D265" s="46"/>
      <c r="E265" s="47"/>
    </row>
    <row r="266" spans="1:5">
      <c r="A266" s="43"/>
      <c r="B266" s="44"/>
      <c r="C266" s="45"/>
      <c r="D266" s="46"/>
      <c r="E266" s="47"/>
    </row>
    <row r="267" spans="1:5">
      <c r="A267" s="43"/>
      <c r="B267" s="44"/>
      <c r="C267" s="45"/>
      <c r="D267" s="46"/>
      <c r="E267" s="47"/>
    </row>
    <row r="268" spans="1:5">
      <c r="A268" s="43"/>
      <c r="B268" s="44"/>
      <c r="C268" s="45"/>
      <c r="D268" s="46"/>
      <c r="E268" s="47"/>
    </row>
    <row r="269" spans="1:5">
      <c r="A269" s="43"/>
      <c r="B269" s="44"/>
      <c r="C269" s="45"/>
      <c r="D269" s="46"/>
      <c r="E269" s="47"/>
    </row>
    <row r="270" spans="1:5">
      <c r="A270" s="43"/>
      <c r="B270" s="44"/>
      <c r="C270" s="45"/>
      <c r="D270" s="46"/>
      <c r="E270" s="47"/>
    </row>
    <row r="271" spans="1:5">
      <c r="A271" s="43"/>
      <c r="B271" s="44"/>
      <c r="C271" s="45"/>
      <c r="D271" s="46"/>
      <c r="E271" s="47"/>
    </row>
    <row r="272" spans="1:5">
      <c r="A272" s="43"/>
      <c r="B272" s="44"/>
      <c r="C272" s="45"/>
      <c r="D272" s="46"/>
      <c r="E272" s="47"/>
    </row>
    <row r="273" spans="1:5">
      <c r="A273" s="43"/>
      <c r="B273" s="44"/>
      <c r="C273" s="45"/>
      <c r="D273" s="46"/>
      <c r="E273" s="47"/>
    </row>
    <row r="274" spans="1:5">
      <c r="A274" s="43"/>
      <c r="B274" s="44"/>
      <c r="C274" s="45"/>
      <c r="D274" s="46"/>
      <c r="E274" s="47"/>
    </row>
    <row r="275" spans="1:5">
      <c r="A275" s="43"/>
      <c r="B275" s="44"/>
      <c r="C275" s="45"/>
      <c r="D275" s="46"/>
      <c r="E275" s="47"/>
    </row>
    <row r="276" spans="1:5">
      <c r="A276" s="43"/>
      <c r="B276" s="44"/>
      <c r="C276" s="45"/>
      <c r="D276" s="46"/>
      <c r="E276" s="47"/>
    </row>
    <row r="277" spans="1:5">
      <c r="A277" s="43"/>
      <c r="B277" s="44"/>
      <c r="C277" s="45"/>
      <c r="D277" s="46"/>
      <c r="E277" s="47"/>
    </row>
    <row r="278" spans="1:5">
      <c r="A278" s="43"/>
      <c r="B278" s="44"/>
      <c r="C278" s="45"/>
      <c r="D278" s="46"/>
      <c r="E278" s="47"/>
    </row>
    <row r="279" spans="1:5">
      <c r="A279" s="43"/>
      <c r="B279" s="44"/>
      <c r="C279" s="45"/>
      <c r="D279" s="46"/>
      <c r="E279" s="47"/>
    </row>
    <row r="280" spans="1:5">
      <c r="A280" s="43"/>
      <c r="B280" s="44"/>
      <c r="C280" s="45"/>
      <c r="D280" s="46"/>
      <c r="E280" s="47"/>
    </row>
    <row r="281" spans="1:5">
      <c r="A281" s="43"/>
      <c r="B281" s="44"/>
      <c r="C281" s="45"/>
      <c r="D281" s="46"/>
      <c r="E281" s="47"/>
    </row>
    <row r="282" spans="1:5">
      <c r="A282" s="43"/>
      <c r="B282" s="44"/>
      <c r="C282" s="45"/>
      <c r="D282" s="46"/>
      <c r="E282" s="47"/>
    </row>
    <row r="283" spans="1:5">
      <c r="A283" s="43"/>
      <c r="B283" s="44"/>
      <c r="C283" s="45"/>
      <c r="D283" s="46"/>
      <c r="E283" s="47"/>
    </row>
    <row r="284" spans="1:5">
      <c r="A284" s="43"/>
      <c r="B284" s="44"/>
      <c r="C284" s="45"/>
      <c r="D284" s="46"/>
      <c r="E284" s="47"/>
    </row>
    <row r="285" spans="1:5">
      <c r="A285" s="43"/>
      <c r="B285" s="44"/>
      <c r="C285" s="45"/>
      <c r="D285" s="46"/>
      <c r="E285" s="47"/>
    </row>
    <row r="286" spans="1:5">
      <c r="A286" s="43"/>
      <c r="B286" s="44"/>
      <c r="C286" s="45"/>
      <c r="D286" s="46"/>
      <c r="E286" s="47"/>
    </row>
    <row r="287" spans="1:5">
      <c r="A287" s="43"/>
      <c r="B287" s="44"/>
      <c r="C287" s="45"/>
      <c r="D287" s="46"/>
      <c r="E287" s="47"/>
    </row>
    <row r="288" spans="1:5">
      <c r="A288" s="43"/>
      <c r="B288" s="44"/>
      <c r="C288" s="45"/>
      <c r="D288" s="46"/>
      <c r="E288" s="47"/>
    </row>
    <row r="289" spans="1:5">
      <c r="A289" s="43"/>
      <c r="B289" s="44"/>
      <c r="C289" s="45"/>
      <c r="D289" s="46"/>
      <c r="E289" s="47"/>
    </row>
    <row r="290" spans="1:5">
      <c r="A290" s="43"/>
      <c r="B290" s="44"/>
      <c r="C290" s="45"/>
      <c r="D290" s="46"/>
      <c r="E290" s="47"/>
    </row>
    <row r="291" spans="1:5">
      <c r="A291" s="43"/>
      <c r="B291" s="44"/>
      <c r="C291" s="45"/>
      <c r="D291" s="46"/>
      <c r="E291" s="47"/>
    </row>
    <row r="292" spans="1:5">
      <c r="A292" s="43"/>
      <c r="B292" s="44"/>
      <c r="C292" s="45"/>
      <c r="D292" s="46"/>
      <c r="E292" s="47"/>
    </row>
    <row r="293" spans="1:5">
      <c r="A293" s="43"/>
      <c r="B293" s="44"/>
      <c r="C293" s="45"/>
      <c r="D293" s="46"/>
      <c r="E293" s="47"/>
    </row>
    <row r="294" spans="1:5">
      <c r="A294" s="43"/>
      <c r="B294" s="44"/>
      <c r="C294" s="45"/>
      <c r="D294" s="46"/>
      <c r="E294" s="47"/>
    </row>
    <row r="295" spans="1:5">
      <c r="A295" s="43"/>
      <c r="B295" s="44"/>
      <c r="C295" s="45"/>
      <c r="D295" s="46"/>
      <c r="E295" s="47"/>
    </row>
    <row r="296" spans="1:5">
      <c r="A296" s="43"/>
      <c r="B296" s="44"/>
      <c r="C296" s="45"/>
      <c r="D296" s="46"/>
      <c r="E296" s="47"/>
    </row>
    <row r="297" spans="1:5">
      <c r="A297" s="43"/>
      <c r="B297" s="44"/>
      <c r="C297" s="45"/>
      <c r="D297" s="46"/>
      <c r="E297" s="47"/>
    </row>
    <row r="298" spans="1:5">
      <c r="A298" s="43"/>
      <c r="B298" s="44"/>
      <c r="C298" s="45"/>
      <c r="D298" s="46"/>
      <c r="E298" s="47"/>
    </row>
    <row r="299" spans="1:5">
      <c r="A299" s="43"/>
      <c r="B299" s="44"/>
      <c r="C299" s="45"/>
      <c r="D299" s="46"/>
      <c r="E299" s="47"/>
    </row>
    <row r="300" spans="1:5">
      <c r="A300" s="43"/>
      <c r="B300" s="44"/>
      <c r="C300" s="45"/>
      <c r="D300" s="46"/>
      <c r="E300" s="47"/>
    </row>
    <row r="301" spans="1:5">
      <c r="A301" s="43"/>
      <c r="B301" s="44"/>
      <c r="C301" s="45"/>
      <c r="D301" s="46"/>
      <c r="E301" s="47"/>
    </row>
    <row r="302" spans="1:5">
      <c r="A302" s="43"/>
      <c r="B302" s="44"/>
      <c r="C302" s="45"/>
      <c r="D302" s="46"/>
      <c r="E302" s="47"/>
    </row>
    <row r="303" spans="1:5">
      <c r="A303" s="43"/>
      <c r="B303" s="44"/>
      <c r="C303" s="45"/>
      <c r="D303" s="46"/>
      <c r="E303" s="47"/>
    </row>
    <row r="304" spans="1:5">
      <c r="A304" s="43"/>
      <c r="B304" s="44"/>
      <c r="C304" s="45"/>
      <c r="D304" s="46"/>
      <c r="E304" s="47"/>
    </row>
    <row r="305" spans="1:5">
      <c r="A305" s="43"/>
      <c r="B305" s="44"/>
      <c r="C305" s="45"/>
      <c r="D305" s="46"/>
      <c r="E305" s="47"/>
    </row>
    <row r="306" spans="1:5">
      <c r="A306" s="43"/>
      <c r="B306" s="44"/>
      <c r="C306" s="45"/>
      <c r="D306" s="46"/>
      <c r="E306" s="47"/>
    </row>
    <row r="307" spans="1:5">
      <c r="A307" s="43"/>
      <c r="B307" s="44"/>
      <c r="C307" s="45"/>
      <c r="D307" s="46"/>
      <c r="E307" s="47"/>
    </row>
    <row r="308" spans="1:5">
      <c r="A308" s="43"/>
      <c r="B308" s="44"/>
      <c r="C308" s="45"/>
      <c r="D308" s="46"/>
      <c r="E308" s="47"/>
    </row>
    <row r="309" spans="1:5">
      <c r="A309" s="43"/>
      <c r="B309" s="44"/>
      <c r="C309" s="45"/>
      <c r="D309" s="46"/>
      <c r="E309" s="47"/>
    </row>
    <row r="310" spans="1:5">
      <c r="A310" s="43"/>
      <c r="B310" s="44"/>
      <c r="C310" s="45"/>
      <c r="D310" s="46"/>
      <c r="E310" s="47"/>
    </row>
    <row r="311" spans="1:5">
      <c r="A311" s="43"/>
      <c r="B311" s="44"/>
      <c r="C311" s="45"/>
      <c r="D311" s="46"/>
      <c r="E311" s="47"/>
    </row>
    <row r="312" spans="1:5">
      <c r="A312" s="43"/>
      <c r="B312" s="44"/>
      <c r="C312" s="45"/>
      <c r="D312" s="46"/>
      <c r="E312" s="47"/>
    </row>
    <row r="313" spans="1:5">
      <c r="A313" s="43"/>
      <c r="B313" s="44"/>
      <c r="C313" s="45"/>
      <c r="D313" s="46"/>
      <c r="E313" s="47"/>
    </row>
    <row r="314" spans="1:5">
      <c r="A314" s="43"/>
      <c r="B314" s="44"/>
      <c r="C314" s="45"/>
      <c r="D314" s="46"/>
      <c r="E314" s="47"/>
    </row>
    <row r="315" spans="1:5">
      <c r="A315" s="43"/>
      <c r="B315" s="44"/>
      <c r="C315" s="45"/>
      <c r="D315" s="46"/>
      <c r="E315" s="47"/>
    </row>
    <row r="316" spans="1:5">
      <c r="A316" s="43"/>
      <c r="B316" s="44"/>
      <c r="C316" s="45"/>
      <c r="D316" s="46"/>
      <c r="E316" s="47"/>
    </row>
    <row r="317" spans="1:5">
      <c r="A317" s="43"/>
      <c r="B317" s="44"/>
      <c r="C317" s="45"/>
      <c r="D317" s="46"/>
      <c r="E317" s="47"/>
    </row>
    <row r="318" spans="1:5">
      <c r="A318" s="43"/>
      <c r="B318" s="44"/>
      <c r="C318" s="45"/>
      <c r="D318" s="46"/>
      <c r="E318" s="47"/>
    </row>
    <row r="319" spans="1:5">
      <c r="A319" s="43"/>
      <c r="B319" s="44"/>
      <c r="C319" s="45"/>
      <c r="D319" s="46"/>
      <c r="E319" s="47"/>
    </row>
    <row r="320" spans="1:5">
      <c r="A320" s="43"/>
      <c r="B320" s="44"/>
      <c r="C320" s="45"/>
      <c r="D320" s="46"/>
      <c r="E320" s="47"/>
    </row>
    <row r="321" spans="1:5">
      <c r="A321" s="43"/>
      <c r="B321" s="44"/>
      <c r="C321" s="45"/>
      <c r="D321" s="46"/>
      <c r="E321" s="47"/>
    </row>
    <row r="322" spans="1:5">
      <c r="A322" s="43"/>
      <c r="B322" s="44"/>
      <c r="C322" s="45"/>
      <c r="D322" s="46"/>
      <c r="E322" s="47"/>
    </row>
    <row r="323" spans="1:5">
      <c r="A323" s="43"/>
      <c r="B323" s="44"/>
      <c r="C323" s="45"/>
      <c r="D323" s="46"/>
      <c r="E323" s="47"/>
    </row>
    <row r="324" spans="1:5">
      <c r="A324" s="43"/>
      <c r="B324" s="44"/>
      <c r="C324" s="45"/>
      <c r="D324" s="46"/>
      <c r="E324" s="47"/>
    </row>
    <row r="325" spans="1:5">
      <c r="A325" s="43"/>
      <c r="B325" s="44"/>
      <c r="C325" s="45"/>
      <c r="D325" s="46"/>
      <c r="E325" s="47"/>
    </row>
    <row r="326" spans="1:5">
      <c r="A326" s="43"/>
      <c r="B326" s="44"/>
      <c r="C326" s="45"/>
      <c r="D326" s="46"/>
      <c r="E326" s="47"/>
    </row>
    <row r="327" spans="1:5">
      <c r="A327" s="43"/>
      <c r="B327" s="44"/>
      <c r="C327" s="45"/>
      <c r="D327" s="46"/>
      <c r="E327" s="47"/>
    </row>
    <row r="328" spans="1:5">
      <c r="A328" s="43"/>
      <c r="B328" s="44"/>
      <c r="C328" s="45"/>
      <c r="D328" s="46"/>
      <c r="E328" s="47"/>
    </row>
    <row r="329" spans="1:5">
      <c r="A329" s="43"/>
      <c r="B329" s="44"/>
      <c r="C329" s="45"/>
      <c r="D329" s="46"/>
      <c r="E329" s="47"/>
    </row>
    <row r="330" spans="1:5">
      <c r="A330" s="43"/>
      <c r="B330" s="44"/>
      <c r="C330" s="45"/>
      <c r="D330" s="46"/>
      <c r="E330" s="47"/>
    </row>
    <row r="331" spans="1:5">
      <c r="A331" s="43"/>
      <c r="B331" s="44"/>
      <c r="C331" s="45"/>
      <c r="D331" s="46"/>
      <c r="E331" s="47"/>
    </row>
    <row r="332" spans="1:5">
      <c r="A332" s="43"/>
      <c r="B332" s="44"/>
      <c r="C332" s="45"/>
      <c r="D332" s="46"/>
      <c r="E332" s="47"/>
    </row>
    <row r="333" spans="1:5">
      <c r="A333" s="43"/>
      <c r="B333" s="44"/>
      <c r="C333" s="45"/>
      <c r="D333" s="46"/>
      <c r="E333" s="47"/>
    </row>
    <row r="334" spans="1:5">
      <c r="A334" s="43"/>
      <c r="B334" s="44"/>
      <c r="C334" s="45"/>
      <c r="D334" s="46"/>
      <c r="E334" s="47"/>
    </row>
    <row r="335" spans="1:5">
      <c r="A335" s="43"/>
      <c r="B335" s="44"/>
      <c r="C335" s="45"/>
      <c r="D335" s="46"/>
      <c r="E335" s="47"/>
    </row>
    <row r="336" spans="1:5">
      <c r="A336" s="43"/>
      <c r="B336" s="44"/>
      <c r="C336" s="45"/>
      <c r="D336" s="46"/>
      <c r="E336" s="47"/>
    </row>
    <row r="337" spans="1:5">
      <c r="A337" s="43"/>
      <c r="B337" s="44"/>
      <c r="C337" s="45"/>
      <c r="D337" s="46"/>
      <c r="E337" s="47"/>
    </row>
    <row r="338" spans="1:5">
      <c r="A338" s="43"/>
      <c r="B338" s="44"/>
      <c r="C338" s="45"/>
      <c r="D338" s="46"/>
      <c r="E338" s="47"/>
    </row>
    <row r="339" spans="1:5">
      <c r="A339" s="43"/>
      <c r="B339" s="44"/>
      <c r="C339" s="45"/>
      <c r="D339" s="46"/>
      <c r="E339" s="47"/>
    </row>
    <row r="340" spans="1:5">
      <c r="A340" s="43"/>
      <c r="B340" s="44"/>
      <c r="C340" s="45"/>
      <c r="D340" s="46"/>
      <c r="E340" s="47"/>
    </row>
    <row r="341" spans="1:5">
      <c r="A341" s="43"/>
      <c r="B341" s="44"/>
      <c r="C341" s="45"/>
      <c r="D341" s="46"/>
      <c r="E341" s="47"/>
    </row>
    <row r="342" spans="1:5">
      <c r="A342" s="43"/>
      <c r="B342" s="44"/>
      <c r="C342" s="45"/>
      <c r="D342" s="46"/>
      <c r="E342" s="47"/>
    </row>
    <row r="343" spans="1:5">
      <c r="A343" s="43"/>
      <c r="B343" s="44"/>
      <c r="C343" s="45"/>
      <c r="D343" s="46"/>
      <c r="E343" s="47"/>
    </row>
    <row r="344" spans="1:5">
      <c r="A344" s="43"/>
      <c r="B344" s="44"/>
      <c r="C344" s="45"/>
      <c r="D344" s="46"/>
      <c r="E344" s="47"/>
    </row>
    <row r="345" spans="1:5">
      <c r="A345" s="43"/>
      <c r="B345" s="44"/>
      <c r="C345" s="45"/>
      <c r="D345" s="46"/>
      <c r="E345" s="47"/>
    </row>
    <row r="346" spans="1:5">
      <c r="A346" s="43"/>
      <c r="B346" s="44"/>
      <c r="C346" s="45"/>
      <c r="D346" s="46"/>
      <c r="E346" s="47"/>
    </row>
    <row r="347" spans="1:5">
      <c r="A347" s="43"/>
      <c r="B347" s="44"/>
      <c r="C347" s="45"/>
      <c r="D347" s="46"/>
      <c r="E347" s="47"/>
    </row>
    <row r="348" spans="1:5">
      <c r="A348" s="43"/>
      <c r="B348" s="44"/>
      <c r="C348" s="45"/>
      <c r="D348" s="46"/>
      <c r="E348" s="47"/>
    </row>
    <row r="349" spans="1:5">
      <c r="A349" s="43"/>
      <c r="B349" s="44"/>
      <c r="C349" s="45"/>
      <c r="D349" s="46"/>
      <c r="E349" s="47"/>
    </row>
    <row r="350" spans="1:5">
      <c r="A350" s="43"/>
      <c r="B350" s="44"/>
      <c r="C350" s="45"/>
      <c r="D350" s="46"/>
      <c r="E350" s="47"/>
    </row>
    <row r="351" spans="1:5">
      <c r="A351" s="43"/>
      <c r="B351" s="44"/>
      <c r="C351" s="45"/>
      <c r="D351" s="46"/>
      <c r="E351" s="47"/>
    </row>
    <row r="352" spans="1:5">
      <c r="A352" s="43"/>
      <c r="B352" s="44"/>
      <c r="C352" s="45"/>
      <c r="D352" s="46"/>
      <c r="E352" s="47"/>
    </row>
    <row r="353" spans="1:5">
      <c r="A353" s="43"/>
      <c r="B353" s="44"/>
      <c r="C353" s="45"/>
      <c r="D353" s="46"/>
      <c r="E353" s="47"/>
    </row>
    <row r="354" spans="1:5">
      <c r="A354" s="43"/>
      <c r="B354" s="44"/>
      <c r="C354" s="45"/>
      <c r="D354" s="46"/>
      <c r="E354" s="47"/>
    </row>
    <row r="355" spans="1:5">
      <c r="A355" s="43"/>
      <c r="B355" s="44"/>
      <c r="C355" s="45"/>
      <c r="D355" s="46"/>
      <c r="E355" s="47"/>
    </row>
    <row r="356" spans="1:5">
      <c r="A356" s="43"/>
      <c r="B356" s="44"/>
      <c r="C356" s="45"/>
      <c r="D356" s="46"/>
      <c r="E356" s="47"/>
    </row>
    <row r="357" spans="1:5">
      <c r="A357" s="43"/>
      <c r="B357" s="44"/>
      <c r="C357" s="45"/>
      <c r="D357" s="46"/>
      <c r="E357" s="47"/>
    </row>
    <row r="358" spans="1:5">
      <c r="A358" s="43"/>
      <c r="B358" s="44"/>
      <c r="C358" s="45"/>
      <c r="D358" s="46"/>
      <c r="E358" s="47"/>
    </row>
    <row r="359" spans="1:5">
      <c r="A359" s="43"/>
      <c r="B359" s="44"/>
      <c r="C359" s="45"/>
      <c r="D359" s="46"/>
      <c r="E359" s="47"/>
    </row>
    <row r="360" spans="1:5">
      <c r="A360" s="43"/>
      <c r="B360" s="44"/>
      <c r="C360" s="45"/>
      <c r="D360" s="46"/>
      <c r="E360" s="47"/>
    </row>
    <row r="361" spans="1:5">
      <c r="A361" s="43"/>
      <c r="B361" s="44"/>
      <c r="C361" s="45"/>
      <c r="D361" s="46"/>
      <c r="E361" s="47"/>
    </row>
    <row r="362" spans="1:5">
      <c r="A362" s="43"/>
      <c r="B362" s="44"/>
      <c r="C362" s="45"/>
      <c r="D362" s="46"/>
      <c r="E362" s="47"/>
    </row>
    <row r="363" spans="1:5">
      <c r="A363" s="43"/>
      <c r="B363" s="44"/>
      <c r="C363" s="45"/>
      <c r="D363" s="46"/>
      <c r="E363" s="47"/>
    </row>
    <row r="364" spans="1:5">
      <c r="A364" s="43"/>
      <c r="B364" s="44"/>
      <c r="C364" s="45"/>
      <c r="D364" s="46"/>
      <c r="E364" s="47"/>
    </row>
    <row r="365" spans="1:5">
      <c r="A365" s="43"/>
      <c r="B365" s="44"/>
      <c r="C365" s="45"/>
      <c r="D365" s="46"/>
      <c r="E365" s="47"/>
    </row>
    <row r="366" spans="1:5">
      <c r="A366" s="43"/>
      <c r="B366" s="44"/>
      <c r="C366" s="45"/>
      <c r="D366" s="46"/>
      <c r="E366" s="47"/>
    </row>
    <row r="367" spans="1:5">
      <c r="A367" s="43"/>
      <c r="B367" s="44"/>
      <c r="C367" s="45"/>
      <c r="D367" s="46"/>
      <c r="E367" s="47"/>
    </row>
    <row r="368" spans="1:5">
      <c r="A368" s="43"/>
      <c r="B368" s="44"/>
      <c r="C368" s="45"/>
      <c r="D368" s="46"/>
      <c r="E368" s="47"/>
    </row>
    <row r="369" spans="1:5">
      <c r="A369" s="43"/>
      <c r="B369" s="44"/>
      <c r="C369" s="45"/>
      <c r="D369" s="46"/>
      <c r="E369" s="47"/>
    </row>
    <row r="370" spans="1:5">
      <c r="A370" s="43"/>
      <c r="B370" s="44"/>
      <c r="C370" s="45"/>
      <c r="D370" s="46"/>
      <c r="E370" s="47"/>
    </row>
    <row r="371" spans="1:5">
      <c r="A371" s="43"/>
      <c r="B371" s="44"/>
      <c r="C371" s="45"/>
      <c r="D371" s="46"/>
      <c r="E371" s="47"/>
    </row>
    <row r="372" spans="1:5">
      <c r="A372" s="43"/>
      <c r="B372" s="44"/>
      <c r="C372" s="45"/>
      <c r="D372" s="46"/>
      <c r="E372" s="47"/>
    </row>
    <row r="373" spans="1:5">
      <c r="A373" s="43"/>
      <c r="B373" s="44"/>
      <c r="C373" s="45"/>
      <c r="D373" s="46"/>
      <c r="E373" s="47"/>
    </row>
    <row r="374" spans="1:5">
      <c r="A374" s="43"/>
      <c r="B374" s="44"/>
      <c r="C374" s="45"/>
      <c r="D374" s="46"/>
      <c r="E374" s="47"/>
    </row>
    <row r="375" spans="1:5">
      <c r="A375" s="43"/>
      <c r="B375" s="44"/>
      <c r="C375" s="45"/>
      <c r="D375" s="46"/>
      <c r="E375" s="47"/>
    </row>
    <row r="376" spans="1:5">
      <c r="A376" s="43"/>
      <c r="B376" s="44"/>
      <c r="C376" s="45"/>
      <c r="D376" s="46"/>
      <c r="E376" s="47"/>
    </row>
    <row r="377" spans="1:5">
      <c r="A377" s="43"/>
      <c r="B377" s="44"/>
      <c r="C377" s="45"/>
      <c r="D377" s="46"/>
      <c r="E377" s="47"/>
    </row>
    <row r="378" spans="1:5">
      <c r="A378" s="43"/>
      <c r="B378" s="44"/>
      <c r="C378" s="45"/>
      <c r="D378" s="46"/>
      <c r="E378" s="47"/>
    </row>
    <row r="379" spans="1:5">
      <c r="A379" s="43"/>
      <c r="B379" s="44"/>
      <c r="C379" s="45"/>
      <c r="D379" s="46"/>
      <c r="E379" s="47"/>
    </row>
    <row r="380" spans="1:5">
      <c r="A380" s="43"/>
      <c r="B380" s="44"/>
      <c r="C380" s="45"/>
      <c r="D380" s="46"/>
      <c r="E380" s="47"/>
    </row>
    <row r="381" spans="1:5">
      <c r="A381" s="43"/>
      <c r="B381" s="44"/>
      <c r="C381" s="45"/>
      <c r="D381" s="46"/>
      <c r="E381" s="47"/>
    </row>
    <row r="382" spans="1:5">
      <c r="A382" s="43"/>
      <c r="B382" s="44"/>
      <c r="C382" s="45"/>
      <c r="D382" s="46"/>
      <c r="E382" s="47"/>
    </row>
    <row r="383" spans="1:5">
      <c r="A383" s="43"/>
      <c r="B383" s="44"/>
      <c r="C383" s="45"/>
      <c r="D383" s="46"/>
      <c r="E383" s="47"/>
    </row>
    <row r="384" spans="1:5">
      <c r="A384" s="43"/>
      <c r="B384" s="44"/>
      <c r="C384" s="45"/>
      <c r="D384" s="46"/>
      <c r="E384" s="47"/>
    </row>
    <row r="385" spans="1:5">
      <c r="A385" s="43"/>
      <c r="B385" s="44"/>
      <c r="C385" s="45"/>
      <c r="D385" s="46"/>
      <c r="E385" s="47"/>
    </row>
    <row r="386" spans="1:5">
      <c r="A386" s="43"/>
      <c r="B386" s="44"/>
      <c r="C386" s="45"/>
      <c r="D386" s="46"/>
      <c r="E386" s="47"/>
    </row>
    <row r="387" spans="1:5">
      <c r="A387" s="43"/>
      <c r="B387" s="44"/>
      <c r="C387" s="45"/>
      <c r="D387" s="46"/>
      <c r="E387" s="47"/>
    </row>
    <row r="388" spans="1:5">
      <c r="A388" s="43"/>
      <c r="B388" s="44"/>
      <c r="C388" s="45"/>
      <c r="D388" s="46"/>
      <c r="E388" s="47"/>
    </row>
    <row r="389" spans="1:5">
      <c r="A389" s="43"/>
      <c r="B389" s="44"/>
      <c r="C389" s="45"/>
      <c r="D389" s="46"/>
      <c r="E389" s="47"/>
    </row>
    <row r="390" spans="1:5">
      <c r="A390" s="43"/>
      <c r="B390" s="44"/>
      <c r="C390" s="45"/>
      <c r="D390" s="46"/>
      <c r="E390" s="47"/>
    </row>
    <row r="391" spans="1:5">
      <c r="A391" s="43"/>
      <c r="B391" s="44"/>
      <c r="C391" s="45"/>
      <c r="D391" s="46"/>
      <c r="E391" s="47"/>
    </row>
    <row r="392" spans="1:5">
      <c r="A392" s="43"/>
      <c r="B392" s="44"/>
      <c r="C392" s="45"/>
      <c r="D392" s="46"/>
      <c r="E392" s="47"/>
    </row>
    <row r="393" spans="1:5">
      <c r="A393" s="43"/>
      <c r="B393" s="44"/>
      <c r="C393" s="45"/>
      <c r="D393" s="46"/>
      <c r="E393" s="47"/>
    </row>
    <row r="394" spans="1:5">
      <c r="A394" s="43"/>
      <c r="B394" s="44"/>
      <c r="C394" s="45"/>
      <c r="D394" s="46"/>
      <c r="E394" s="47"/>
    </row>
    <row r="395" spans="1:5">
      <c r="A395" s="43"/>
      <c r="B395" s="44"/>
      <c r="C395" s="45"/>
      <c r="D395" s="46"/>
      <c r="E395" s="47"/>
    </row>
    <row r="396" spans="1:5">
      <c r="A396" s="43"/>
      <c r="B396" s="44"/>
      <c r="C396" s="45"/>
      <c r="D396" s="46"/>
      <c r="E396" s="47"/>
    </row>
    <row r="397" spans="1:5">
      <c r="A397" s="43"/>
      <c r="B397" s="44"/>
      <c r="C397" s="45"/>
      <c r="D397" s="46"/>
      <c r="E397" s="47"/>
    </row>
    <row r="398" spans="1:5">
      <c r="A398" s="43"/>
      <c r="B398" s="44"/>
      <c r="C398" s="45"/>
      <c r="D398" s="46"/>
      <c r="E398" s="47"/>
    </row>
    <row r="399" spans="1:5">
      <c r="A399" s="43"/>
      <c r="B399" s="44"/>
      <c r="C399" s="45"/>
      <c r="D399" s="46"/>
      <c r="E399" s="47"/>
    </row>
    <row r="400" spans="1:5">
      <c r="A400" s="43"/>
      <c r="B400" s="44"/>
      <c r="C400" s="45"/>
      <c r="D400" s="46"/>
      <c r="E400" s="47"/>
    </row>
    <row r="401" spans="1:5">
      <c r="A401" s="43"/>
      <c r="B401" s="44"/>
      <c r="C401" s="45"/>
      <c r="D401" s="46"/>
      <c r="E401" s="47"/>
    </row>
    <row r="402" spans="1:5">
      <c r="A402" s="43"/>
      <c r="B402" s="44"/>
      <c r="C402" s="45"/>
      <c r="D402" s="46"/>
      <c r="E402" s="47"/>
    </row>
    <row r="403" spans="1:5">
      <c r="A403" s="43"/>
      <c r="B403" s="44"/>
      <c r="C403" s="45"/>
      <c r="D403" s="46"/>
      <c r="E403" s="47"/>
    </row>
    <row r="404" spans="1:5">
      <c r="A404" s="43"/>
      <c r="B404" s="44"/>
      <c r="C404" s="45"/>
      <c r="D404" s="46"/>
      <c r="E404" s="47"/>
    </row>
    <row r="405" spans="1:5">
      <c r="A405" s="43"/>
      <c r="B405" s="44"/>
      <c r="C405" s="45"/>
      <c r="D405" s="46"/>
      <c r="E405" s="47"/>
    </row>
    <row r="406" spans="1:5">
      <c r="A406" s="43"/>
      <c r="B406" s="44"/>
      <c r="C406" s="45"/>
      <c r="D406" s="46"/>
      <c r="E406" s="47"/>
    </row>
    <row r="407" spans="1:5">
      <c r="A407" s="43"/>
      <c r="B407" s="44"/>
      <c r="C407" s="45"/>
      <c r="D407" s="46"/>
      <c r="E407" s="47"/>
    </row>
    <row r="408" spans="1:5">
      <c r="A408" s="43"/>
      <c r="B408" s="44"/>
      <c r="C408" s="45"/>
      <c r="D408" s="46"/>
      <c r="E408" s="47"/>
    </row>
    <row r="409" spans="1:5">
      <c r="A409" s="43"/>
      <c r="B409" s="44"/>
      <c r="C409" s="45"/>
      <c r="D409" s="46"/>
      <c r="E409" s="47"/>
    </row>
    <row r="410" spans="1:5">
      <c r="A410" s="43"/>
      <c r="B410" s="44"/>
      <c r="C410" s="45"/>
      <c r="D410" s="46"/>
      <c r="E410" s="47"/>
    </row>
    <row r="411" spans="1:5">
      <c r="A411" s="43"/>
      <c r="B411" s="44"/>
      <c r="C411" s="45"/>
      <c r="D411" s="46"/>
      <c r="E411" s="47"/>
    </row>
    <row r="412" spans="1:5">
      <c r="A412" s="43"/>
      <c r="B412" s="44"/>
      <c r="C412" s="45"/>
      <c r="D412" s="46"/>
      <c r="E412" s="47"/>
    </row>
    <row r="413" spans="1:5">
      <c r="A413" s="43"/>
      <c r="B413" s="44"/>
      <c r="C413" s="45"/>
      <c r="D413" s="46"/>
      <c r="E413" s="47"/>
    </row>
    <row r="414" spans="1:5">
      <c r="A414" s="43"/>
      <c r="B414" s="44"/>
      <c r="C414" s="45"/>
      <c r="D414" s="46"/>
      <c r="E414" s="47"/>
    </row>
    <row r="415" spans="1:5">
      <c r="A415" s="43"/>
      <c r="B415" s="44"/>
      <c r="C415" s="45"/>
      <c r="D415" s="46"/>
      <c r="E415" s="47"/>
    </row>
    <row r="416" spans="1:5">
      <c r="A416" s="43"/>
      <c r="B416" s="44"/>
      <c r="C416" s="45"/>
      <c r="D416" s="46"/>
      <c r="E416" s="47"/>
    </row>
    <row r="417" spans="1:5">
      <c r="A417" s="43"/>
      <c r="B417" s="44"/>
      <c r="C417" s="45"/>
      <c r="D417" s="46"/>
      <c r="E417" s="47"/>
    </row>
    <row r="418" spans="1:5">
      <c r="A418" s="43"/>
      <c r="B418" s="44"/>
      <c r="C418" s="45"/>
      <c r="D418" s="46"/>
      <c r="E418" s="47"/>
    </row>
    <row r="419" spans="1:5">
      <c r="A419" s="43"/>
      <c r="B419" s="44"/>
      <c r="C419" s="45"/>
      <c r="D419" s="46"/>
      <c r="E419" s="47"/>
    </row>
    <row r="420" spans="1:5">
      <c r="A420" s="43"/>
      <c r="B420" s="44"/>
      <c r="C420" s="45"/>
      <c r="D420" s="46"/>
      <c r="E420" s="47"/>
    </row>
    <row r="421" spans="1:5">
      <c r="A421" s="43"/>
      <c r="B421" s="44"/>
      <c r="C421" s="45"/>
      <c r="D421" s="46"/>
      <c r="E421" s="47"/>
    </row>
    <row r="422" spans="1:5">
      <c r="A422" s="43"/>
      <c r="B422" s="44"/>
      <c r="C422" s="45"/>
      <c r="D422" s="46"/>
      <c r="E422" s="47"/>
    </row>
    <row r="423" spans="1:5">
      <c r="A423" s="43"/>
      <c r="B423" s="44"/>
      <c r="C423" s="45"/>
      <c r="D423" s="46"/>
      <c r="E423" s="47"/>
    </row>
    <row r="424" spans="1:5">
      <c r="A424" s="43"/>
      <c r="B424" s="44"/>
      <c r="C424" s="45"/>
      <c r="D424" s="46"/>
      <c r="E424" s="47"/>
    </row>
    <row r="425" spans="1:5">
      <c r="A425" s="43"/>
      <c r="B425" s="44"/>
      <c r="C425" s="45"/>
      <c r="D425" s="46"/>
      <c r="E425" s="47"/>
    </row>
    <row r="426" spans="1:5">
      <c r="A426" s="43"/>
      <c r="B426" s="44"/>
      <c r="C426" s="45"/>
      <c r="D426" s="46"/>
      <c r="E426" s="47"/>
    </row>
    <row r="427" spans="1:5">
      <c r="A427" s="43"/>
      <c r="B427" s="44"/>
      <c r="C427" s="45"/>
      <c r="D427" s="46"/>
      <c r="E427" s="47"/>
    </row>
    <row r="428" spans="1:5">
      <c r="A428" s="43"/>
      <c r="B428" s="44"/>
      <c r="C428" s="45"/>
      <c r="D428" s="46"/>
      <c r="E428" s="47"/>
    </row>
    <row r="429" spans="1:5">
      <c r="A429" s="43"/>
      <c r="B429" s="44"/>
      <c r="C429" s="45"/>
      <c r="D429" s="46"/>
      <c r="E429" s="47"/>
    </row>
    <row r="430" spans="1:5">
      <c r="A430" s="43"/>
      <c r="B430" s="44"/>
      <c r="C430" s="45"/>
      <c r="D430" s="46"/>
      <c r="E430" s="47"/>
    </row>
    <row r="431" spans="1:5">
      <c r="A431" s="43"/>
      <c r="B431" s="44"/>
      <c r="C431" s="45"/>
      <c r="D431" s="46"/>
      <c r="E431" s="47"/>
    </row>
    <row r="432" spans="1:5">
      <c r="A432" s="43"/>
      <c r="B432" s="44"/>
      <c r="C432" s="45"/>
      <c r="D432" s="46"/>
      <c r="E432" s="47"/>
    </row>
    <row r="433" spans="1:5">
      <c r="A433" s="43"/>
      <c r="B433" s="44"/>
      <c r="C433" s="45"/>
      <c r="D433" s="46"/>
      <c r="E433" s="47"/>
    </row>
    <row r="434" spans="1:5">
      <c r="A434" s="43"/>
      <c r="B434" s="44"/>
      <c r="C434" s="45"/>
      <c r="D434" s="46"/>
      <c r="E434" s="47"/>
    </row>
    <row r="435" spans="1:5">
      <c r="A435" s="43"/>
      <c r="B435" s="44"/>
      <c r="C435" s="45"/>
      <c r="D435" s="46"/>
      <c r="E435" s="47"/>
    </row>
    <row r="436" spans="1:5">
      <c r="A436" s="43"/>
      <c r="B436" s="44"/>
      <c r="C436" s="45"/>
      <c r="D436" s="46"/>
      <c r="E436" s="47"/>
    </row>
    <row r="437" spans="1:5">
      <c r="A437" s="43"/>
      <c r="B437" s="44"/>
      <c r="C437" s="45"/>
      <c r="D437" s="46"/>
      <c r="E437" s="47"/>
    </row>
    <row r="438" spans="1:5">
      <c r="A438" s="43"/>
      <c r="B438" s="44"/>
      <c r="C438" s="45"/>
      <c r="D438" s="46"/>
      <c r="E438" s="47"/>
    </row>
    <row r="439" spans="1:5">
      <c r="A439" s="43"/>
      <c r="B439" s="44"/>
      <c r="C439" s="45"/>
      <c r="D439" s="46"/>
      <c r="E439" s="47"/>
    </row>
    <row r="440" spans="1:5">
      <c r="A440" s="43"/>
      <c r="B440" s="44"/>
      <c r="C440" s="45"/>
      <c r="D440" s="46"/>
      <c r="E440" s="47"/>
    </row>
    <row r="441" spans="1:5">
      <c r="A441" s="43"/>
      <c r="B441" s="44"/>
      <c r="C441" s="45"/>
      <c r="D441" s="46"/>
      <c r="E441" s="47"/>
    </row>
    <row r="442" spans="1:5">
      <c r="A442" s="43"/>
      <c r="B442" s="44"/>
      <c r="C442" s="45"/>
      <c r="D442" s="46"/>
      <c r="E442" s="47"/>
    </row>
    <row r="443" spans="1:5">
      <c r="A443" s="43"/>
      <c r="B443" s="44"/>
      <c r="C443" s="45"/>
      <c r="D443" s="46"/>
      <c r="E443" s="47"/>
    </row>
    <row r="444" spans="1:5">
      <c r="A444" s="43"/>
      <c r="B444" s="44"/>
      <c r="C444" s="45"/>
      <c r="D444" s="46"/>
      <c r="E444" s="47"/>
    </row>
    <row r="445" spans="1:5">
      <c r="A445" s="43"/>
      <c r="B445" s="44"/>
      <c r="C445" s="45"/>
      <c r="D445" s="46"/>
      <c r="E445" s="47"/>
    </row>
    <row r="446" spans="1:5">
      <c r="A446" s="43"/>
      <c r="B446" s="44"/>
      <c r="C446" s="45"/>
      <c r="D446" s="46"/>
      <c r="E446" s="47"/>
    </row>
    <row r="447" spans="1:5">
      <c r="A447" s="43"/>
      <c r="B447" s="44"/>
      <c r="C447" s="45"/>
      <c r="D447" s="46"/>
      <c r="E447" s="47"/>
    </row>
    <row r="448" spans="1:5">
      <c r="A448" s="43"/>
      <c r="B448" s="44"/>
      <c r="C448" s="45"/>
      <c r="D448" s="46"/>
      <c r="E448" s="47"/>
    </row>
    <row r="449" spans="1:5">
      <c r="A449" s="43"/>
      <c r="B449" s="44"/>
      <c r="C449" s="45"/>
      <c r="D449" s="46"/>
      <c r="E449" s="47"/>
    </row>
    <row r="450" spans="1:5">
      <c r="A450" s="43"/>
      <c r="B450" s="44"/>
      <c r="C450" s="45"/>
      <c r="D450" s="46"/>
      <c r="E450" s="47"/>
    </row>
    <row r="451" spans="1:5">
      <c r="A451" s="43"/>
      <c r="B451" s="44"/>
      <c r="C451" s="45"/>
      <c r="D451" s="46"/>
      <c r="E451" s="47"/>
    </row>
    <row r="452" spans="1:5">
      <c r="A452" s="43"/>
      <c r="B452" s="44"/>
      <c r="C452" s="45"/>
      <c r="D452" s="46"/>
      <c r="E452" s="47"/>
    </row>
    <row r="453" spans="1:5">
      <c r="A453" s="43"/>
      <c r="B453" s="44"/>
      <c r="C453" s="45"/>
      <c r="D453" s="46"/>
      <c r="E453" s="47"/>
    </row>
    <row r="454" spans="1:5">
      <c r="A454" s="43"/>
      <c r="B454" s="44"/>
      <c r="C454" s="45"/>
      <c r="D454" s="46"/>
      <c r="E454" s="47"/>
    </row>
    <row r="455" spans="1:5">
      <c r="A455" s="43"/>
      <c r="B455" s="44"/>
      <c r="C455" s="45"/>
      <c r="D455" s="46"/>
      <c r="E455" s="47"/>
    </row>
    <row r="456" spans="1:5">
      <c r="A456" s="43"/>
      <c r="B456" s="44"/>
      <c r="C456" s="45"/>
      <c r="D456" s="46"/>
      <c r="E456" s="47"/>
    </row>
    <row r="457" spans="1:5">
      <c r="A457" s="43"/>
      <c r="B457" s="44"/>
      <c r="C457" s="45"/>
      <c r="D457" s="46"/>
      <c r="E457" s="47"/>
    </row>
    <row r="458" spans="1:5">
      <c r="A458" s="43"/>
      <c r="B458" s="44"/>
      <c r="C458" s="45"/>
      <c r="D458" s="46"/>
      <c r="E458" s="47"/>
    </row>
    <row r="459" spans="1:5">
      <c r="A459" s="43"/>
      <c r="B459" s="44"/>
      <c r="C459" s="45"/>
      <c r="D459" s="46"/>
      <c r="E459" s="47"/>
    </row>
    <row r="460" spans="1:5">
      <c r="A460" s="43"/>
      <c r="B460" s="44"/>
      <c r="C460" s="45"/>
      <c r="D460" s="46"/>
      <c r="E460" s="47"/>
    </row>
    <row r="461" spans="1:5">
      <c r="A461" s="43"/>
      <c r="B461" s="44"/>
      <c r="C461" s="45"/>
      <c r="D461" s="46"/>
      <c r="E461" s="47"/>
    </row>
    <row r="462" spans="1:5">
      <c r="A462" s="43"/>
      <c r="B462" s="44"/>
      <c r="C462" s="45"/>
      <c r="D462" s="46"/>
      <c r="E462" s="47"/>
    </row>
    <row r="463" spans="1:5">
      <c r="A463" s="43"/>
      <c r="B463" s="44"/>
      <c r="C463" s="45"/>
      <c r="D463" s="46"/>
      <c r="E463" s="47"/>
    </row>
    <row r="464" spans="1:5">
      <c r="A464" s="43"/>
      <c r="B464" s="44"/>
      <c r="C464" s="45"/>
      <c r="D464" s="46"/>
      <c r="E464" s="47"/>
    </row>
    <row r="465" spans="1:5">
      <c r="A465" s="43"/>
      <c r="B465" s="44"/>
      <c r="C465" s="45"/>
      <c r="D465" s="46"/>
      <c r="E465" s="47"/>
    </row>
    <row r="466" spans="1:5">
      <c r="A466" s="43"/>
      <c r="B466" s="44"/>
      <c r="C466" s="45"/>
      <c r="D466" s="46"/>
      <c r="E466" s="47"/>
    </row>
    <row r="467" spans="1:5">
      <c r="A467" s="43"/>
      <c r="B467" s="44"/>
      <c r="C467" s="45"/>
      <c r="D467" s="46"/>
      <c r="E467" s="47"/>
    </row>
    <row r="468" spans="1:5">
      <c r="A468" s="43"/>
      <c r="B468" s="44"/>
      <c r="C468" s="45"/>
      <c r="D468" s="46"/>
      <c r="E468" s="47"/>
    </row>
    <row r="469" spans="1:5">
      <c r="A469" s="43"/>
      <c r="B469" s="44"/>
      <c r="C469" s="45"/>
      <c r="D469" s="46"/>
      <c r="E469" s="47"/>
    </row>
    <row r="470" spans="1:5">
      <c r="A470" s="43"/>
      <c r="B470" s="44"/>
      <c r="C470" s="45"/>
      <c r="D470" s="46"/>
      <c r="E470" s="47"/>
    </row>
    <row r="471" spans="1:5">
      <c r="A471" s="43"/>
      <c r="B471" s="44"/>
      <c r="C471" s="45"/>
      <c r="D471" s="46"/>
      <c r="E471" s="47"/>
    </row>
    <row r="472" spans="1:5">
      <c r="A472" s="43"/>
      <c r="B472" s="44"/>
      <c r="C472" s="45"/>
      <c r="D472" s="46"/>
      <c r="E472" s="47"/>
    </row>
    <row r="473" spans="1:5">
      <c r="A473" s="43"/>
      <c r="B473" s="44"/>
      <c r="C473" s="45"/>
      <c r="D473" s="46"/>
      <c r="E473" s="47"/>
    </row>
    <row r="474" spans="1:5">
      <c r="A474" s="43"/>
      <c r="B474" s="44"/>
      <c r="C474" s="45"/>
      <c r="D474" s="46"/>
      <c r="E474" s="47"/>
    </row>
    <row r="475" spans="1:5">
      <c r="A475" s="43"/>
      <c r="B475" s="44"/>
      <c r="C475" s="45"/>
      <c r="D475" s="46"/>
      <c r="E475" s="47"/>
    </row>
    <row r="476" spans="1:5">
      <c r="A476" s="43"/>
      <c r="B476" s="44"/>
      <c r="C476" s="45"/>
      <c r="D476" s="46"/>
      <c r="E476" s="47"/>
    </row>
    <row r="477" spans="1:5">
      <c r="A477" s="43"/>
      <c r="B477" s="44"/>
      <c r="C477" s="45"/>
      <c r="D477" s="46"/>
      <c r="E477" s="47"/>
    </row>
    <row r="478" spans="1:5">
      <c r="A478" s="43"/>
      <c r="B478" s="44"/>
      <c r="C478" s="45"/>
      <c r="D478" s="46"/>
      <c r="E478" s="47"/>
    </row>
    <row r="479" spans="1:5">
      <c r="A479" s="43"/>
      <c r="B479" s="44"/>
      <c r="C479" s="45"/>
      <c r="D479" s="46"/>
      <c r="E479" s="47"/>
    </row>
    <row r="480" spans="1:5">
      <c r="A480" s="43"/>
      <c r="B480" s="44"/>
      <c r="C480" s="45"/>
      <c r="D480" s="46"/>
      <c r="E480" s="47"/>
    </row>
    <row r="481" spans="1:5">
      <c r="A481" s="43"/>
      <c r="B481" s="44"/>
      <c r="C481" s="45"/>
      <c r="D481" s="46"/>
      <c r="E481" s="47"/>
    </row>
    <row r="482" spans="1:5">
      <c r="A482" s="43"/>
      <c r="B482" s="44"/>
      <c r="C482" s="45"/>
      <c r="D482" s="46"/>
      <c r="E482" s="47"/>
    </row>
    <row r="483" spans="1:5">
      <c r="A483" s="43"/>
      <c r="B483" s="44"/>
      <c r="C483" s="45"/>
      <c r="D483" s="46"/>
      <c r="E483" s="47"/>
    </row>
    <row r="484" spans="1:5">
      <c r="A484" s="43"/>
      <c r="B484" s="44"/>
      <c r="C484" s="45"/>
      <c r="D484" s="46"/>
      <c r="E484" s="47"/>
    </row>
    <row r="485" spans="1:5">
      <c r="A485" s="43"/>
      <c r="B485" s="44"/>
      <c r="C485" s="45"/>
      <c r="D485" s="46"/>
      <c r="E485" s="47"/>
    </row>
    <row r="486" spans="1:5">
      <c r="A486" s="43"/>
      <c r="B486" s="44"/>
      <c r="C486" s="45"/>
      <c r="D486" s="46"/>
      <c r="E486" s="47"/>
    </row>
    <row r="487" spans="1:5">
      <c r="A487" s="43"/>
      <c r="B487" s="44"/>
      <c r="C487" s="45"/>
      <c r="D487" s="46"/>
      <c r="E487" s="47"/>
    </row>
    <row r="488" spans="1:5">
      <c r="A488" s="43"/>
      <c r="B488" s="44"/>
      <c r="C488" s="45"/>
      <c r="D488" s="46"/>
      <c r="E488" s="47"/>
    </row>
    <row r="489" spans="1:5">
      <c r="A489" s="43"/>
      <c r="B489" s="44"/>
      <c r="C489" s="45"/>
      <c r="D489" s="46"/>
      <c r="E489" s="47"/>
    </row>
    <row r="490" spans="1:5">
      <c r="A490" s="43"/>
      <c r="B490" s="44"/>
      <c r="C490" s="45"/>
      <c r="D490" s="46"/>
      <c r="E490" s="47"/>
    </row>
    <row r="491" spans="1:5">
      <c r="A491" s="43"/>
      <c r="B491" s="44"/>
      <c r="C491" s="45"/>
      <c r="D491" s="46"/>
      <c r="E491" s="47"/>
    </row>
    <row r="492" spans="1:5">
      <c r="A492" s="43"/>
      <c r="B492" s="44"/>
      <c r="C492" s="45"/>
      <c r="D492" s="46"/>
      <c r="E492" s="47"/>
    </row>
    <row r="493" spans="1:5">
      <c r="A493" s="43"/>
      <c r="B493" s="44"/>
      <c r="C493" s="45"/>
      <c r="D493" s="46"/>
      <c r="E493" s="47"/>
    </row>
    <row r="494" spans="1:5">
      <c r="A494" s="43"/>
      <c r="B494" s="44"/>
      <c r="C494" s="45"/>
      <c r="D494" s="46"/>
      <c r="E494" s="47"/>
    </row>
    <row r="495" spans="1:5">
      <c r="A495" s="43"/>
      <c r="B495" s="44"/>
      <c r="C495" s="45"/>
      <c r="D495" s="46"/>
      <c r="E495" s="47"/>
    </row>
    <row r="496" spans="1:5">
      <c r="A496" s="43"/>
      <c r="B496" s="44"/>
      <c r="C496" s="45"/>
      <c r="D496" s="46"/>
      <c r="E496" s="47"/>
    </row>
    <row r="497" spans="1:5">
      <c r="A497" s="43"/>
      <c r="B497" s="44"/>
      <c r="C497" s="45"/>
      <c r="D497" s="46"/>
      <c r="E497" s="47"/>
    </row>
    <row r="498" spans="1:5">
      <c r="A498" s="43"/>
      <c r="B498" s="44"/>
      <c r="C498" s="45"/>
      <c r="D498" s="46"/>
      <c r="E498" s="47"/>
    </row>
    <row r="499" spans="1:5">
      <c r="A499" s="43"/>
      <c r="B499" s="44"/>
      <c r="C499" s="45"/>
      <c r="D499" s="46"/>
      <c r="E499" s="47"/>
    </row>
    <row r="500" spans="1:5">
      <c r="A500" s="43"/>
      <c r="B500" s="44"/>
      <c r="C500" s="45"/>
      <c r="D500" s="46"/>
      <c r="E500" s="47"/>
    </row>
    <row r="501" spans="1:5">
      <c r="A501" s="43"/>
      <c r="B501" s="44"/>
      <c r="C501" s="45"/>
      <c r="D501" s="46"/>
      <c r="E501" s="47"/>
    </row>
    <row r="502" spans="1:5">
      <c r="A502" s="43"/>
      <c r="B502" s="44"/>
      <c r="C502" s="45"/>
      <c r="D502" s="46"/>
      <c r="E502" s="47"/>
    </row>
    <row r="503" spans="1:5">
      <c r="A503" s="43"/>
      <c r="B503" s="44"/>
      <c r="C503" s="45"/>
      <c r="D503" s="46"/>
      <c r="E503" s="47"/>
    </row>
    <row r="504" spans="1:5">
      <c r="A504" s="43"/>
      <c r="B504" s="44"/>
      <c r="C504" s="45"/>
      <c r="D504" s="46"/>
      <c r="E504" s="47"/>
    </row>
    <row r="505" spans="1:5">
      <c r="A505" s="43"/>
      <c r="B505" s="44"/>
      <c r="C505" s="45"/>
      <c r="D505" s="46"/>
      <c r="E505" s="47"/>
    </row>
    <row r="506" spans="1:5">
      <c r="A506" s="43"/>
      <c r="B506" s="44"/>
      <c r="C506" s="45"/>
      <c r="D506" s="46"/>
      <c r="E506" s="47"/>
    </row>
    <row r="507" spans="1:5">
      <c r="A507" s="43"/>
      <c r="B507" s="44"/>
      <c r="C507" s="45"/>
      <c r="D507" s="46"/>
      <c r="E507" s="47"/>
    </row>
    <row r="508" spans="1:5">
      <c r="A508" s="43"/>
      <c r="B508" s="44"/>
      <c r="C508" s="45"/>
      <c r="D508" s="46"/>
      <c r="E508" s="47"/>
    </row>
    <row r="509" spans="1:5">
      <c r="A509" s="43"/>
      <c r="B509" s="44"/>
      <c r="C509" s="45"/>
      <c r="D509" s="46"/>
      <c r="E509" s="47"/>
    </row>
    <row r="510" spans="1:5">
      <c r="A510" s="43"/>
      <c r="B510" s="44"/>
      <c r="C510" s="45"/>
      <c r="D510" s="46"/>
      <c r="E510" s="47"/>
    </row>
    <row r="511" spans="1:5">
      <c r="A511" s="43"/>
      <c r="B511" s="44"/>
      <c r="C511" s="45"/>
      <c r="D511" s="46"/>
      <c r="E511" s="47"/>
    </row>
    <row r="512" spans="1:5">
      <c r="A512" s="43"/>
      <c r="B512" s="44"/>
      <c r="C512" s="45"/>
      <c r="D512" s="46"/>
      <c r="E512" s="47"/>
    </row>
    <row r="513" spans="1:5">
      <c r="A513" s="43"/>
      <c r="B513" s="44"/>
      <c r="C513" s="45"/>
      <c r="D513" s="46"/>
      <c r="E513" s="47"/>
    </row>
    <row r="514" spans="1:5">
      <c r="A514" s="43"/>
      <c r="B514" s="44"/>
      <c r="C514" s="45"/>
      <c r="D514" s="46"/>
      <c r="E514" s="47"/>
    </row>
    <row r="515" spans="1:5">
      <c r="A515" s="43"/>
      <c r="B515" s="44"/>
      <c r="C515" s="45"/>
      <c r="D515" s="46"/>
      <c r="E515" s="47"/>
    </row>
    <row r="516" spans="1:5">
      <c r="A516" s="43"/>
      <c r="B516" s="44"/>
      <c r="C516" s="45"/>
      <c r="D516" s="46"/>
      <c r="E516" s="47"/>
    </row>
    <row r="517" spans="1:5">
      <c r="A517" s="43"/>
      <c r="B517" s="44"/>
      <c r="C517" s="45"/>
      <c r="D517" s="46"/>
      <c r="E517" s="47"/>
    </row>
    <row r="518" spans="1:5">
      <c r="A518" s="43"/>
      <c r="B518" s="44"/>
      <c r="C518" s="45"/>
      <c r="D518" s="46"/>
      <c r="E518" s="47"/>
    </row>
    <row r="519" spans="1:5">
      <c r="A519" s="43"/>
      <c r="B519" s="44"/>
      <c r="C519" s="45"/>
      <c r="D519" s="46"/>
      <c r="E519" s="47"/>
    </row>
    <row r="520" spans="1:5">
      <c r="A520" s="43"/>
      <c r="B520" s="44"/>
      <c r="C520" s="45"/>
      <c r="D520" s="46"/>
      <c r="E520" s="47"/>
    </row>
    <row r="521" spans="1:5">
      <c r="A521" s="43"/>
      <c r="B521" s="44"/>
      <c r="C521" s="45"/>
      <c r="D521" s="46"/>
      <c r="E521" s="47"/>
    </row>
    <row r="522" spans="1:5">
      <c r="A522" s="43"/>
      <c r="B522" s="44"/>
      <c r="C522" s="45"/>
      <c r="D522" s="46"/>
      <c r="E522" s="47"/>
    </row>
    <row r="523" spans="1:5">
      <c r="A523" s="43"/>
      <c r="B523" s="44"/>
      <c r="C523" s="45"/>
      <c r="D523" s="46"/>
      <c r="E523" s="47"/>
    </row>
    <row r="524" spans="1:5">
      <c r="A524" s="43"/>
      <c r="B524" s="44"/>
      <c r="C524" s="45"/>
      <c r="D524" s="46"/>
      <c r="E524" s="47"/>
    </row>
    <row r="525" spans="1:5">
      <c r="A525" s="43"/>
      <c r="B525" s="44"/>
      <c r="C525" s="45"/>
      <c r="D525" s="46"/>
      <c r="E525" s="47"/>
    </row>
    <row r="526" spans="1:5">
      <c r="A526" s="43"/>
      <c r="B526" s="44"/>
      <c r="C526" s="45"/>
      <c r="D526" s="46"/>
      <c r="E526" s="47"/>
    </row>
    <row r="527" spans="1:5">
      <c r="A527" s="43"/>
      <c r="B527" s="44"/>
      <c r="C527" s="45"/>
      <c r="D527" s="46"/>
      <c r="E527" s="47"/>
    </row>
    <row r="528" spans="1:5">
      <c r="A528" s="43"/>
      <c r="B528" s="44"/>
      <c r="C528" s="45"/>
      <c r="D528" s="46"/>
      <c r="E528" s="47"/>
    </row>
    <row r="529" spans="1:5">
      <c r="A529" s="43"/>
      <c r="B529" s="44"/>
      <c r="C529" s="45"/>
      <c r="D529" s="46"/>
      <c r="E529" s="47"/>
    </row>
    <row r="530" spans="1:5">
      <c r="A530" s="43"/>
      <c r="B530" s="44"/>
      <c r="C530" s="45"/>
      <c r="D530" s="46"/>
      <c r="E530" s="47"/>
    </row>
    <row r="531" spans="1:5">
      <c r="A531" s="43"/>
      <c r="B531" s="44"/>
      <c r="C531" s="45"/>
      <c r="D531" s="46"/>
      <c r="E531" s="47"/>
    </row>
    <row r="532" spans="1:5">
      <c r="A532" s="43"/>
      <c r="B532" s="44"/>
      <c r="C532" s="45"/>
      <c r="D532" s="46"/>
      <c r="E532" s="47"/>
    </row>
    <row r="533" spans="1:5">
      <c r="A533" s="43"/>
      <c r="B533" s="44"/>
      <c r="C533" s="45"/>
      <c r="D533" s="46"/>
      <c r="E533" s="47"/>
    </row>
    <row r="534" spans="1:5">
      <c r="A534" s="43"/>
      <c r="B534" s="44"/>
      <c r="C534" s="45"/>
      <c r="D534" s="46"/>
      <c r="E534" s="47"/>
    </row>
    <row r="535" spans="1:5">
      <c r="A535" s="43"/>
      <c r="B535" s="44"/>
      <c r="C535" s="45"/>
      <c r="D535" s="46"/>
      <c r="E535" s="47"/>
    </row>
    <row r="536" spans="1:5">
      <c r="A536" s="43"/>
      <c r="B536" s="44"/>
      <c r="C536" s="45"/>
      <c r="D536" s="46"/>
      <c r="E536" s="47"/>
    </row>
    <row r="537" spans="1:5">
      <c r="A537" s="43"/>
      <c r="B537" s="44"/>
      <c r="C537" s="45"/>
      <c r="D537" s="46"/>
      <c r="E537" s="47"/>
    </row>
    <row r="538" spans="1:5">
      <c r="A538" s="43"/>
      <c r="B538" s="44"/>
      <c r="C538" s="45"/>
      <c r="D538" s="46"/>
      <c r="E538" s="47"/>
    </row>
    <row r="539" spans="1:5">
      <c r="A539" s="43"/>
      <c r="B539" s="44"/>
      <c r="C539" s="45"/>
      <c r="D539" s="46"/>
      <c r="E539" s="47"/>
    </row>
    <row r="540" spans="1:5">
      <c r="A540" s="43"/>
      <c r="B540" s="44"/>
      <c r="C540" s="45"/>
      <c r="D540" s="46"/>
      <c r="E540" s="47"/>
    </row>
    <row r="541" spans="1:5">
      <c r="A541" s="43"/>
      <c r="B541" s="44"/>
      <c r="C541" s="45"/>
      <c r="D541" s="46"/>
      <c r="E541" s="47"/>
    </row>
    <row r="542" spans="1:5">
      <c r="A542" s="43"/>
      <c r="B542" s="44"/>
      <c r="C542" s="45"/>
      <c r="D542" s="46"/>
      <c r="E542" s="47"/>
    </row>
    <row r="543" spans="1:5">
      <c r="A543" s="43"/>
      <c r="B543" s="44"/>
      <c r="C543" s="45"/>
      <c r="D543" s="46"/>
      <c r="E543" s="47"/>
    </row>
    <row r="544" spans="1:5">
      <c r="A544" s="43"/>
      <c r="B544" s="44"/>
      <c r="C544" s="45"/>
      <c r="D544" s="46"/>
      <c r="E544" s="47"/>
    </row>
    <row r="545" spans="1:5">
      <c r="A545" s="43"/>
      <c r="B545" s="44"/>
      <c r="C545" s="45"/>
      <c r="D545" s="46"/>
      <c r="E545" s="47"/>
    </row>
    <row r="546" spans="1:5">
      <c r="A546" s="43"/>
      <c r="B546" s="44"/>
      <c r="C546" s="45"/>
      <c r="D546" s="46"/>
      <c r="E546" s="47"/>
    </row>
    <row r="547" spans="1:5">
      <c r="A547" s="43"/>
      <c r="B547" s="44"/>
      <c r="C547" s="45"/>
      <c r="D547" s="46"/>
      <c r="E547" s="47"/>
    </row>
    <row r="548" spans="1:5">
      <c r="A548" s="43"/>
      <c r="B548" s="44"/>
      <c r="C548" s="45"/>
      <c r="D548" s="46"/>
      <c r="E548" s="47"/>
    </row>
    <row r="549" spans="1:5">
      <c r="A549" s="43"/>
      <c r="B549" s="44"/>
      <c r="C549" s="45"/>
      <c r="D549" s="46"/>
      <c r="E549" s="47"/>
    </row>
    <row r="550" spans="1:5">
      <c r="A550" s="43"/>
      <c r="B550" s="44"/>
      <c r="C550" s="45"/>
      <c r="D550" s="46"/>
      <c r="E550" s="47"/>
    </row>
    <row r="551" spans="1:5">
      <c r="A551" s="43"/>
      <c r="B551" s="44"/>
      <c r="C551" s="45"/>
      <c r="D551" s="46"/>
      <c r="E551" s="47"/>
    </row>
    <row r="552" spans="1:5">
      <c r="A552" s="43"/>
      <c r="B552" s="44"/>
      <c r="C552" s="45"/>
      <c r="D552" s="46"/>
      <c r="E552" s="47"/>
    </row>
    <row r="553" spans="1:5">
      <c r="A553" s="43"/>
      <c r="B553" s="44"/>
      <c r="C553" s="45"/>
      <c r="D553" s="46"/>
      <c r="E553" s="47"/>
    </row>
    <row r="554" spans="1:5">
      <c r="A554" s="43"/>
      <c r="B554" s="44"/>
      <c r="C554" s="45"/>
      <c r="D554" s="46"/>
      <c r="E554" s="47"/>
    </row>
    <row r="555" spans="1:5">
      <c r="A555" s="43"/>
      <c r="B555" s="44"/>
      <c r="C555" s="45"/>
      <c r="D555" s="46"/>
      <c r="E555" s="47"/>
    </row>
    <row r="556" spans="1:5">
      <c r="A556" s="43"/>
      <c r="B556" s="44"/>
      <c r="C556" s="45"/>
      <c r="D556" s="46"/>
      <c r="E556" s="47"/>
    </row>
    <row r="557" spans="1:5">
      <c r="A557" s="43"/>
      <c r="B557" s="44"/>
      <c r="C557" s="45"/>
      <c r="D557" s="46"/>
      <c r="E557" s="47"/>
    </row>
    <row r="558" spans="1:5">
      <c r="A558" s="43"/>
      <c r="B558" s="44"/>
      <c r="C558" s="45"/>
      <c r="D558" s="46"/>
      <c r="E558" s="47"/>
    </row>
    <row r="559" spans="1:5">
      <c r="A559" s="43"/>
      <c r="B559" s="44"/>
      <c r="C559" s="45"/>
      <c r="D559" s="46"/>
      <c r="E559" s="47"/>
    </row>
    <row r="560" spans="1:5">
      <c r="A560" s="43"/>
      <c r="B560" s="44"/>
      <c r="C560" s="45"/>
      <c r="D560" s="46"/>
      <c r="E560" s="47"/>
    </row>
    <row r="561" spans="1:5">
      <c r="A561" s="43"/>
      <c r="B561" s="44"/>
      <c r="C561" s="45"/>
      <c r="D561" s="46"/>
      <c r="E561" s="47"/>
    </row>
    <row r="562" spans="1:5">
      <c r="A562" s="43"/>
      <c r="B562" s="44"/>
      <c r="C562" s="45"/>
      <c r="D562" s="46"/>
      <c r="E562" s="47"/>
    </row>
    <row r="563" spans="1:5">
      <c r="A563" s="43"/>
      <c r="B563" s="44"/>
      <c r="C563" s="45"/>
      <c r="D563" s="46"/>
      <c r="E563" s="47"/>
    </row>
    <row r="564" spans="1:5">
      <c r="A564" s="43"/>
      <c r="B564" s="44"/>
      <c r="C564" s="45"/>
      <c r="D564" s="46"/>
      <c r="E564" s="47"/>
    </row>
    <row r="565" spans="1:5">
      <c r="A565" s="43"/>
      <c r="B565" s="44"/>
      <c r="C565" s="45"/>
      <c r="D565" s="46"/>
      <c r="E565" s="47"/>
    </row>
    <row r="566" spans="1:5">
      <c r="A566" s="43"/>
      <c r="B566" s="44"/>
      <c r="C566" s="45"/>
      <c r="D566" s="46"/>
      <c r="E566" s="47"/>
    </row>
    <row r="567" spans="1:5">
      <c r="A567" s="43"/>
      <c r="B567" s="44"/>
      <c r="C567" s="45"/>
      <c r="D567" s="46"/>
      <c r="E567" s="47"/>
    </row>
    <row r="568" spans="1:5">
      <c r="A568" s="43"/>
      <c r="B568" s="44"/>
      <c r="C568" s="45"/>
      <c r="D568" s="46"/>
      <c r="E568" s="47"/>
    </row>
    <row r="569" spans="1:5">
      <c r="A569" s="43"/>
      <c r="B569" s="44"/>
      <c r="C569" s="45"/>
      <c r="D569" s="46"/>
      <c r="E569" s="47"/>
    </row>
    <row r="570" spans="1:5">
      <c r="A570" s="43"/>
      <c r="B570" s="44"/>
      <c r="C570" s="45"/>
      <c r="D570" s="46"/>
      <c r="E570" s="47"/>
    </row>
    <row r="571" spans="1:5">
      <c r="A571" s="43"/>
      <c r="B571" s="44"/>
      <c r="C571" s="45"/>
      <c r="D571" s="46"/>
      <c r="E571" s="47"/>
    </row>
    <row r="572" spans="1:5">
      <c r="A572" s="43"/>
      <c r="B572" s="44"/>
      <c r="C572" s="45"/>
      <c r="D572" s="46"/>
      <c r="E572" s="47"/>
    </row>
    <row r="573" spans="1:5">
      <c r="A573" s="43"/>
      <c r="B573" s="44"/>
      <c r="C573" s="45"/>
      <c r="D573" s="46"/>
      <c r="E573" s="47"/>
    </row>
    <row r="574" spans="1:5">
      <c r="A574" s="43"/>
      <c r="B574" s="44"/>
      <c r="C574" s="45"/>
      <c r="D574" s="46"/>
      <c r="E574" s="47"/>
    </row>
    <row r="575" spans="1:5">
      <c r="A575" s="43"/>
      <c r="B575" s="44"/>
      <c r="C575" s="45"/>
      <c r="D575" s="46"/>
      <c r="E575" s="47"/>
    </row>
    <row r="576" spans="1:5">
      <c r="A576" s="43"/>
      <c r="B576" s="44"/>
      <c r="C576" s="45"/>
      <c r="D576" s="46"/>
      <c r="E576" s="47"/>
    </row>
    <row r="577" spans="1:5">
      <c r="A577" s="43"/>
      <c r="B577" s="44"/>
      <c r="C577" s="45"/>
      <c r="D577" s="46"/>
      <c r="E577" s="47"/>
    </row>
    <row r="578" spans="1:5">
      <c r="A578" s="43"/>
      <c r="B578" s="44"/>
      <c r="C578" s="45"/>
      <c r="D578" s="46"/>
      <c r="E578" s="47"/>
    </row>
    <row r="579" spans="1:5">
      <c r="A579" s="43"/>
      <c r="B579" s="44"/>
      <c r="C579" s="45"/>
      <c r="D579" s="46"/>
      <c r="E579" s="47"/>
    </row>
    <row r="580" spans="1:5">
      <c r="A580" s="43"/>
      <c r="B580" s="44"/>
      <c r="C580" s="45"/>
      <c r="D580" s="46"/>
      <c r="E580" s="47"/>
    </row>
    <row r="581" spans="1:5">
      <c r="A581" s="43"/>
      <c r="B581" s="44"/>
      <c r="C581" s="45"/>
      <c r="D581" s="46"/>
      <c r="E581" s="47"/>
    </row>
    <row r="582" spans="1:5">
      <c r="A582" s="43"/>
      <c r="B582" s="44"/>
      <c r="C582" s="45"/>
      <c r="D582" s="46"/>
      <c r="E582" s="47"/>
    </row>
    <row r="583" spans="1:5">
      <c r="A583" s="43"/>
      <c r="B583" s="44"/>
      <c r="C583" s="45"/>
      <c r="D583" s="46"/>
      <c r="E583" s="47"/>
    </row>
    <row r="584" spans="1:5">
      <c r="A584" s="43"/>
      <c r="B584" s="44"/>
      <c r="C584" s="45"/>
      <c r="D584" s="46"/>
      <c r="E584" s="47"/>
    </row>
    <row r="585" spans="1:5">
      <c r="A585" s="43"/>
      <c r="B585" s="44"/>
      <c r="C585" s="45"/>
      <c r="D585" s="46"/>
      <c r="E585" s="47"/>
    </row>
    <row r="586" spans="1:5">
      <c r="A586" s="43"/>
      <c r="B586" s="44"/>
      <c r="C586" s="45"/>
      <c r="D586" s="46"/>
      <c r="E586" s="47"/>
    </row>
    <row r="587" spans="1:5">
      <c r="A587" s="43"/>
      <c r="B587" s="44"/>
      <c r="C587" s="45"/>
      <c r="D587" s="46"/>
      <c r="E587" s="47"/>
    </row>
    <row r="588" spans="1:5">
      <c r="A588" s="43"/>
      <c r="B588" s="44"/>
      <c r="C588" s="45"/>
      <c r="D588" s="46"/>
      <c r="E588" s="47"/>
    </row>
    <row r="589" spans="1:5">
      <c r="A589" s="43"/>
      <c r="B589" s="44"/>
      <c r="C589" s="45"/>
      <c r="D589" s="46"/>
      <c r="E589" s="47"/>
    </row>
    <row r="590" spans="1:5">
      <c r="A590" s="43"/>
      <c r="B590" s="44"/>
      <c r="C590" s="45"/>
      <c r="D590" s="46"/>
      <c r="E590" s="47"/>
    </row>
    <row r="591" spans="1:5">
      <c r="A591" s="43"/>
      <c r="B591" s="44"/>
      <c r="C591" s="45"/>
      <c r="D591" s="46"/>
      <c r="E591" s="47"/>
    </row>
    <row r="592" spans="1:5">
      <c r="A592" s="43"/>
      <c r="B592" s="44"/>
      <c r="C592" s="45"/>
      <c r="D592" s="46"/>
      <c r="E592" s="47"/>
    </row>
    <row r="593" spans="1:5">
      <c r="A593" s="43"/>
      <c r="B593" s="44"/>
      <c r="C593" s="45"/>
      <c r="D593" s="46"/>
      <c r="E593" s="47"/>
    </row>
    <row r="594" spans="1:5">
      <c r="A594" s="43"/>
      <c r="B594" s="44"/>
      <c r="C594" s="45"/>
      <c r="D594" s="46"/>
      <c r="E594" s="47"/>
    </row>
    <row r="595" spans="1:5">
      <c r="A595" s="43"/>
      <c r="B595" s="44"/>
      <c r="C595" s="45"/>
      <c r="D595" s="46"/>
      <c r="E595" s="47"/>
    </row>
    <row r="596" spans="1:5">
      <c r="A596" s="43"/>
      <c r="B596" s="44"/>
      <c r="C596" s="45"/>
      <c r="D596" s="46"/>
      <c r="E596" s="47"/>
    </row>
    <row r="597" spans="1:5">
      <c r="A597" s="43"/>
      <c r="B597" s="44"/>
      <c r="C597" s="45"/>
      <c r="D597" s="46"/>
      <c r="E597" s="47"/>
    </row>
    <row r="598" spans="1:5">
      <c r="A598" s="43"/>
      <c r="B598" s="44"/>
      <c r="C598" s="45"/>
      <c r="D598" s="46"/>
      <c r="E598" s="47"/>
    </row>
    <row r="599" spans="1:5">
      <c r="A599" s="43"/>
      <c r="B599" s="44"/>
      <c r="C599" s="45"/>
      <c r="D599" s="46"/>
      <c r="E599" s="47"/>
    </row>
    <row r="600" spans="1:5">
      <c r="A600" s="43"/>
      <c r="B600" s="44"/>
      <c r="C600" s="45"/>
      <c r="D600" s="46"/>
      <c r="E600" s="47"/>
    </row>
    <row r="601" spans="1:5">
      <c r="A601" s="43"/>
      <c r="B601" s="44"/>
      <c r="C601" s="45"/>
      <c r="D601" s="46"/>
      <c r="E601" s="47"/>
    </row>
    <row r="602" spans="1:5">
      <c r="A602" s="43"/>
      <c r="B602" s="44"/>
      <c r="C602" s="45"/>
      <c r="D602" s="46"/>
      <c r="E602" s="47"/>
    </row>
    <row r="603" spans="1:5">
      <c r="A603" s="43"/>
      <c r="B603" s="44"/>
      <c r="C603" s="45"/>
      <c r="D603" s="46"/>
      <c r="E603" s="47"/>
    </row>
    <row r="604" spans="1:5">
      <c r="A604" s="43"/>
      <c r="B604" s="44"/>
      <c r="C604" s="45"/>
      <c r="D604" s="46"/>
      <c r="E604" s="47"/>
    </row>
    <row r="605" spans="1:5">
      <c r="A605" s="43"/>
      <c r="B605" s="44"/>
      <c r="C605" s="45"/>
      <c r="D605" s="46"/>
      <c r="E605" s="47"/>
    </row>
    <row r="606" spans="1:5">
      <c r="A606" s="43"/>
      <c r="B606" s="44"/>
      <c r="C606" s="45"/>
      <c r="D606" s="46"/>
      <c r="E606" s="47"/>
    </row>
    <row r="607" spans="1:5">
      <c r="A607" s="43"/>
      <c r="B607" s="44"/>
      <c r="C607" s="45"/>
      <c r="D607" s="46"/>
      <c r="E607" s="47"/>
    </row>
    <row r="608" spans="1:5">
      <c r="A608" s="43"/>
      <c r="B608" s="44"/>
      <c r="C608" s="45"/>
      <c r="D608" s="46"/>
      <c r="E608" s="47"/>
    </row>
    <row r="609" spans="1:5">
      <c r="A609" s="43"/>
      <c r="B609" s="44"/>
      <c r="C609" s="45"/>
      <c r="D609" s="46"/>
      <c r="E609" s="47"/>
    </row>
    <row r="610" spans="1:5">
      <c r="A610" s="43"/>
      <c r="B610" s="44"/>
      <c r="C610" s="45"/>
      <c r="D610" s="46"/>
      <c r="E610" s="47"/>
    </row>
    <row r="611" spans="1:5">
      <c r="A611" s="43"/>
      <c r="B611" s="44"/>
      <c r="C611" s="45"/>
      <c r="D611" s="46"/>
      <c r="E611" s="47"/>
    </row>
    <row r="612" spans="1:5">
      <c r="A612" s="43"/>
      <c r="B612" s="44"/>
      <c r="C612" s="45"/>
      <c r="D612" s="46"/>
      <c r="E612" s="47"/>
    </row>
    <row r="613" spans="1:5">
      <c r="A613" s="43"/>
      <c r="B613" s="44"/>
      <c r="C613" s="45"/>
      <c r="D613" s="46"/>
      <c r="E613" s="47"/>
    </row>
    <row r="614" spans="1:5">
      <c r="A614" s="43"/>
      <c r="B614" s="44"/>
      <c r="C614" s="45"/>
      <c r="D614" s="46"/>
      <c r="E614" s="47"/>
    </row>
    <row r="615" spans="1:5">
      <c r="A615" s="43"/>
      <c r="B615" s="44"/>
      <c r="C615" s="45"/>
      <c r="D615" s="46"/>
      <c r="E615" s="47"/>
    </row>
    <row r="616" spans="1:5">
      <c r="A616" s="43"/>
      <c r="B616" s="44"/>
      <c r="C616" s="45"/>
      <c r="D616" s="46"/>
      <c r="E616" s="47"/>
    </row>
    <row r="617" spans="1:5">
      <c r="A617" s="43"/>
      <c r="B617" s="44"/>
      <c r="C617" s="45"/>
      <c r="D617" s="46"/>
      <c r="E617" s="47"/>
    </row>
    <row r="618" spans="1:5">
      <c r="A618" s="43"/>
      <c r="B618" s="44"/>
      <c r="C618" s="45"/>
      <c r="D618" s="46"/>
      <c r="E618" s="47"/>
    </row>
    <row r="619" spans="1:5">
      <c r="A619" s="43"/>
      <c r="B619" s="44"/>
      <c r="C619" s="45"/>
      <c r="D619" s="46"/>
      <c r="E619" s="47"/>
    </row>
    <row r="620" spans="1:5">
      <c r="A620" s="43"/>
      <c r="B620" s="44"/>
      <c r="C620" s="45"/>
      <c r="D620" s="46"/>
      <c r="E620" s="47"/>
    </row>
    <row r="621" spans="1:5">
      <c r="A621" s="43"/>
      <c r="B621" s="44"/>
      <c r="C621" s="45"/>
      <c r="D621" s="46"/>
      <c r="E621" s="47"/>
    </row>
    <row r="622" spans="1:5">
      <c r="A622" s="43"/>
      <c r="B622" s="44"/>
      <c r="C622" s="45"/>
      <c r="D622" s="46"/>
      <c r="E622" s="47"/>
    </row>
    <row r="623" spans="1:5">
      <c r="A623" s="43"/>
      <c r="B623" s="44"/>
      <c r="C623" s="45"/>
      <c r="D623" s="46"/>
      <c r="E623" s="47"/>
    </row>
    <row r="624" spans="1:5">
      <c r="A624" s="43"/>
      <c r="B624" s="44"/>
      <c r="C624" s="45"/>
      <c r="D624" s="46"/>
      <c r="E624" s="47"/>
    </row>
    <row r="625" spans="1:5">
      <c r="A625" s="43"/>
      <c r="B625" s="44"/>
      <c r="C625" s="45"/>
      <c r="D625" s="46"/>
      <c r="E625" s="47"/>
    </row>
    <row r="626" spans="1:5">
      <c r="A626" s="43"/>
      <c r="B626" s="44"/>
      <c r="C626" s="45"/>
      <c r="D626" s="46"/>
      <c r="E626" s="47"/>
    </row>
    <row r="627" spans="1:5">
      <c r="A627" s="43"/>
      <c r="B627" s="44"/>
      <c r="C627" s="45"/>
      <c r="D627" s="46"/>
      <c r="E627" s="47"/>
    </row>
    <row r="628" spans="1:5">
      <c r="A628" s="43"/>
      <c r="B628" s="44"/>
      <c r="C628" s="45"/>
      <c r="D628" s="46"/>
      <c r="E628" s="47"/>
    </row>
    <row r="629" spans="1:5">
      <c r="A629" s="43"/>
      <c r="B629" s="44"/>
      <c r="C629" s="45"/>
      <c r="D629" s="46"/>
      <c r="E629" s="47"/>
    </row>
    <row r="630" spans="1:5">
      <c r="A630" s="43"/>
      <c r="B630" s="44"/>
      <c r="C630" s="45"/>
      <c r="D630" s="46"/>
      <c r="E630" s="47"/>
    </row>
    <row r="631" spans="1:5">
      <c r="A631" s="43"/>
      <c r="B631" s="44"/>
      <c r="C631" s="45"/>
      <c r="D631" s="46"/>
      <c r="E631" s="47"/>
    </row>
    <row r="632" spans="1:5">
      <c r="A632" s="43"/>
      <c r="B632" s="44"/>
      <c r="C632" s="45"/>
      <c r="D632" s="46"/>
      <c r="E632" s="47"/>
    </row>
    <row r="633" spans="1:5">
      <c r="A633" s="43"/>
      <c r="B633" s="44"/>
      <c r="C633" s="45"/>
      <c r="D633" s="46"/>
      <c r="E633" s="47"/>
    </row>
    <row r="634" spans="1:5">
      <c r="A634" s="43"/>
      <c r="B634" s="44"/>
      <c r="C634" s="45"/>
      <c r="D634" s="46"/>
      <c r="E634" s="47"/>
    </row>
    <row r="635" spans="1:5">
      <c r="A635" s="43"/>
      <c r="B635" s="44"/>
      <c r="C635" s="45"/>
      <c r="D635" s="46"/>
      <c r="E635" s="47"/>
    </row>
    <row r="636" spans="1:5">
      <c r="A636" s="43"/>
      <c r="B636" s="44"/>
      <c r="C636" s="45"/>
      <c r="D636" s="46"/>
      <c r="E636" s="47"/>
    </row>
    <row r="637" spans="1:5">
      <c r="A637" s="43"/>
      <c r="B637" s="44"/>
      <c r="C637" s="45"/>
      <c r="D637" s="46"/>
      <c r="E637" s="47"/>
    </row>
    <row r="638" spans="1:5">
      <c r="A638" s="43"/>
      <c r="B638" s="44"/>
      <c r="C638" s="45"/>
      <c r="D638" s="46"/>
      <c r="E638" s="47"/>
    </row>
    <row r="639" spans="1:5">
      <c r="A639" s="43"/>
      <c r="B639" s="44"/>
      <c r="C639" s="45"/>
      <c r="D639" s="46"/>
      <c r="E639" s="47"/>
    </row>
    <row r="640" spans="1:5">
      <c r="A640" s="43"/>
      <c r="B640" s="44"/>
      <c r="C640" s="45"/>
      <c r="D640" s="46"/>
      <c r="E640" s="47"/>
    </row>
    <row r="641" spans="1:5">
      <c r="A641" s="43"/>
      <c r="B641" s="44"/>
      <c r="C641" s="45"/>
      <c r="D641" s="46"/>
      <c r="E641" s="47"/>
    </row>
    <row r="642" spans="1:5">
      <c r="A642" s="43"/>
      <c r="B642" s="44"/>
      <c r="C642" s="45"/>
      <c r="D642" s="46"/>
      <c r="E642" s="47"/>
    </row>
    <row r="643" spans="1:5">
      <c r="A643" s="43"/>
      <c r="B643" s="44"/>
      <c r="C643" s="45"/>
      <c r="D643" s="46"/>
      <c r="E643" s="47"/>
    </row>
    <row r="644" spans="1:5">
      <c r="A644" s="43"/>
      <c r="B644" s="44"/>
      <c r="C644" s="45"/>
      <c r="D644" s="46"/>
      <c r="E644" s="47"/>
    </row>
    <row r="645" spans="1:5">
      <c r="A645" s="43"/>
      <c r="B645" s="44"/>
      <c r="C645" s="45"/>
      <c r="D645" s="46"/>
      <c r="E645" s="47"/>
    </row>
    <row r="646" spans="1:5">
      <c r="A646" s="43"/>
      <c r="B646" s="44"/>
      <c r="C646" s="45"/>
      <c r="D646" s="46"/>
      <c r="E646" s="47"/>
    </row>
    <row r="647" spans="1:5">
      <c r="A647" s="43"/>
      <c r="B647" s="44"/>
      <c r="C647" s="45"/>
      <c r="D647" s="46"/>
      <c r="E647" s="47"/>
    </row>
    <row r="648" spans="1:5">
      <c r="A648" s="43"/>
      <c r="B648" s="44"/>
      <c r="C648" s="45"/>
      <c r="D648" s="46"/>
      <c r="E648" s="47"/>
    </row>
    <row r="649" spans="1:5">
      <c r="A649" s="43"/>
      <c r="B649" s="44"/>
      <c r="C649" s="45"/>
      <c r="D649" s="46"/>
      <c r="E649" s="47"/>
    </row>
    <row r="650" spans="1:5">
      <c r="A650" s="43"/>
      <c r="B650" s="44"/>
      <c r="C650" s="45"/>
      <c r="D650" s="46"/>
      <c r="E650" s="47"/>
    </row>
    <row r="651" spans="1:5">
      <c r="A651" s="43"/>
      <c r="B651" s="44"/>
      <c r="C651" s="45"/>
      <c r="D651" s="46"/>
      <c r="E651" s="47"/>
    </row>
    <row r="652" spans="1:5">
      <c r="A652" s="43"/>
      <c r="B652" s="44"/>
      <c r="C652" s="45"/>
      <c r="D652" s="46"/>
      <c r="E652" s="47"/>
    </row>
    <row r="653" spans="1:5">
      <c r="A653" s="43"/>
      <c r="B653" s="44"/>
      <c r="C653" s="45"/>
      <c r="D653" s="46"/>
      <c r="E653" s="47"/>
    </row>
    <row r="654" spans="1:5">
      <c r="A654" s="43"/>
      <c r="B654" s="44"/>
      <c r="C654" s="45"/>
      <c r="D654" s="46"/>
      <c r="E654" s="47"/>
    </row>
    <row r="655" spans="1:5">
      <c r="A655" s="43"/>
      <c r="B655" s="44"/>
      <c r="C655" s="45"/>
      <c r="D655" s="46"/>
      <c r="E655" s="47"/>
    </row>
    <row r="656" spans="1:5">
      <c r="A656" s="43"/>
      <c r="B656" s="44"/>
      <c r="C656" s="45"/>
      <c r="D656" s="46"/>
      <c r="E656" s="47"/>
    </row>
    <row r="657" spans="1:5">
      <c r="A657" s="43"/>
      <c r="B657" s="44"/>
      <c r="C657" s="45"/>
      <c r="D657" s="46"/>
      <c r="E657" s="47"/>
    </row>
    <row r="658" spans="1:5">
      <c r="A658" s="43"/>
      <c r="B658" s="44"/>
      <c r="C658" s="45"/>
      <c r="D658" s="46"/>
      <c r="E658" s="47"/>
    </row>
    <row r="659" spans="1:5">
      <c r="A659" s="43"/>
      <c r="B659" s="44"/>
      <c r="C659" s="45"/>
      <c r="D659" s="46"/>
      <c r="E659" s="47"/>
    </row>
    <row r="660" spans="1:5">
      <c r="A660" s="43"/>
      <c r="B660" s="44"/>
      <c r="C660" s="45"/>
      <c r="D660" s="46"/>
      <c r="E660" s="47"/>
    </row>
    <row r="661" spans="1:5">
      <c r="A661" s="43"/>
      <c r="B661" s="44"/>
      <c r="C661" s="45"/>
      <c r="D661" s="46"/>
      <c r="E661" s="47"/>
    </row>
    <row r="662" spans="1:5">
      <c r="A662" s="43"/>
      <c r="B662" s="44"/>
      <c r="C662" s="45"/>
      <c r="D662" s="46"/>
      <c r="E662" s="47"/>
    </row>
    <row r="663" spans="1:5">
      <c r="A663" s="43"/>
      <c r="B663" s="44"/>
      <c r="C663" s="45"/>
      <c r="D663" s="46"/>
      <c r="E663" s="47"/>
    </row>
    <row r="664" spans="1:5">
      <c r="A664" s="43"/>
      <c r="B664" s="44"/>
      <c r="C664" s="45"/>
      <c r="D664" s="46"/>
      <c r="E664" s="47"/>
    </row>
    <row r="665" spans="1:5">
      <c r="A665" s="43"/>
      <c r="B665" s="44"/>
      <c r="C665" s="45"/>
      <c r="D665" s="46"/>
      <c r="E665" s="47"/>
    </row>
    <row r="666" spans="1:5">
      <c r="A666" s="43"/>
      <c r="B666" s="44"/>
      <c r="C666" s="45"/>
      <c r="D666" s="46"/>
      <c r="E666" s="47"/>
    </row>
    <row r="667" spans="1:5">
      <c r="A667" s="43"/>
      <c r="B667" s="44"/>
      <c r="C667" s="45"/>
      <c r="D667" s="46"/>
      <c r="E667" s="47"/>
    </row>
    <row r="668" spans="1:5">
      <c r="A668" s="43"/>
      <c r="B668" s="44"/>
      <c r="C668" s="45"/>
      <c r="D668" s="46"/>
      <c r="E668" s="47"/>
    </row>
    <row r="669" spans="1:5">
      <c r="A669" s="43"/>
      <c r="B669" s="44"/>
      <c r="C669" s="45"/>
      <c r="D669" s="46"/>
      <c r="E669" s="47"/>
    </row>
    <row r="670" spans="1:5">
      <c r="A670" s="43"/>
      <c r="B670" s="44"/>
      <c r="C670" s="45"/>
      <c r="D670" s="46"/>
      <c r="E670" s="47"/>
    </row>
    <row r="671" spans="1:5">
      <c r="A671" s="43"/>
      <c r="B671" s="44"/>
      <c r="C671" s="45"/>
      <c r="D671" s="46"/>
      <c r="E671" s="47"/>
    </row>
    <row r="672" spans="1:5">
      <c r="A672" s="43"/>
      <c r="B672" s="44"/>
      <c r="C672" s="45"/>
      <c r="D672" s="46"/>
      <c r="E672" s="47"/>
    </row>
    <row r="673" spans="1:5">
      <c r="A673" s="43"/>
      <c r="B673" s="44"/>
      <c r="C673" s="45"/>
      <c r="D673" s="46"/>
      <c r="E673" s="47"/>
    </row>
    <row r="674" spans="1:5">
      <c r="A674" s="43"/>
      <c r="B674" s="44"/>
      <c r="C674" s="45"/>
      <c r="D674" s="46"/>
      <c r="E674" s="47"/>
    </row>
    <row r="675" spans="1:5">
      <c r="A675" s="43"/>
      <c r="B675" s="44"/>
      <c r="C675" s="45"/>
      <c r="D675" s="46"/>
      <c r="E675" s="47"/>
    </row>
    <row r="676" spans="1:5">
      <c r="A676" s="43"/>
      <c r="B676" s="44"/>
      <c r="C676" s="45"/>
      <c r="D676" s="46"/>
      <c r="E676" s="47"/>
    </row>
    <row r="677" spans="1:5">
      <c r="A677" s="43"/>
      <c r="B677" s="44"/>
      <c r="C677" s="45"/>
      <c r="D677" s="46"/>
      <c r="E677" s="47"/>
    </row>
    <row r="678" spans="1:5">
      <c r="A678" s="43"/>
      <c r="B678" s="44"/>
      <c r="C678" s="45"/>
      <c r="D678" s="46"/>
      <c r="E678" s="47"/>
    </row>
    <row r="679" spans="1:5">
      <c r="A679" s="43"/>
      <c r="B679" s="44"/>
      <c r="C679" s="45"/>
      <c r="D679" s="46"/>
      <c r="E679" s="47"/>
    </row>
    <row r="680" spans="1:5">
      <c r="A680" s="43"/>
      <c r="B680" s="44"/>
      <c r="C680" s="45"/>
      <c r="D680" s="46"/>
      <c r="E680" s="47"/>
    </row>
    <row r="681" spans="1:5">
      <c r="A681" s="43"/>
      <c r="B681" s="44"/>
      <c r="C681" s="45"/>
      <c r="D681" s="46"/>
      <c r="E681" s="47"/>
    </row>
    <row r="682" spans="1:5">
      <c r="A682" s="43"/>
      <c r="B682" s="44"/>
      <c r="C682" s="45"/>
      <c r="D682" s="46"/>
      <c r="E682" s="47"/>
    </row>
    <row r="683" spans="1:5">
      <c r="A683" s="43"/>
      <c r="B683" s="44"/>
      <c r="C683" s="45"/>
      <c r="D683" s="46"/>
      <c r="E683" s="47"/>
    </row>
    <row r="684" spans="1:5">
      <c r="A684" s="43"/>
      <c r="B684" s="44"/>
      <c r="C684" s="45"/>
      <c r="D684" s="46"/>
      <c r="E684" s="47"/>
    </row>
    <row r="685" spans="1:5">
      <c r="A685" s="43"/>
      <c r="B685" s="44"/>
      <c r="C685" s="45"/>
      <c r="D685" s="46"/>
      <c r="E685" s="47"/>
    </row>
    <row r="686" spans="1:5">
      <c r="A686" s="43"/>
      <c r="B686" s="44"/>
      <c r="C686" s="45"/>
      <c r="D686" s="46"/>
      <c r="E686" s="47"/>
    </row>
    <row r="687" spans="1:5">
      <c r="A687" s="43"/>
      <c r="B687" s="44"/>
      <c r="C687" s="45"/>
      <c r="D687" s="46"/>
      <c r="E687" s="47"/>
    </row>
    <row r="688" spans="1:5">
      <c r="A688" s="43"/>
      <c r="B688" s="44"/>
      <c r="C688" s="45"/>
      <c r="D688" s="46"/>
      <c r="E688" s="47"/>
    </row>
    <row r="689" spans="1:5">
      <c r="A689" s="43"/>
      <c r="B689" s="44"/>
      <c r="C689" s="45"/>
      <c r="D689" s="46"/>
      <c r="E689" s="47"/>
    </row>
    <row r="690" spans="1:5">
      <c r="A690" s="43"/>
      <c r="B690" s="44"/>
      <c r="C690" s="45"/>
      <c r="D690" s="46"/>
      <c r="E690" s="47"/>
    </row>
    <row r="691" spans="1:5">
      <c r="A691" s="43"/>
      <c r="B691" s="44"/>
      <c r="C691" s="45"/>
      <c r="D691" s="46"/>
      <c r="E691" s="47"/>
    </row>
    <row r="692" spans="1:5">
      <c r="A692" s="43"/>
      <c r="B692" s="44"/>
      <c r="C692" s="45"/>
      <c r="D692" s="46"/>
      <c r="E692" s="47"/>
    </row>
    <row r="693" spans="1:5">
      <c r="A693" s="43"/>
      <c r="B693" s="44"/>
      <c r="C693" s="45"/>
      <c r="D693" s="46"/>
      <c r="E693" s="47"/>
    </row>
    <row r="694" spans="1:5">
      <c r="A694" s="43"/>
      <c r="B694" s="44"/>
      <c r="C694" s="45"/>
      <c r="D694" s="46"/>
      <c r="E694" s="47"/>
    </row>
    <row r="695" spans="1:5">
      <c r="A695" s="43"/>
      <c r="B695" s="44"/>
      <c r="C695" s="45"/>
      <c r="D695" s="46"/>
      <c r="E695" s="47"/>
    </row>
    <row r="696" spans="1:5">
      <c r="A696" s="43"/>
      <c r="B696" s="44"/>
      <c r="C696" s="45"/>
      <c r="D696" s="46"/>
      <c r="E696" s="47"/>
    </row>
    <row r="697" spans="1:5">
      <c r="A697" s="43"/>
      <c r="B697" s="44"/>
      <c r="C697" s="45"/>
      <c r="D697" s="46"/>
      <c r="E697" s="47"/>
    </row>
    <row r="698" spans="1:5">
      <c r="A698" s="43"/>
      <c r="B698" s="44"/>
      <c r="C698" s="45"/>
      <c r="D698" s="46"/>
      <c r="E698" s="47"/>
    </row>
    <row r="699" spans="1:5">
      <c r="A699" s="43"/>
      <c r="B699" s="44"/>
      <c r="C699" s="45"/>
      <c r="D699" s="46"/>
      <c r="E699" s="47"/>
    </row>
    <row r="700" spans="1:5">
      <c r="A700" s="43"/>
      <c r="B700" s="44"/>
      <c r="C700" s="45"/>
      <c r="D700" s="46"/>
      <c r="E700" s="47"/>
    </row>
    <row r="701" spans="1:5">
      <c r="A701" s="43"/>
      <c r="B701" s="44"/>
      <c r="C701" s="45"/>
      <c r="D701" s="46"/>
      <c r="E701" s="47"/>
    </row>
    <row r="702" spans="1:5">
      <c r="A702" s="43"/>
      <c r="B702" s="44"/>
      <c r="C702" s="45"/>
      <c r="D702" s="46"/>
      <c r="E702" s="47"/>
    </row>
    <row r="703" spans="1:5">
      <c r="A703" s="43"/>
      <c r="B703" s="44"/>
      <c r="C703" s="45"/>
      <c r="D703" s="46"/>
      <c r="E703" s="47"/>
    </row>
    <row r="704" spans="1:5">
      <c r="A704" s="43"/>
      <c r="B704" s="44"/>
      <c r="C704" s="45"/>
      <c r="D704" s="46"/>
      <c r="E704" s="47"/>
    </row>
    <row r="705" spans="1:5">
      <c r="A705" s="43"/>
      <c r="B705" s="44"/>
      <c r="C705" s="45"/>
      <c r="D705" s="46"/>
      <c r="E705" s="47"/>
    </row>
    <row r="706" spans="1:5">
      <c r="A706" s="43"/>
      <c r="B706" s="44"/>
      <c r="C706" s="45"/>
      <c r="D706" s="46"/>
      <c r="E706" s="47"/>
    </row>
    <row r="707" spans="1:5">
      <c r="A707" s="43"/>
      <c r="B707" s="44"/>
      <c r="C707" s="45"/>
      <c r="D707" s="46"/>
      <c r="E707" s="47"/>
    </row>
    <row r="708" spans="1:5">
      <c r="A708" s="43"/>
      <c r="B708" s="44"/>
      <c r="C708" s="45"/>
      <c r="E708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15</vt:i4>
      </vt:variant>
    </vt:vector>
  </HeadingPairs>
  <TitlesOfParts>
    <vt:vector size="25" baseType="lpstr">
      <vt:lpstr>Teams</vt:lpstr>
      <vt:lpstr>Players</vt:lpstr>
      <vt:lpstr>Player Lookup</vt:lpstr>
      <vt:lpstr>Sheet1</vt:lpstr>
      <vt:lpstr>DEF</vt:lpstr>
      <vt:lpstr>QB</vt:lpstr>
      <vt:lpstr>RB</vt:lpstr>
      <vt:lpstr>WR</vt:lpstr>
      <vt:lpstr>TE</vt:lpstr>
      <vt:lpstr>FLEX</vt:lpstr>
      <vt:lpstr>defense</vt:lpstr>
      <vt:lpstr>dlkp</vt:lpstr>
      <vt:lpstr>flex</vt:lpstr>
      <vt:lpstr>flkp</vt:lpstr>
      <vt:lpstr>nickname</vt:lpstr>
      <vt:lpstr>playerlkp</vt:lpstr>
      <vt:lpstr>Players</vt:lpstr>
      <vt:lpstr>qb</vt:lpstr>
      <vt:lpstr>qblkp</vt:lpstr>
      <vt:lpstr>rb</vt:lpstr>
      <vt:lpstr>rblkp</vt:lpstr>
      <vt:lpstr>te</vt:lpstr>
      <vt:lpstr>telkp</vt:lpstr>
      <vt:lpstr>wr</vt:lpstr>
      <vt:lpstr>wrlkp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Owner</cp:lastModifiedBy>
  <dcterms:created xsi:type="dcterms:W3CDTF">2023-10-06T15:34:28Z</dcterms:created>
  <dcterms:modified xsi:type="dcterms:W3CDTF">2024-09-08T13:49:41Z</dcterms:modified>
</cp:coreProperties>
</file>