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Excel\NFL-Fantasy\2024\"/>
    </mc:Choice>
  </mc:AlternateContent>
  <xr:revisionPtr revIDLastSave="0" documentId="13_ncr:1_{F99F053D-4090-4795-B1DB-868D7B9CC800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FanDuel-NFL-2024 ET-10 ET-13 E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68" i="1" l="1"/>
  <c r="Q57" i="1"/>
  <c r="Q61" i="1"/>
  <c r="Q60" i="1"/>
  <c r="Q64" i="1"/>
  <c r="Q59" i="1"/>
  <c r="Q58" i="1"/>
  <c r="Q62" i="1"/>
  <c r="Q63" i="1"/>
  <c r="Q56" i="1"/>
  <c r="Q67" i="1"/>
  <c r="Q66" i="1"/>
  <c r="Q65" i="1"/>
  <c r="Q55" i="1"/>
  <c r="Q54" i="1"/>
  <c r="Q52" i="1"/>
  <c r="Q53" i="1"/>
  <c r="Q51" i="1"/>
  <c r="Q50" i="1"/>
  <c r="Q49" i="1"/>
  <c r="Q44" i="1"/>
  <c r="Q46" i="1"/>
  <c r="Q43" i="1"/>
  <c r="Q45" i="1"/>
  <c r="Q42" i="1"/>
  <c r="Q48" i="1"/>
  <c r="Q41" i="1"/>
  <c r="Q47" i="1"/>
  <c r="Q40" i="1"/>
  <c r="Q39" i="1"/>
  <c r="Q38" i="1"/>
  <c r="Q36" i="1"/>
  <c r="Q37" i="1"/>
  <c r="Q35" i="1"/>
  <c r="Q34" i="1"/>
  <c r="Q30" i="1"/>
  <c r="Q27" i="1"/>
  <c r="Q28" i="1"/>
  <c r="Q29" i="1"/>
  <c r="Q25" i="1"/>
  <c r="Q26" i="1"/>
  <c r="Q24" i="1"/>
  <c r="Q23" i="1"/>
  <c r="Q22" i="1"/>
  <c r="Q33" i="1"/>
  <c r="Q32" i="1"/>
  <c r="Q31" i="1"/>
  <c r="Q19" i="1"/>
  <c r="Q21" i="1"/>
  <c r="Q20" i="1"/>
  <c r="Q18" i="1"/>
  <c r="Q17" i="1"/>
  <c r="Q16" i="1"/>
  <c r="Q15" i="1"/>
  <c r="Q14" i="1"/>
  <c r="Q12" i="1"/>
  <c r="Q13" i="1"/>
  <c r="Q11" i="1"/>
  <c r="Q10" i="1"/>
  <c r="Q9" i="1"/>
  <c r="Q8" i="1"/>
  <c r="Q6" i="1"/>
  <c r="Q7" i="1"/>
  <c r="Q5" i="1"/>
  <c r="Q4" i="1"/>
  <c r="Q3" i="1"/>
  <c r="Q2" i="1"/>
</calcChain>
</file>

<file path=xl/sharedStrings.xml><?xml version="1.0" encoding="utf-8"?>
<sst xmlns="http://schemas.openxmlformats.org/spreadsheetml/2006/main" count="680" uniqueCount="301">
  <si>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</si>
  <si>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</si>
  <si>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</si>
  <si>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</si>
  <si>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</si>
  <si>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</si>
  <si>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</si>
  <si>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</si>
  <si>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</si>
  <si>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</si>
  <si>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</si>
  <si>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</si>
  <si>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</si>
  <si>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</si>
  <si>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</si>
  <si>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108048-85701</t>
  </si>
  <si>
    <t>WR</t>
  </si>
  <si>
    <t>Ja'Marr</t>
  </si>
  <si>
    <t>Ja'Marr Chase</t>
  </si>
  <si>
    <t>Chase</t>
  </si>
  <si>
    <t>CIN@NYG</t>
  </si>
  <si>
    <t>CIN</t>
  </si>
  <si>
    <t>NYG</t>
  </si>
  <si>
    <t>MVP - 1.5X Points/AnyFLEX</t>
  </si>
  <si>
    <t>108048-63336</t>
  </si>
  <si>
    <t>QB</t>
  </si>
  <si>
    <t>Joe</t>
  </si>
  <si>
    <t>Joe Burrow</t>
  </si>
  <si>
    <t>Burrow</t>
  </si>
  <si>
    <t>108048-151761</t>
  </si>
  <si>
    <t>Malik</t>
  </si>
  <si>
    <t>Malik Nabers</t>
  </si>
  <si>
    <t>Nabers</t>
  </si>
  <si>
    <t>O</t>
  </si>
  <si>
    <t>Concussion</t>
  </si>
  <si>
    <t>108048-63519</t>
  </si>
  <si>
    <t>Daniel</t>
  </si>
  <si>
    <t>Daniel Jones</t>
  </si>
  <si>
    <t>Jones</t>
  </si>
  <si>
    <t>108048-89981</t>
  </si>
  <si>
    <t>Tee</t>
  </si>
  <si>
    <t>Tee Higgins</t>
  </si>
  <si>
    <t>Higgins</t>
  </si>
  <si>
    <t>108048-103539</t>
  </si>
  <si>
    <t>Wan'Dale</t>
  </si>
  <si>
    <t>Wan'Dale Robinson</t>
  </si>
  <si>
    <t>Robinson</t>
  </si>
  <si>
    <t>108048-89493</t>
  </si>
  <si>
    <t>RB</t>
  </si>
  <si>
    <t>Chase Brown</t>
  </si>
  <si>
    <t>Brown</t>
  </si>
  <si>
    <t>Q</t>
  </si>
  <si>
    <t>Quadriceps</t>
  </si>
  <si>
    <t>108048-70027</t>
  </si>
  <si>
    <t>Zack</t>
  </si>
  <si>
    <t>Zack Moss</t>
  </si>
  <si>
    <t>Moss</t>
  </si>
  <si>
    <t>108048-86153</t>
  </si>
  <si>
    <t>Tyrone</t>
  </si>
  <si>
    <t>Tyrone Tracy Jr.</t>
  </si>
  <si>
    <t>Tracy Jr.</t>
  </si>
  <si>
    <t>108048-70603</t>
  </si>
  <si>
    <t>Devin</t>
  </si>
  <si>
    <t>Devin Singletary</t>
  </si>
  <si>
    <t>Singletary</t>
  </si>
  <si>
    <t>Groin</t>
  </si>
  <si>
    <t>108048-86092</t>
  </si>
  <si>
    <t>K</t>
  </si>
  <si>
    <t>Evan</t>
  </si>
  <si>
    <t>Evan McPherson</t>
  </si>
  <si>
    <t>McPherson</t>
  </si>
  <si>
    <t>108048-55515</t>
  </si>
  <si>
    <t>Greg</t>
  </si>
  <si>
    <t>Greg Joseph</t>
  </si>
  <si>
    <t>Joseph</t>
  </si>
  <si>
    <t>108048-63819</t>
  </si>
  <si>
    <t>Darius</t>
  </si>
  <si>
    <t>Darius Slayton</t>
  </si>
  <si>
    <t>Slayton</t>
  </si>
  <si>
    <t>108048-185593</t>
  </si>
  <si>
    <t>Andrei</t>
  </si>
  <si>
    <t>Andrei Iosivas</t>
  </si>
  <si>
    <t>Iosivas</t>
  </si>
  <si>
    <t>108048-12528</t>
  </si>
  <si>
    <t>D</t>
  </si>
  <si>
    <t>Cincinnati</t>
  </si>
  <si>
    <t>Cincinnati Bengals</t>
  </si>
  <si>
    <t>Bengals</t>
  </si>
  <si>
    <t>108048-12543</t>
  </si>
  <si>
    <t>New York</t>
  </si>
  <si>
    <t>New York Giants</t>
  </si>
  <si>
    <t>Giants</t>
  </si>
  <si>
    <t>108048-102928</t>
  </si>
  <si>
    <t>Eric</t>
  </si>
  <si>
    <t>Eric Gray</t>
  </si>
  <si>
    <t>Gray</t>
  </si>
  <si>
    <t>108048-56265</t>
  </si>
  <si>
    <t>TE</t>
  </si>
  <si>
    <t>Mike</t>
  </si>
  <si>
    <t>Mike Gesicki</t>
  </si>
  <si>
    <t>Gesicki</t>
  </si>
  <si>
    <t>108048-128810</t>
  </si>
  <si>
    <t>Theo</t>
  </si>
  <si>
    <t>Theo Johnson</t>
  </si>
  <si>
    <t>Johnson</t>
  </si>
  <si>
    <t>108048-103378</t>
  </si>
  <si>
    <t>Erick</t>
  </si>
  <si>
    <t>Erick All Jr.</t>
  </si>
  <si>
    <t>All Jr.</t>
  </si>
  <si>
    <t>108048-90307</t>
  </si>
  <si>
    <t>Daniel Bellinger</t>
  </si>
  <si>
    <t>Bellinger</t>
  </si>
  <si>
    <t>108048-133484</t>
  </si>
  <si>
    <t>Jermaine</t>
  </si>
  <si>
    <t>Jermaine Burton</t>
  </si>
  <si>
    <t>Burton</t>
  </si>
  <si>
    <t>108048-56711</t>
  </si>
  <si>
    <t>Drew</t>
  </si>
  <si>
    <t>Drew Sample</t>
  </si>
  <si>
    <t>Sample</t>
  </si>
  <si>
    <t>108048-64905</t>
  </si>
  <si>
    <t>Trenton</t>
  </si>
  <si>
    <t>Trenton Irwin</t>
  </si>
  <si>
    <t>Irwin</t>
  </si>
  <si>
    <t>108048-88752</t>
  </si>
  <si>
    <t>Charlie</t>
  </si>
  <si>
    <t>Charlie Jones</t>
  </si>
  <si>
    <t>108048-139094</t>
  </si>
  <si>
    <t>Jalin</t>
  </si>
  <si>
    <t>Jalin Hyatt</t>
  </si>
  <si>
    <t>Hyatt</t>
  </si>
  <si>
    <t>108048-86113</t>
  </si>
  <si>
    <t>Ihmir</t>
  </si>
  <si>
    <t>Ihmir Smith-Marsette</t>
  </si>
  <si>
    <t>Smith-Marsette</t>
  </si>
  <si>
    <t>108048-69860</t>
  </si>
  <si>
    <t>Trayveon</t>
  </si>
  <si>
    <t>Trayveon Williams</t>
  </si>
  <si>
    <t>Williams</t>
  </si>
  <si>
    <t>108048-104577</t>
  </si>
  <si>
    <t>Gunner</t>
  </si>
  <si>
    <t>Gunner Olszewski</t>
  </si>
  <si>
    <t>Olszewski</t>
  </si>
  <si>
    <t>IR</t>
  </si>
  <si>
    <t>108048-53639</t>
  </si>
  <si>
    <t>Isaiah</t>
  </si>
  <si>
    <t>Isaiah McKenzie</t>
  </si>
  <si>
    <t>McKenzie</t>
  </si>
  <si>
    <t>Lower body</t>
  </si>
  <si>
    <t>108048-91912</t>
  </si>
  <si>
    <t>Chase Cota</t>
  </si>
  <si>
    <t>Cota</t>
  </si>
  <si>
    <t>108048-94864</t>
  </si>
  <si>
    <t>Jashaun</t>
  </si>
  <si>
    <t>Jashaun Corbin</t>
  </si>
  <si>
    <t>Corbin</t>
  </si>
  <si>
    <t>Undisclosed</t>
  </si>
  <si>
    <t>108048-92056</t>
  </si>
  <si>
    <t>Cal</t>
  </si>
  <si>
    <t>Cal Adomitis</t>
  </si>
  <si>
    <t>Adomitis</t>
  </si>
  <si>
    <t>108048-94748</t>
  </si>
  <si>
    <t>Tommy</t>
  </si>
  <si>
    <t>Tommy DeVito</t>
  </si>
  <si>
    <t>DeVito</t>
  </si>
  <si>
    <t>108048-63646</t>
  </si>
  <si>
    <t>Lawrence</t>
  </si>
  <si>
    <t>Lawrence Cager</t>
  </si>
  <si>
    <t>Cager</t>
  </si>
  <si>
    <t>108048-103584</t>
  </si>
  <si>
    <t>Noah</t>
  </si>
  <si>
    <t>Noah Cain</t>
  </si>
  <si>
    <t>Cain</t>
  </si>
  <si>
    <t>108048-93600</t>
  </si>
  <si>
    <t>Bryce</t>
  </si>
  <si>
    <t>Bryce Ford-Wheaton</t>
  </si>
  <si>
    <t>Ford-Wheaton</t>
  </si>
  <si>
    <t>Shoulder</t>
  </si>
  <si>
    <t>108048-94121</t>
  </si>
  <si>
    <t>Lorenzo</t>
  </si>
  <si>
    <t>Lorenzo Lingard</t>
  </si>
  <si>
    <t>Lingard</t>
  </si>
  <si>
    <t>108048-60840</t>
  </si>
  <si>
    <t>Jake</t>
  </si>
  <si>
    <t>Jake Browning</t>
  </si>
  <si>
    <t>Browning</t>
  </si>
  <si>
    <t>108048-73130</t>
  </si>
  <si>
    <t>Chris</t>
  </si>
  <si>
    <t>Chris Evans</t>
  </si>
  <si>
    <t>Evans</t>
  </si>
  <si>
    <t>Leg</t>
  </si>
  <si>
    <t>108048-83117</t>
  </si>
  <si>
    <t>Tanner</t>
  </si>
  <si>
    <t>Tanner Hudson</t>
  </si>
  <si>
    <t>Hudson</t>
  </si>
  <si>
    <t>108048-64175</t>
  </si>
  <si>
    <t>Hakeem</t>
  </si>
  <si>
    <t>Hakeem Butler</t>
  </si>
  <si>
    <t>Butler</t>
  </si>
  <si>
    <t>108048-64051</t>
  </si>
  <si>
    <t>Drew Lock</t>
  </si>
  <si>
    <t>Lock</t>
  </si>
  <si>
    <t>108048-52409</t>
  </si>
  <si>
    <t>Jakob</t>
  </si>
  <si>
    <t>Jakob Johnson</t>
  </si>
  <si>
    <t>108048-173631</t>
  </si>
  <si>
    <t>Dante</t>
  </si>
  <si>
    <t>Dante Miller</t>
  </si>
  <si>
    <t>Miller</t>
  </si>
  <si>
    <t>108048-45259</t>
  </si>
  <si>
    <t>Logan</t>
  </si>
  <si>
    <t>Logan Woodside</t>
  </si>
  <si>
    <t>Woodside</t>
  </si>
  <si>
    <t>108048-160463</t>
  </si>
  <si>
    <t>Tanner McLachlan</t>
  </si>
  <si>
    <t>McLachlan</t>
  </si>
  <si>
    <t>108048-73551</t>
  </si>
  <si>
    <t>Stantley</t>
  </si>
  <si>
    <t>Stantley Thomas-Oliver III</t>
  </si>
  <si>
    <t>Thomas-Oliver III</t>
  </si>
  <si>
    <t>108048-18009</t>
  </si>
  <si>
    <t>Chris Manhertz</t>
  </si>
  <si>
    <t>Manhertz</t>
  </si>
  <si>
    <t>108048-201561</t>
  </si>
  <si>
    <t>Cole</t>
  </si>
  <si>
    <t>Cole Burgess</t>
  </si>
  <si>
    <t>Burgess</t>
  </si>
  <si>
    <t>108048-92891</t>
  </si>
  <si>
    <t>Elijah</t>
  </si>
  <si>
    <t>Elijah Collins</t>
  </si>
  <si>
    <t>Collins</t>
  </si>
  <si>
    <t>108048-201564</t>
  </si>
  <si>
    <t>Cam</t>
  </si>
  <si>
    <t>Cam Grandy</t>
  </si>
  <si>
    <t>Grandy</t>
  </si>
  <si>
    <t>108048-103390</t>
  </si>
  <si>
    <t>Tre</t>
  </si>
  <si>
    <t>Tre Mosley</t>
  </si>
  <si>
    <t>Mosley</t>
  </si>
  <si>
    <t>108048-91872</t>
  </si>
  <si>
    <t>Joshua</t>
  </si>
  <si>
    <t>Joshua Kelley</t>
  </si>
  <si>
    <t>Kelley</t>
  </si>
  <si>
    <t>108048-170214</t>
  </si>
  <si>
    <t>Dennis</t>
  </si>
  <si>
    <t>Dennis Houston</t>
  </si>
  <si>
    <t>Houston</t>
  </si>
  <si>
    <t>108048-92904</t>
  </si>
  <si>
    <t>Rocky</t>
  </si>
  <si>
    <t>Rocky Lombardi</t>
  </si>
  <si>
    <t>Lombardi</t>
  </si>
  <si>
    <t>108048-72427</t>
  </si>
  <si>
    <t>Kwamie</t>
  </si>
  <si>
    <t>Kwamie Lassiter II</t>
  </si>
  <si>
    <t>Lassiter II</t>
  </si>
  <si>
    <t>108048-63851</t>
  </si>
  <si>
    <t>Tyree</t>
  </si>
  <si>
    <t>Tyree Jackson</t>
  </si>
  <si>
    <t>Jackson</t>
  </si>
  <si>
    <t>108048-90480</t>
  </si>
  <si>
    <t>Joel</t>
  </si>
  <si>
    <t>Joel Wilson</t>
  </si>
  <si>
    <t>Wilson</t>
  </si>
  <si>
    <t>108048-91635</t>
  </si>
  <si>
    <t>Kearis</t>
  </si>
  <si>
    <t>Kearis Jackson</t>
  </si>
  <si>
    <t>108048-176119</t>
  </si>
  <si>
    <t>Jude</t>
  </si>
  <si>
    <t>Jude McAtamney</t>
  </si>
  <si>
    <t>McAtamney</t>
  </si>
  <si>
    <t>108048-87668</t>
  </si>
  <si>
    <t>Shedrick</t>
  </si>
  <si>
    <t>Shedrick Jackson</t>
  </si>
  <si>
    <t>108048-10744</t>
  </si>
  <si>
    <t>Graham</t>
  </si>
  <si>
    <t>Graham Gano</t>
  </si>
  <si>
    <t>Gano</t>
  </si>
  <si>
    <t>Hamstring</t>
  </si>
  <si>
    <t>108048-183931</t>
  </si>
  <si>
    <t>Ayir</t>
  </si>
  <si>
    <t>Ayir Asante</t>
  </si>
  <si>
    <t>Asante</t>
  </si>
  <si>
    <t>108048-119672</t>
  </si>
  <si>
    <t>Kendall</t>
  </si>
  <si>
    <t>Kendall Milton</t>
  </si>
  <si>
    <t>Milton</t>
  </si>
  <si>
    <t>108048-93055</t>
  </si>
  <si>
    <t>Isaiah Hodgins</t>
  </si>
  <si>
    <t>Hodgins</t>
  </si>
  <si>
    <t>108048-71935</t>
  </si>
  <si>
    <t>Kendric</t>
  </si>
  <si>
    <t>Kendric Pryor</t>
  </si>
  <si>
    <t>Pryor</t>
  </si>
  <si>
    <t>Points</t>
  </si>
  <si>
    <t>Projected Points</t>
  </si>
  <si>
    <t>WR1</t>
  </si>
  <si>
    <t>WR2</t>
  </si>
  <si>
    <t>WR3</t>
  </si>
  <si>
    <t>RB2</t>
  </si>
  <si>
    <t>RB1</t>
  </si>
  <si>
    <t>WR4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</si>
</sst>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8"/>
  <sheetViews>
    <sheetView tabSelected="1" workbookViewId="0">
      <pane ySplit="1" topLeftCell="A33" activePane="bottomLeft" state="frozenSplit"/>
      <selection pane="bottomLeft" activeCell="H33" sqref="H33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0.59765625" bestFit="1" customWidth="1"/>
    <col min="4" max="4" width="24.265625" bestFit="1" customWidth="1"/>
    <col min="5" max="5" width="16.265625" bestFit="1" customWidth="1"/>
    <col min="6" max="6" width="12" bestFit="1" customWidth="1"/>
    <col min="7" max="7" width="7" bestFit="1" customWidth="1"/>
    <col min="8" max="8" width="6.265625" bestFit="1" customWidth="1"/>
    <col min="9" max="9" width="6.265625" style="2" bestFit="1" customWidth="1"/>
    <col min="10" max="10" width="9.73046875" bestFit="1" customWidth="1"/>
    <col min="11" max="11" width="5.86328125" bestFit="1" customWidth="1"/>
    <col min="12" max="12" width="10" bestFit="1" customWidth="1"/>
    <col min="13" max="13" width="14.59765625" bestFit="1" customWidth="1"/>
    <col min="14" max="14" width="12.73046875" bestFit="1" customWidth="1"/>
    <col min="15" max="15" width="4.3984375" bestFit="1" customWidth="1"/>
    <col min="16" max="16" width="6.59765625" bestFit="1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293</v>
      </c>
      <c r="Q1" t="s">
        <v>294</v>
      </c>
      <c r="R1" t="s">
        <v>14</v>
      </c>
    </row>
    <row r="2" spans="1:18" x14ac:dyDescent="0.45">
      <c r="A2" t="s">
        <v>83</v>
      </c>
      <c r="B2" t="s">
        <v>84</v>
      </c>
      <c r="C2" t="s">
        <v>85</v>
      </c>
      <c r="D2" t="s">
        <v>86</v>
      </c>
      <c r="E2" t="s">
        <v>87</v>
      </c>
      <c r="F2">
        <v>2.4</v>
      </c>
      <c r="G2">
        <v>5</v>
      </c>
      <c r="H2">
        <v>8000</v>
      </c>
      <c r="I2" s="2">
        <v>8000</v>
      </c>
      <c r="J2" t="s">
        <v>20</v>
      </c>
      <c r="K2" t="s">
        <v>21</v>
      </c>
      <c r="L2" t="s">
        <v>22</v>
      </c>
      <c r="O2">
        <v>1</v>
      </c>
      <c r="P2">
        <v>8</v>
      </c>
      <c r="Q2">
        <f>INDEX(Sheet1!A:B,MATCH(D2,Sheet1!A:A,0),2)</f>
        <v>12</v>
      </c>
      <c r="R2" t="s">
        <v>23</v>
      </c>
    </row>
    <row r="3" spans="1:18" x14ac:dyDescent="0.45">
      <c r="A3" t="s">
        <v>66</v>
      </c>
      <c r="B3" t="s">
        <v>67</v>
      </c>
      <c r="C3" t="s">
        <v>68</v>
      </c>
      <c r="D3" t="s">
        <v>69</v>
      </c>
      <c r="E3" t="s">
        <v>70</v>
      </c>
      <c r="F3">
        <v>9.6</v>
      </c>
      <c r="G3">
        <v>5</v>
      </c>
      <c r="H3">
        <v>9000</v>
      </c>
      <c r="I3" s="2">
        <v>9000</v>
      </c>
      <c r="J3" t="s">
        <v>20</v>
      </c>
      <c r="K3" t="s">
        <v>21</v>
      </c>
      <c r="L3" t="s">
        <v>22</v>
      </c>
      <c r="O3">
        <v>1</v>
      </c>
      <c r="P3">
        <v>5</v>
      </c>
      <c r="Q3" s="2">
        <f>INDEX(Sheet1!A:B,MATCH(D3,Sheet1!A:A,0),2)</f>
        <v>48</v>
      </c>
      <c r="R3" t="s">
        <v>23</v>
      </c>
    </row>
    <row r="4" spans="1:18" x14ac:dyDescent="0.45">
      <c r="A4" t="s">
        <v>24</v>
      </c>
      <c r="B4" t="s">
        <v>25</v>
      </c>
      <c r="C4" t="s">
        <v>26</v>
      </c>
      <c r="D4" t="s">
        <v>27</v>
      </c>
      <c r="E4" t="s">
        <v>28</v>
      </c>
      <c r="F4">
        <v>21.7399993896484</v>
      </c>
      <c r="G4">
        <v>5</v>
      </c>
      <c r="H4">
        <v>16000</v>
      </c>
      <c r="I4" s="2">
        <v>16000</v>
      </c>
      <c r="J4" t="s">
        <v>20</v>
      </c>
      <c r="K4" t="s">
        <v>21</v>
      </c>
      <c r="L4" t="s">
        <v>22</v>
      </c>
      <c r="O4">
        <v>1</v>
      </c>
      <c r="P4">
        <v>19.82</v>
      </c>
      <c r="Q4" s="2">
        <f>INDEX(Sheet1!A:B,MATCH(D4,Sheet1!A:A,0),2)</f>
        <v>102.7</v>
      </c>
      <c r="R4" t="s">
        <v>23</v>
      </c>
    </row>
    <row r="5" spans="1:18" x14ac:dyDescent="0.45">
      <c r="A5" t="s">
        <v>182</v>
      </c>
      <c r="B5" t="s">
        <v>25</v>
      </c>
      <c r="C5" t="s">
        <v>183</v>
      </c>
      <c r="D5" t="s">
        <v>184</v>
      </c>
      <c r="E5" t="s">
        <v>185</v>
      </c>
      <c r="F5">
        <v>12.5783335367838</v>
      </c>
      <c r="G5">
        <v>12</v>
      </c>
      <c r="H5">
        <v>5000</v>
      </c>
      <c r="I5" s="2">
        <v>5000</v>
      </c>
      <c r="J5" t="s">
        <v>20</v>
      </c>
      <c r="K5" t="s">
        <v>21</v>
      </c>
      <c r="L5" t="s">
        <v>22</v>
      </c>
      <c r="Q5" s="2" t="e">
        <f>INDEX(Sheet1!A:B,MATCH(D5,Sheet1!A:A,0),2)</f>
        <v>#N/A</v>
      </c>
      <c r="R5" t="s">
        <v>23</v>
      </c>
    </row>
    <row r="6" spans="1:18" x14ac:dyDescent="0.45">
      <c r="A6" t="s">
        <v>247</v>
      </c>
      <c r="B6" t="s">
        <v>25</v>
      </c>
      <c r="C6" t="s">
        <v>248</v>
      </c>
      <c r="D6" t="s">
        <v>249</v>
      </c>
      <c r="E6" t="s">
        <v>250</v>
      </c>
      <c r="G6">
        <v>0</v>
      </c>
      <c r="H6">
        <v>5000</v>
      </c>
      <c r="I6" s="2">
        <v>5000</v>
      </c>
      <c r="J6" t="s">
        <v>20</v>
      </c>
      <c r="K6" t="s">
        <v>21</v>
      </c>
      <c r="L6" t="s">
        <v>22</v>
      </c>
      <c r="Q6" s="2" t="e">
        <f>INDEX(Sheet1!A:B,MATCH(D6,Sheet1!A:A,0),2)</f>
        <v>#N/A</v>
      </c>
      <c r="R6" t="s">
        <v>23</v>
      </c>
    </row>
    <row r="7" spans="1:18" x14ac:dyDescent="0.45">
      <c r="A7" t="s">
        <v>209</v>
      </c>
      <c r="B7" t="s">
        <v>25</v>
      </c>
      <c r="C7" t="s">
        <v>210</v>
      </c>
      <c r="D7" t="s">
        <v>211</v>
      </c>
      <c r="E7" t="s">
        <v>212</v>
      </c>
      <c r="F7">
        <v>0.34000000357627802</v>
      </c>
      <c r="G7">
        <v>2</v>
      </c>
      <c r="H7">
        <v>5000</v>
      </c>
      <c r="I7" s="2">
        <v>5000</v>
      </c>
      <c r="J7" t="s">
        <v>20</v>
      </c>
      <c r="K7" t="s">
        <v>21</v>
      </c>
      <c r="L7" t="s">
        <v>22</v>
      </c>
      <c r="Q7" s="2" t="e">
        <f>INDEX(Sheet1!A:B,MATCH(D7,Sheet1!A:A,0),2)</f>
        <v>#N/A</v>
      </c>
      <c r="R7" t="s">
        <v>23</v>
      </c>
    </row>
    <row r="8" spans="1:18" x14ac:dyDescent="0.45">
      <c r="A8" t="s">
        <v>47</v>
      </c>
      <c r="B8" t="s">
        <v>48</v>
      </c>
      <c r="C8" t="s">
        <v>19</v>
      </c>
      <c r="D8" t="s">
        <v>49</v>
      </c>
      <c r="E8" t="s">
        <v>50</v>
      </c>
      <c r="F8">
        <v>10.380000305175701</v>
      </c>
      <c r="G8">
        <v>5</v>
      </c>
      <c r="H8">
        <v>10500</v>
      </c>
      <c r="I8" s="2">
        <v>10500</v>
      </c>
      <c r="J8" t="s">
        <v>20</v>
      </c>
      <c r="K8" t="s">
        <v>21</v>
      </c>
      <c r="L8" t="s">
        <v>22</v>
      </c>
      <c r="M8" t="s">
        <v>51</v>
      </c>
      <c r="N8" t="s">
        <v>52</v>
      </c>
      <c r="O8">
        <v>1</v>
      </c>
      <c r="P8">
        <v>13.4</v>
      </c>
      <c r="Q8" s="2">
        <f>INDEX(Sheet1!A:B,MATCH(D8,Sheet1!A:A,0),2)</f>
        <v>51.9</v>
      </c>
      <c r="R8" t="s">
        <v>23</v>
      </c>
    </row>
    <row r="9" spans="1:18" x14ac:dyDescent="0.45">
      <c r="A9" t="s">
        <v>53</v>
      </c>
      <c r="B9" t="s">
        <v>48</v>
      </c>
      <c r="C9" t="s">
        <v>54</v>
      </c>
      <c r="D9" t="s">
        <v>55</v>
      </c>
      <c r="E9" t="s">
        <v>56</v>
      </c>
      <c r="F9">
        <v>11.8</v>
      </c>
      <c r="G9">
        <v>5</v>
      </c>
      <c r="H9">
        <v>10000</v>
      </c>
      <c r="I9" s="2">
        <v>10000</v>
      </c>
      <c r="J9" t="s">
        <v>20</v>
      </c>
      <c r="K9" t="s">
        <v>21</v>
      </c>
      <c r="L9" t="s">
        <v>22</v>
      </c>
      <c r="P9">
        <v>0</v>
      </c>
      <c r="Q9" s="2">
        <f>INDEX(Sheet1!A:B,MATCH(D9,Sheet1!A:A,0),2)</f>
        <v>59</v>
      </c>
      <c r="R9" t="s">
        <v>23</v>
      </c>
    </row>
    <row r="10" spans="1:18" x14ac:dyDescent="0.45">
      <c r="A10" t="s">
        <v>135</v>
      </c>
      <c r="B10" t="s">
        <v>48</v>
      </c>
      <c r="C10" t="s">
        <v>136</v>
      </c>
      <c r="D10" t="s">
        <v>137</v>
      </c>
      <c r="E10" t="s">
        <v>138</v>
      </c>
      <c r="F10">
        <v>0</v>
      </c>
      <c r="G10">
        <v>3</v>
      </c>
      <c r="H10">
        <v>5500</v>
      </c>
      <c r="I10" s="2">
        <v>5500</v>
      </c>
      <c r="J10" t="s">
        <v>20</v>
      </c>
      <c r="K10" t="s">
        <v>21</v>
      </c>
      <c r="L10" t="s">
        <v>22</v>
      </c>
      <c r="Q10" s="2">
        <f>INDEX(Sheet1!A:B,MATCH(D10,Sheet1!A:A,0),2)</f>
        <v>0</v>
      </c>
      <c r="R10" t="s">
        <v>23</v>
      </c>
    </row>
    <row r="11" spans="1:18" x14ac:dyDescent="0.45">
      <c r="A11" t="s">
        <v>169</v>
      </c>
      <c r="B11" t="s">
        <v>48</v>
      </c>
      <c r="C11" t="s">
        <v>170</v>
      </c>
      <c r="D11" t="s">
        <v>171</v>
      </c>
      <c r="E11" t="s">
        <v>172</v>
      </c>
      <c r="G11">
        <v>0</v>
      </c>
      <c r="H11">
        <v>5000</v>
      </c>
      <c r="I11" s="2">
        <v>5000</v>
      </c>
      <c r="J11" t="s">
        <v>20</v>
      </c>
      <c r="K11" t="s">
        <v>21</v>
      </c>
      <c r="L11" t="s">
        <v>22</v>
      </c>
      <c r="Q11" s="2" t="e">
        <f>INDEX(Sheet1!A:B,MATCH(D11,Sheet1!A:A,0),2)</f>
        <v>#N/A</v>
      </c>
      <c r="R11" t="s">
        <v>23</v>
      </c>
    </row>
    <row r="12" spans="1:18" x14ac:dyDescent="0.45">
      <c r="A12" t="s">
        <v>227</v>
      </c>
      <c r="B12" t="s">
        <v>48</v>
      </c>
      <c r="C12" t="s">
        <v>228</v>
      </c>
      <c r="D12" t="s">
        <v>229</v>
      </c>
      <c r="E12" t="s">
        <v>230</v>
      </c>
      <c r="G12">
        <v>0</v>
      </c>
      <c r="H12">
        <v>5000</v>
      </c>
      <c r="I12" s="2">
        <v>5000</v>
      </c>
      <c r="J12" t="s">
        <v>20</v>
      </c>
      <c r="K12" t="s">
        <v>21</v>
      </c>
      <c r="L12" t="s">
        <v>22</v>
      </c>
      <c r="Q12" s="2" t="e">
        <f>INDEX(Sheet1!A:B,MATCH(D12,Sheet1!A:A,0),2)</f>
        <v>#N/A</v>
      </c>
      <c r="R12" t="s">
        <v>23</v>
      </c>
    </row>
    <row r="13" spans="1:18" x14ac:dyDescent="0.45">
      <c r="A13" t="s">
        <v>186</v>
      </c>
      <c r="B13" t="s">
        <v>48</v>
      </c>
      <c r="C13" t="s">
        <v>187</v>
      </c>
      <c r="D13" t="s">
        <v>188</v>
      </c>
      <c r="E13" t="s">
        <v>189</v>
      </c>
      <c r="F13">
        <v>0.40000000596046398</v>
      </c>
      <c r="G13">
        <v>4</v>
      </c>
      <c r="H13">
        <v>5000</v>
      </c>
      <c r="I13" s="2">
        <v>5000</v>
      </c>
      <c r="J13" t="s">
        <v>20</v>
      </c>
      <c r="K13" t="s">
        <v>21</v>
      </c>
      <c r="L13" t="s">
        <v>22</v>
      </c>
      <c r="M13" t="s">
        <v>143</v>
      </c>
      <c r="N13" t="s">
        <v>190</v>
      </c>
      <c r="Q13" s="2" t="e">
        <f>INDEX(Sheet1!A:B,MATCH(D13,Sheet1!A:A,0),2)</f>
        <v>#N/A</v>
      </c>
      <c r="R13" t="s">
        <v>23</v>
      </c>
    </row>
    <row r="14" spans="1:18" x14ac:dyDescent="0.45">
      <c r="A14" t="s">
        <v>282</v>
      </c>
      <c r="B14" t="s">
        <v>48</v>
      </c>
      <c r="C14" t="s">
        <v>283</v>
      </c>
      <c r="D14" t="s">
        <v>284</v>
      </c>
      <c r="E14" t="s">
        <v>285</v>
      </c>
      <c r="G14">
        <v>0</v>
      </c>
      <c r="H14">
        <v>5000</v>
      </c>
      <c r="I14" s="2">
        <v>5000</v>
      </c>
      <c r="J14" t="s">
        <v>20</v>
      </c>
      <c r="K14" t="s">
        <v>21</v>
      </c>
      <c r="L14" t="s">
        <v>22</v>
      </c>
      <c r="Q14" s="2" t="e">
        <f>INDEX(Sheet1!A:B,MATCH(D14,Sheet1!A:A,0),2)</f>
        <v>#N/A</v>
      </c>
      <c r="R14" t="s">
        <v>23</v>
      </c>
    </row>
    <row r="15" spans="1:18" x14ac:dyDescent="0.45">
      <c r="A15" t="s">
        <v>96</v>
      </c>
      <c r="B15" t="s">
        <v>97</v>
      </c>
      <c r="C15" t="s">
        <v>98</v>
      </c>
      <c r="D15" t="s">
        <v>99</v>
      </c>
      <c r="E15" t="s">
        <v>100</v>
      </c>
      <c r="F15">
        <v>5.2599998474121001</v>
      </c>
      <c r="G15">
        <v>5</v>
      </c>
      <c r="H15">
        <v>7500</v>
      </c>
      <c r="I15" s="2">
        <v>7500</v>
      </c>
      <c r="J15" t="s">
        <v>20</v>
      </c>
      <c r="K15" t="s">
        <v>21</v>
      </c>
      <c r="L15" t="s">
        <v>22</v>
      </c>
      <c r="Q15" s="2">
        <f>INDEX(Sheet1!A:B,MATCH(D15,Sheet1!A:A,0),2)</f>
        <v>26.3</v>
      </c>
      <c r="R15" t="s">
        <v>23</v>
      </c>
    </row>
    <row r="16" spans="1:18" x14ac:dyDescent="0.45">
      <c r="A16" t="s">
        <v>105</v>
      </c>
      <c r="B16" t="s">
        <v>97</v>
      </c>
      <c r="C16" t="s">
        <v>106</v>
      </c>
      <c r="D16" t="s">
        <v>107</v>
      </c>
      <c r="E16" t="s">
        <v>108</v>
      </c>
      <c r="F16">
        <v>4.0500001907348597</v>
      </c>
      <c r="G16">
        <v>4</v>
      </c>
      <c r="H16">
        <v>7000</v>
      </c>
      <c r="I16" s="2">
        <v>7000</v>
      </c>
      <c r="J16" t="s">
        <v>20</v>
      </c>
      <c r="K16" t="s">
        <v>21</v>
      </c>
      <c r="L16" t="s">
        <v>22</v>
      </c>
      <c r="O16">
        <v>1</v>
      </c>
      <c r="P16">
        <v>2</v>
      </c>
      <c r="Q16" s="2">
        <f>INDEX(Sheet1!A:B,MATCH(D16,Sheet1!A:A,0),2)</f>
        <v>16.2</v>
      </c>
      <c r="R16" t="s">
        <v>23</v>
      </c>
    </row>
    <row r="17" spans="1:18" x14ac:dyDescent="0.45">
      <c r="A17" t="s">
        <v>116</v>
      </c>
      <c r="B17" t="s">
        <v>97</v>
      </c>
      <c r="C17" t="s">
        <v>117</v>
      </c>
      <c r="D17" t="s">
        <v>118</v>
      </c>
      <c r="E17" t="s">
        <v>119</v>
      </c>
      <c r="F17">
        <v>2.4000000953674299</v>
      </c>
      <c r="G17">
        <v>2</v>
      </c>
      <c r="H17">
        <v>6000</v>
      </c>
      <c r="I17" s="2">
        <v>6000</v>
      </c>
      <c r="J17" t="s">
        <v>20</v>
      </c>
      <c r="K17" t="s">
        <v>21</v>
      </c>
      <c r="L17" t="s">
        <v>22</v>
      </c>
      <c r="Q17" s="2">
        <f>INDEX(Sheet1!A:B,MATCH(D17,Sheet1!A:A,0),2)</f>
        <v>4.8</v>
      </c>
      <c r="R17" t="s">
        <v>23</v>
      </c>
    </row>
    <row r="18" spans="1:18" x14ac:dyDescent="0.45">
      <c r="A18" t="s">
        <v>157</v>
      </c>
      <c r="B18" t="s">
        <v>97</v>
      </c>
      <c r="C18" t="s">
        <v>158</v>
      </c>
      <c r="D18" t="s">
        <v>159</v>
      </c>
      <c r="E18" t="s">
        <v>160</v>
      </c>
      <c r="F18">
        <v>0</v>
      </c>
      <c r="G18">
        <v>2</v>
      </c>
      <c r="H18">
        <v>5000</v>
      </c>
      <c r="I18" s="2">
        <v>5000</v>
      </c>
      <c r="J18" t="s">
        <v>20</v>
      </c>
      <c r="K18" t="s">
        <v>21</v>
      </c>
      <c r="L18" t="s">
        <v>22</v>
      </c>
      <c r="Q18" s="2" t="e">
        <f>INDEX(Sheet1!A:B,MATCH(D18,Sheet1!A:A,0),2)</f>
        <v>#N/A</v>
      </c>
      <c r="R18" t="s">
        <v>23</v>
      </c>
    </row>
    <row r="19" spans="1:18" x14ac:dyDescent="0.45">
      <c r="A19" t="s">
        <v>231</v>
      </c>
      <c r="B19" t="s">
        <v>97</v>
      </c>
      <c r="C19" t="s">
        <v>232</v>
      </c>
      <c r="D19" t="s">
        <v>233</v>
      </c>
      <c r="E19" t="s">
        <v>234</v>
      </c>
      <c r="G19">
        <v>0</v>
      </c>
      <c r="H19">
        <v>5000</v>
      </c>
      <c r="I19" s="2">
        <v>5000</v>
      </c>
      <c r="J19" t="s">
        <v>20</v>
      </c>
      <c r="K19" t="s">
        <v>21</v>
      </c>
      <c r="L19" t="s">
        <v>22</v>
      </c>
      <c r="Q19" s="2" t="e">
        <f>INDEX(Sheet1!A:B,MATCH(D19,Sheet1!A:A,0),2)</f>
        <v>#N/A</v>
      </c>
      <c r="R19" t="s">
        <v>23</v>
      </c>
    </row>
    <row r="20" spans="1:18" x14ac:dyDescent="0.45">
      <c r="A20" t="s">
        <v>191</v>
      </c>
      <c r="B20" t="s">
        <v>97</v>
      </c>
      <c r="C20" t="s">
        <v>192</v>
      </c>
      <c r="D20" t="s">
        <v>193</v>
      </c>
      <c r="E20" t="s">
        <v>194</v>
      </c>
      <c r="F20">
        <v>0.80000001192092896</v>
      </c>
      <c r="G20">
        <v>1</v>
      </c>
      <c r="H20">
        <v>5000</v>
      </c>
      <c r="I20" s="2">
        <v>5000</v>
      </c>
      <c r="J20" t="s">
        <v>20</v>
      </c>
      <c r="K20" t="s">
        <v>21</v>
      </c>
      <c r="L20" t="s">
        <v>22</v>
      </c>
      <c r="Q20" s="2">
        <f>INDEX(Sheet1!A:B,MATCH(D20,Sheet1!A:A,0),2)</f>
        <v>0.8</v>
      </c>
      <c r="R20" t="s">
        <v>23</v>
      </c>
    </row>
    <row r="21" spans="1:18" x14ac:dyDescent="0.45">
      <c r="A21" t="s">
        <v>213</v>
      </c>
      <c r="B21" t="s">
        <v>97</v>
      </c>
      <c r="C21" t="s">
        <v>192</v>
      </c>
      <c r="D21" t="s">
        <v>214</v>
      </c>
      <c r="E21" t="s">
        <v>215</v>
      </c>
      <c r="G21">
        <v>0</v>
      </c>
      <c r="H21">
        <v>5000</v>
      </c>
      <c r="I21" s="2">
        <v>5000</v>
      </c>
      <c r="J21" t="s">
        <v>20</v>
      </c>
      <c r="K21" t="s">
        <v>21</v>
      </c>
      <c r="L21" t="s">
        <v>22</v>
      </c>
      <c r="Q21" s="2" t="e">
        <f>INDEX(Sheet1!A:B,MATCH(D21,Sheet1!A:A,0),2)</f>
        <v>#N/A</v>
      </c>
      <c r="R21" t="s">
        <v>23</v>
      </c>
    </row>
    <row r="22" spans="1:18" x14ac:dyDescent="0.45">
      <c r="A22" t="s">
        <v>112</v>
      </c>
      <c r="B22" t="s">
        <v>16</v>
      </c>
      <c r="C22" t="s">
        <v>113</v>
      </c>
      <c r="D22" t="s">
        <v>114</v>
      </c>
      <c r="E22" t="s">
        <v>115</v>
      </c>
      <c r="F22">
        <v>5.1999998092651296</v>
      </c>
      <c r="G22">
        <v>1</v>
      </c>
      <c r="H22">
        <v>6500</v>
      </c>
      <c r="I22" s="2">
        <v>6500</v>
      </c>
      <c r="J22" t="s">
        <v>20</v>
      </c>
      <c r="K22" t="s">
        <v>21</v>
      </c>
      <c r="L22" t="s">
        <v>22</v>
      </c>
      <c r="Q22" s="2">
        <f>INDEX(Sheet1!A:B,MATCH(D22,Sheet1!A:A,0),2)</f>
        <v>5.2</v>
      </c>
      <c r="R22" t="s">
        <v>23</v>
      </c>
    </row>
    <row r="23" spans="1:18" x14ac:dyDescent="0.45">
      <c r="A23" t="s">
        <v>120</v>
      </c>
      <c r="B23" t="s">
        <v>16</v>
      </c>
      <c r="C23" t="s">
        <v>121</v>
      </c>
      <c r="D23" t="s">
        <v>122</v>
      </c>
      <c r="E23" t="s">
        <v>123</v>
      </c>
      <c r="F23">
        <v>1.04999995231628</v>
      </c>
      <c r="G23">
        <v>2</v>
      </c>
      <c r="H23">
        <v>6000</v>
      </c>
      <c r="I23" s="2">
        <v>6000</v>
      </c>
      <c r="J23" t="s">
        <v>20</v>
      </c>
      <c r="K23" t="s">
        <v>21</v>
      </c>
      <c r="L23" t="s">
        <v>22</v>
      </c>
      <c r="Q23" s="2">
        <f>INDEX(Sheet1!A:B,MATCH(D23,Sheet1!A:A,0),2)</f>
        <v>2.1</v>
      </c>
      <c r="R23" t="s">
        <v>23</v>
      </c>
    </row>
    <row r="24" spans="1:18" x14ac:dyDescent="0.45">
      <c r="A24" t="s">
        <v>124</v>
      </c>
      <c r="B24" t="s">
        <v>16</v>
      </c>
      <c r="C24" t="s">
        <v>125</v>
      </c>
      <c r="D24" t="s">
        <v>126</v>
      </c>
      <c r="E24" t="s">
        <v>38</v>
      </c>
      <c r="F24">
        <v>-0.25</v>
      </c>
      <c r="G24">
        <v>4</v>
      </c>
      <c r="H24">
        <v>5500</v>
      </c>
      <c r="I24" s="2">
        <v>5500</v>
      </c>
      <c r="J24" t="s">
        <v>20</v>
      </c>
      <c r="K24" t="s">
        <v>21</v>
      </c>
      <c r="L24" t="s">
        <v>22</v>
      </c>
      <c r="Q24" s="2">
        <f>INDEX(Sheet1!A:B,MATCH(D24,Sheet1!A:A,0),2)</f>
        <v>-1</v>
      </c>
      <c r="R24" t="s">
        <v>23</v>
      </c>
    </row>
    <row r="25" spans="1:18" x14ac:dyDescent="0.45">
      <c r="A25" t="s">
        <v>223</v>
      </c>
      <c r="B25" t="s">
        <v>16</v>
      </c>
      <c r="C25" t="s">
        <v>224</v>
      </c>
      <c r="D25" t="s">
        <v>225</v>
      </c>
      <c r="E25" t="s">
        <v>226</v>
      </c>
      <c r="G25">
        <v>0</v>
      </c>
      <c r="H25">
        <v>5000</v>
      </c>
      <c r="I25" s="2">
        <v>5000</v>
      </c>
      <c r="J25" t="s">
        <v>20</v>
      </c>
      <c r="K25" t="s">
        <v>21</v>
      </c>
      <c r="L25" t="s">
        <v>22</v>
      </c>
      <c r="Q25" s="2" t="e">
        <f>INDEX(Sheet1!A:B,MATCH(D25,Sheet1!A:A,0),2)</f>
        <v>#N/A</v>
      </c>
      <c r="R25" t="s">
        <v>23</v>
      </c>
    </row>
    <row r="26" spans="1:18" x14ac:dyDescent="0.45">
      <c r="A26" t="s">
        <v>195</v>
      </c>
      <c r="B26" t="s">
        <v>16</v>
      </c>
      <c r="C26" t="s">
        <v>196</v>
      </c>
      <c r="D26" t="s">
        <v>197</v>
      </c>
      <c r="E26" t="s">
        <v>198</v>
      </c>
      <c r="G26">
        <v>0</v>
      </c>
      <c r="H26">
        <v>5000</v>
      </c>
      <c r="I26" s="2">
        <v>5000</v>
      </c>
      <c r="J26" t="s">
        <v>20</v>
      </c>
      <c r="K26" t="s">
        <v>21</v>
      </c>
      <c r="L26" t="s">
        <v>22</v>
      </c>
      <c r="Q26" s="2" t="e">
        <f>INDEX(Sheet1!A:B,MATCH(D26,Sheet1!A:A,0),2)</f>
        <v>#N/A</v>
      </c>
      <c r="R26" t="s">
        <v>23</v>
      </c>
    </row>
    <row r="27" spans="1:18" x14ac:dyDescent="0.45">
      <c r="A27" t="s">
        <v>270</v>
      </c>
      <c r="B27" t="s">
        <v>16</v>
      </c>
      <c r="C27" t="s">
        <v>271</v>
      </c>
      <c r="D27" t="s">
        <v>272</v>
      </c>
      <c r="E27" t="s">
        <v>258</v>
      </c>
      <c r="F27">
        <v>0</v>
      </c>
      <c r="G27">
        <v>2</v>
      </c>
      <c r="H27">
        <v>5000</v>
      </c>
      <c r="I27" s="2">
        <v>5000</v>
      </c>
      <c r="J27" t="s">
        <v>20</v>
      </c>
      <c r="K27" t="s">
        <v>21</v>
      </c>
      <c r="L27" t="s">
        <v>22</v>
      </c>
      <c r="Q27" s="2" t="e">
        <f>INDEX(Sheet1!A:B,MATCH(D27,Sheet1!A:A,0),2)</f>
        <v>#N/A</v>
      </c>
      <c r="R27" t="s">
        <v>23</v>
      </c>
    </row>
    <row r="28" spans="1:18" x14ac:dyDescent="0.45">
      <c r="A28" t="s">
        <v>251</v>
      </c>
      <c r="B28" t="s">
        <v>16</v>
      </c>
      <c r="C28" t="s">
        <v>252</v>
      </c>
      <c r="D28" t="s">
        <v>253</v>
      </c>
      <c r="E28" t="s">
        <v>254</v>
      </c>
      <c r="F28">
        <v>0.69999998807907104</v>
      </c>
      <c r="G28">
        <v>1</v>
      </c>
      <c r="H28">
        <v>5000</v>
      </c>
      <c r="I28" s="2">
        <v>5000</v>
      </c>
      <c r="J28" t="s">
        <v>20</v>
      </c>
      <c r="K28" t="s">
        <v>21</v>
      </c>
      <c r="L28" t="s">
        <v>22</v>
      </c>
      <c r="Q28" s="2" t="e">
        <f>INDEX(Sheet1!A:B,MATCH(D28,Sheet1!A:A,0),2)</f>
        <v>#N/A</v>
      </c>
      <c r="R28" t="s">
        <v>23</v>
      </c>
    </row>
    <row r="29" spans="1:18" x14ac:dyDescent="0.45">
      <c r="A29" t="s">
        <v>235</v>
      </c>
      <c r="B29" t="s">
        <v>16</v>
      </c>
      <c r="C29" t="s">
        <v>236</v>
      </c>
      <c r="D29" t="s">
        <v>237</v>
      </c>
      <c r="E29" t="s">
        <v>238</v>
      </c>
      <c r="G29">
        <v>0</v>
      </c>
      <c r="H29">
        <v>5000</v>
      </c>
      <c r="I29" s="2">
        <v>5000</v>
      </c>
      <c r="J29" t="s">
        <v>20</v>
      </c>
      <c r="K29" t="s">
        <v>21</v>
      </c>
      <c r="L29" t="s">
        <v>22</v>
      </c>
      <c r="Q29" s="2" t="e">
        <f>INDEX(Sheet1!A:B,MATCH(D29,Sheet1!A:A,0),2)</f>
        <v>#N/A</v>
      </c>
      <c r="R29" t="s">
        <v>23</v>
      </c>
    </row>
    <row r="30" spans="1:18" x14ac:dyDescent="0.45">
      <c r="A30" t="s">
        <v>289</v>
      </c>
      <c r="B30" t="s">
        <v>16</v>
      </c>
      <c r="C30" t="s">
        <v>290</v>
      </c>
      <c r="D30" t="s">
        <v>291</v>
      </c>
      <c r="E30" t="s">
        <v>292</v>
      </c>
      <c r="G30">
        <v>0</v>
      </c>
      <c r="H30">
        <v>5000</v>
      </c>
      <c r="I30" s="2">
        <v>5000</v>
      </c>
      <c r="J30" t="s">
        <v>20</v>
      </c>
      <c r="K30" t="s">
        <v>21</v>
      </c>
      <c r="L30" t="s">
        <v>22</v>
      </c>
      <c r="Q30" s="2" t="e">
        <f>INDEX(Sheet1!A:B,MATCH(D30,Sheet1!A:A,0),2)</f>
        <v>#N/A</v>
      </c>
      <c r="R30" t="s">
        <v>23</v>
      </c>
    </row>
    <row r="31" spans="1:18" x14ac:dyDescent="0.45">
      <c r="A31" t="s">
        <v>15</v>
      </c>
      <c r="B31" t="s">
        <v>295</v>
      </c>
      <c r="C31" t="s">
        <v>17</v>
      </c>
      <c r="D31" t="s">
        <v>18</v>
      </c>
      <c r="E31" t="s">
        <v>19</v>
      </c>
      <c r="F31">
        <v>19.9600006103515</v>
      </c>
      <c r="G31">
        <v>5</v>
      </c>
      <c r="H31">
        <v>17000</v>
      </c>
      <c r="I31" s="2">
        <v>17000</v>
      </c>
      <c r="J31" t="s">
        <v>20</v>
      </c>
      <c r="K31" t="s">
        <v>21</v>
      </c>
      <c r="L31" t="s">
        <v>22</v>
      </c>
      <c r="O31">
        <v>1</v>
      </c>
      <c r="P31">
        <v>9.6999999999999993</v>
      </c>
      <c r="Q31" s="2">
        <f>INDEX(Sheet1!A:B,MATCH(D31,Sheet1!A:A,0),2)</f>
        <v>93.8</v>
      </c>
      <c r="R31" t="s">
        <v>23</v>
      </c>
    </row>
    <row r="32" spans="1:18" x14ac:dyDescent="0.45">
      <c r="A32" t="s">
        <v>39</v>
      </c>
      <c r="B32" t="s">
        <v>296</v>
      </c>
      <c r="C32" t="s">
        <v>40</v>
      </c>
      <c r="D32" t="s">
        <v>41</v>
      </c>
      <c r="E32" t="s">
        <v>42</v>
      </c>
      <c r="F32">
        <v>13.066666920979801</v>
      </c>
      <c r="G32">
        <v>3</v>
      </c>
      <c r="H32">
        <v>13000</v>
      </c>
      <c r="I32" s="2">
        <v>13000</v>
      </c>
      <c r="J32" t="s">
        <v>20</v>
      </c>
      <c r="K32" t="s">
        <v>21</v>
      </c>
      <c r="L32" t="s">
        <v>22</v>
      </c>
      <c r="O32">
        <v>1</v>
      </c>
      <c r="P32">
        <v>11.2</v>
      </c>
      <c r="Q32" s="2">
        <f>INDEX(Sheet1!A:B,MATCH(D32,Sheet1!A:A,0),2)</f>
        <v>39.200000000000003</v>
      </c>
      <c r="R32" t="s">
        <v>23</v>
      </c>
    </row>
    <row r="33" spans="1:18" x14ac:dyDescent="0.45">
      <c r="A33" t="s">
        <v>79</v>
      </c>
      <c r="B33" t="s">
        <v>297</v>
      </c>
      <c r="C33" t="s">
        <v>80</v>
      </c>
      <c r="D33" t="s">
        <v>81</v>
      </c>
      <c r="E33" t="s">
        <v>82</v>
      </c>
      <c r="F33">
        <v>7.8599998474120998</v>
      </c>
      <c r="G33">
        <v>5</v>
      </c>
      <c r="H33">
        <v>8500</v>
      </c>
      <c r="I33" s="2">
        <v>8500</v>
      </c>
      <c r="J33" t="s">
        <v>20</v>
      </c>
      <c r="K33" t="s">
        <v>21</v>
      </c>
      <c r="L33" t="s">
        <v>22</v>
      </c>
      <c r="O33">
        <v>1</v>
      </c>
      <c r="P33">
        <v>4.5999999999999996</v>
      </c>
      <c r="Q33" s="2">
        <f>INDEX(Sheet1!A:B,MATCH(D33,Sheet1!A:A,0),2)</f>
        <v>39.299999999999997</v>
      </c>
      <c r="R33" t="s">
        <v>23</v>
      </c>
    </row>
    <row r="34" spans="1:18" x14ac:dyDescent="0.45">
      <c r="A34" t="s">
        <v>88</v>
      </c>
      <c r="B34" t="s">
        <v>84</v>
      </c>
      <c r="C34" t="s">
        <v>89</v>
      </c>
      <c r="D34" t="s">
        <v>90</v>
      </c>
      <c r="E34" t="s">
        <v>91</v>
      </c>
      <c r="F34">
        <v>8.6</v>
      </c>
      <c r="G34">
        <v>5</v>
      </c>
      <c r="H34">
        <v>8000</v>
      </c>
      <c r="I34" s="2">
        <v>8000</v>
      </c>
      <c r="J34" t="s">
        <v>20</v>
      </c>
      <c r="K34" t="s">
        <v>22</v>
      </c>
      <c r="L34" t="s">
        <v>21</v>
      </c>
      <c r="O34">
        <v>1</v>
      </c>
      <c r="P34">
        <v>7</v>
      </c>
      <c r="Q34" s="2">
        <f>INDEX(Sheet1!A:B,MATCH(D34,Sheet1!A:A,0),2)</f>
        <v>43</v>
      </c>
      <c r="R34" t="s">
        <v>23</v>
      </c>
    </row>
    <row r="35" spans="1:18" x14ac:dyDescent="0.45">
      <c r="A35" t="s">
        <v>71</v>
      </c>
      <c r="B35" t="s">
        <v>67</v>
      </c>
      <c r="C35" t="s">
        <v>72</v>
      </c>
      <c r="D35" t="s">
        <v>73</v>
      </c>
      <c r="E35" t="s">
        <v>74</v>
      </c>
      <c r="F35">
        <v>11</v>
      </c>
      <c r="G35">
        <v>3</v>
      </c>
      <c r="H35">
        <v>9000</v>
      </c>
      <c r="I35" s="2">
        <v>9000</v>
      </c>
      <c r="J35" t="s">
        <v>20</v>
      </c>
      <c r="K35" t="s">
        <v>22</v>
      </c>
      <c r="L35" t="s">
        <v>21</v>
      </c>
      <c r="P35">
        <v>1</v>
      </c>
      <c r="Q35" s="2">
        <f>INDEX(Sheet1!A:B,MATCH(D35,Sheet1!A:A,0),2)</f>
        <v>33</v>
      </c>
      <c r="R35" t="s">
        <v>23</v>
      </c>
    </row>
    <row r="36" spans="1:18" x14ac:dyDescent="0.45">
      <c r="A36" t="s">
        <v>273</v>
      </c>
      <c r="B36" t="s">
        <v>67</v>
      </c>
      <c r="C36" t="s">
        <v>274</v>
      </c>
      <c r="D36" t="s">
        <v>275</v>
      </c>
      <c r="E36" t="s">
        <v>276</v>
      </c>
      <c r="F36">
        <v>8</v>
      </c>
      <c r="G36">
        <v>1</v>
      </c>
      <c r="H36">
        <v>5000</v>
      </c>
      <c r="I36" s="2">
        <v>5000</v>
      </c>
      <c r="J36" t="s">
        <v>20</v>
      </c>
      <c r="K36" t="s">
        <v>22</v>
      </c>
      <c r="L36" t="s">
        <v>21</v>
      </c>
      <c r="M36" t="s">
        <v>143</v>
      </c>
      <c r="N36" t="s">
        <v>277</v>
      </c>
      <c r="Q36" s="2">
        <f>INDEX(Sheet1!A:B,MATCH(D36,Sheet1!A:A,0),2)</f>
        <v>8</v>
      </c>
      <c r="R36" t="s">
        <v>23</v>
      </c>
    </row>
    <row r="37" spans="1:18" x14ac:dyDescent="0.45">
      <c r="A37" t="s">
        <v>266</v>
      </c>
      <c r="B37" t="s">
        <v>67</v>
      </c>
      <c r="C37" t="s">
        <v>267</v>
      </c>
      <c r="D37" t="s">
        <v>268</v>
      </c>
      <c r="E37" t="s">
        <v>269</v>
      </c>
      <c r="G37">
        <v>0</v>
      </c>
      <c r="H37">
        <v>5000</v>
      </c>
      <c r="I37" s="2">
        <v>5000</v>
      </c>
      <c r="J37" t="s">
        <v>20</v>
      </c>
      <c r="K37" t="s">
        <v>22</v>
      </c>
      <c r="L37" t="s">
        <v>21</v>
      </c>
      <c r="Q37" s="2" t="e">
        <f>INDEX(Sheet1!A:B,MATCH(D37,Sheet1!A:A,0),2)</f>
        <v>#N/A</v>
      </c>
      <c r="R37" t="s">
        <v>23</v>
      </c>
    </row>
    <row r="38" spans="1:18" x14ac:dyDescent="0.45">
      <c r="A38" t="s">
        <v>35</v>
      </c>
      <c r="B38" t="s">
        <v>25</v>
      </c>
      <c r="C38" t="s">
        <v>36</v>
      </c>
      <c r="D38" t="s">
        <v>37</v>
      </c>
      <c r="E38" t="s">
        <v>38</v>
      </c>
      <c r="F38">
        <v>15.4639999389648</v>
      </c>
      <c r="G38">
        <v>5</v>
      </c>
      <c r="H38">
        <v>14000</v>
      </c>
      <c r="I38" s="2">
        <v>14000</v>
      </c>
      <c r="J38" t="s">
        <v>20</v>
      </c>
      <c r="K38" t="s">
        <v>22</v>
      </c>
      <c r="L38" t="s">
        <v>21</v>
      </c>
      <c r="O38">
        <v>1</v>
      </c>
      <c r="P38">
        <v>12.8</v>
      </c>
      <c r="Q38" s="2">
        <f>INDEX(Sheet1!A:B,MATCH(D38,Sheet1!A:A,0),2)</f>
        <v>77.3</v>
      </c>
      <c r="R38" t="s">
        <v>23</v>
      </c>
    </row>
    <row r="39" spans="1:18" x14ac:dyDescent="0.45">
      <c r="A39" t="s">
        <v>161</v>
      </c>
      <c r="B39" t="s">
        <v>25</v>
      </c>
      <c r="C39" t="s">
        <v>162</v>
      </c>
      <c r="D39" t="s">
        <v>163</v>
      </c>
      <c r="E39" t="s">
        <v>164</v>
      </c>
      <c r="F39">
        <v>10.726666768391899</v>
      </c>
      <c r="G39">
        <v>9</v>
      </c>
      <c r="H39">
        <v>5000</v>
      </c>
      <c r="I39" s="2">
        <v>5000</v>
      </c>
      <c r="J39" t="s">
        <v>20</v>
      </c>
      <c r="K39" t="s">
        <v>22</v>
      </c>
      <c r="L39" t="s">
        <v>21</v>
      </c>
      <c r="Q39" s="2" t="e">
        <f>INDEX(Sheet1!A:B,MATCH(D39,Sheet1!A:A,0),2)</f>
        <v>#N/A</v>
      </c>
      <c r="R39" t="s">
        <v>23</v>
      </c>
    </row>
    <row r="40" spans="1:18" x14ac:dyDescent="0.45">
      <c r="A40" t="s">
        <v>199</v>
      </c>
      <c r="B40" t="s">
        <v>25</v>
      </c>
      <c r="C40" t="s">
        <v>117</v>
      </c>
      <c r="D40" t="s">
        <v>200</v>
      </c>
      <c r="E40" t="s">
        <v>201</v>
      </c>
      <c r="F40">
        <v>5.3533331553141199</v>
      </c>
      <c r="G40">
        <v>6</v>
      </c>
      <c r="H40">
        <v>5000</v>
      </c>
      <c r="I40" s="2">
        <v>5000</v>
      </c>
      <c r="J40" t="s">
        <v>20</v>
      </c>
      <c r="K40" t="s">
        <v>22</v>
      </c>
      <c r="L40" t="s">
        <v>21</v>
      </c>
      <c r="Q40" s="2" t="e">
        <f>INDEX(Sheet1!A:B,MATCH(D40,Sheet1!A:A,0),2)</f>
        <v>#N/A</v>
      </c>
      <c r="R40" t="s">
        <v>23</v>
      </c>
    </row>
    <row r="41" spans="1:18" x14ac:dyDescent="0.45">
      <c r="A41" t="s">
        <v>61</v>
      </c>
      <c r="B41" t="s">
        <v>48</v>
      </c>
      <c r="C41" t="s">
        <v>62</v>
      </c>
      <c r="D41" t="s">
        <v>63</v>
      </c>
      <c r="E41" t="s">
        <v>64</v>
      </c>
      <c r="F41">
        <v>10.574999809265099</v>
      </c>
      <c r="G41">
        <v>4</v>
      </c>
      <c r="H41">
        <v>9500</v>
      </c>
      <c r="I41" s="2">
        <v>9500</v>
      </c>
      <c r="J41" t="s">
        <v>20</v>
      </c>
      <c r="K41" t="s">
        <v>22</v>
      </c>
      <c r="L41" t="s">
        <v>21</v>
      </c>
      <c r="M41" t="s">
        <v>33</v>
      </c>
      <c r="N41" t="s">
        <v>65</v>
      </c>
      <c r="Q41" s="2">
        <f>INDEX(Sheet1!A:B,MATCH(D41,Sheet1!A:A,0),2)</f>
        <v>42.3</v>
      </c>
      <c r="R41" t="s">
        <v>23</v>
      </c>
    </row>
    <row r="42" spans="1:18" x14ac:dyDescent="0.45">
      <c r="A42" t="s">
        <v>152</v>
      </c>
      <c r="B42" t="s">
        <v>48</v>
      </c>
      <c r="C42" t="s">
        <v>153</v>
      </c>
      <c r="D42" t="s">
        <v>154</v>
      </c>
      <c r="E42" t="s">
        <v>155</v>
      </c>
      <c r="F42">
        <v>1.3999999761581401</v>
      </c>
      <c r="G42">
        <v>2</v>
      </c>
      <c r="H42">
        <v>5000</v>
      </c>
      <c r="I42" s="2">
        <v>5000</v>
      </c>
      <c r="J42" t="s">
        <v>20</v>
      </c>
      <c r="K42" t="s">
        <v>22</v>
      </c>
      <c r="L42" t="s">
        <v>21</v>
      </c>
      <c r="M42" t="s">
        <v>51</v>
      </c>
      <c r="N42" t="s">
        <v>156</v>
      </c>
      <c r="Q42" s="2" t="e">
        <f>INDEX(Sheet1!A:B,MATCH(D42,Sheet1!A:A,0),2)</f>
        <v>#N/A</v>
      </c>
      <c r="R42" t="s">
        <v>23</v>
      </c>
    </row>
    <row r="43" spans="1:18" x14ac:dyDescent="0.45">
      <c r="A43" t="s">
        <v>202</v>
      </c>
      <c r="B43" t="s">
        <v>48</v>
      </c>
      <c r="C43" t="s">
        <v>203</v>
      </c>
      <c r="D43" t="s">
        <v>204</v>
      </c>
      <c r="E43" t="s">
        <v>104</v>
      </c>
      <c r="F43">
        <v>0.56666668256123798</v>
      </c>
      <c r="G43">
        <v>3</v>
      </c>
      <c r="H43">
        <v>5000</v>
      </c>
      <c r="I43" s="2">
        <v>5000</v>
      </c>
      <c r="J43" t="s">
        <v>20</v>
      </c>
      <c r="K43" t="s">
        <v>22</v>
      </c>
      <c r="L43" t="s">
        <v>21</v>
      </c>
      <c r="Q43" s="2">
        <f>INDEX(Sheet1!A:B,MATCH(D43,Sheet1!A:A,0),2)</f>
        <v>0</v>
      </c>
      <c r="R43" t="s">
        <v>23</v>
      </c>
    </row>
    <row r="44" spans="1:18" x14ac:dyDescent="0.45">
      <c r="A44" t="s">
        <v>239</v>
      </c>
      <c r="B44" t="s">
        <v>48</v>
      </c>
      <c r="C44" t="s">
        <v>240</v>
      </c>
      <c r="D44" t="s">
        <v>241</v>
      </c>
      <c r="E44" t="s">
        <v>242</v>
      </c>
      <c r="F44">
        <v>3.3941176919376099</v>
      </c>
      <c r="G44">
        <v>17</v>
      </c>
      <c r="H44">
        <v>5000</v>
      </c>
      <c r="I44" s="2">
        <v>5000</v>
      </c>
      <c r="J44" t="s">
        <v>20</v>
      </c>
      <c r="K44" t="s">
        <v>22</v>
      </c>
      <c r="L44" t="s">
        <v>21</v>
      </c>
      <c r="Q44" s="2" t="e">
        <f>INDEX(Sheet1!A:B,MATCH(D44,Sheet1!A:A,0),2)</f>
        <v>#N/A</v>
      </c>
      <c r="R44" t="s">
        <v>23</v>
      </c>
    </row>
    <row r="45" spans="1:18" x14ac:dyDescent="0.45">
      <c r="A45" t="s">
        <v>178</v>
      </c>
      <c r="B45" t="s">
        <v>48</v>
      </c>
      <c r="C45" t="s">
        <v>179</v>
      </c>
      <c r="D45" t="s">
        <v>180</v>
      </c>
      <c r="E45" t="s">
        <v>181</v>
      </c>
      <c r="G45">
        <v>0</v>
      </c>
      <c r="H45">
        <v>5000</v>
      </c>
      <c r="I45" s="2">
        <v>5000</v>
      </c>
      <c r="J45" t="s">
        <v>20</v>
      </c>
      <c r="K45" t="s">
        <v>22</v>
      </c>
      <c r="L45" t="s">
        <v>21</v>
      </c>
      <c r="Q45" s="2" t="e">
        <f>INDEX(Sheet1!A:B,MATCH(D45,Sheet1!A:A,0),2)</f>
        <v>#N/A</v>
      </c>
      <c r="R45" t="s">
        <v>23</v>
      </c>
    </row>
    <row r="46" spans="1:18" x14ac:dyDescent="0.45">
      <c r="A46" t="s">
        <v>205</v>
      </c>
      <c r="B46" t="s">
        <v>48</v>
      </c>
      <c r="C46" t="s">
        <v>206</v>
      </c>
      <c r="D46" t="s">
        <v>207</v>
      </c>
      <c r="E46" t="s">
        <v>208</v>
      </c>
      <c r="G46">
        <v>0</v>
      </c>
      <c r="H46">
        <v>5000</v>
      </c>
      <c r="I46" s="2">
        <v>5000</v>
      </c>
      <c r="J46" t="s">
        <v>20</v>
      </c>
      <c r="K46" t="s">
        <v>22</v>
      </c>
      <c r="L46" t="s">
        <v>21</v>
      </c>
      <c r="Q46" s="2">
        <f>INDEX(Sheet1!A:B,MATCH(D46,Sheet1!A:A,0),2)</f>
        <v>0</v>
      </c>
      <c r="R46" t="s">
        <v>23</v>
      </c>
    </row>
    <row r="47" spans="1:18" x14ac:dyDescent="0.45">
      <c r="A47" t="s">
        <v>57</v>
      </c>
      <c r="B47" t="s">
        <v>299</v>
      </c>
      <c r="C47" t="s">
        <v>58</v>
      </c>
      <c r="D47" t="s">
        <v>59</v>
      </c>
      <c r="E47" t="s">
        <v>60</v>
      </c>
      <c r="F47">
        <v>5.0999999999999996</v>
      </c>
      <c r="G47">
        <v>5</v>
      </c>
      <c r="H47">
        <v>9500</v>
      </c>
      <c r="I47" s="2">
        <v>9500</v>
      </c>
      <c r="J47" t="s">
        <v>20</v>
      </c>
      <c r="K47" t="s">
        <v>22</v>
      </c>
      <c r="L47" t="s">
        <v>21</v>
      </c>
      <c r="O47">
        <v>1</v>
      </c>
      <c r="P47">
        <v>19.7</v>
      </c>
      <c r="Q47" s="2">
        <f>INDEX(Sheet1!A:B,MATCH(D47,Sheet1!A:A,0),2)</f>
        <v>22.5</v>
      </c>
      <c r="R47" t="s">
        <v>23</v>
      </c>
    </row>
    <row r="48" spans="1:18" x14ac:dyDescent="0.45">
      <c r="A48" t="s">
        <v>92</v>
      </c>
      <c r="B48" t="s">
        <v>298</v>
      </c>
      <c r="C48" t="s">
        <v>93</v>
      </c>
      <c r="D48" t="s">
        <v>94</v>
      </c>
      <c r="E48" t="s">
        <v>95</v>
      </c>
      <c r="F48">
        <v>1</v>
      </c>
      <c r="G48">
        <v>5</v>
      </c>
      <c r="H48">
        <v>7500</v>
      </c>
      <c r="I48" s="2">
        <v>7500</v>
      </c>
      <c r="J48" t="s">
        <v>20</v>
      </c>
      <c r="K48" t="s">
        <v>22</v>
      </c>
      <c r="L48" t="s">
        <v>21</v>
      </c>
      <c r="O48">
        <v>1</v>
      </c>
      <c r="P48">
        <v>1.3</v>
      </c>
      <c r="Q48" s="2">
        <f>INDEX(Sheet1!A:B,MATCH(D48,Sheet1!A:A,0),2)</f>
        <v>5</v>
      </c>
      <c r="R48" t="s">
        <v>23</v>
      </c>
    </row>
    <row r="49" spans="1:18" x14ac:dyDescent="0.45">
      <c r="A49" t="s">
        <v>101</v>
      </c>
      <c r="B49" t="s">
        <v>97</v>
      </c>
      <c r="C49" t="s">
        <v>102</v>
      </c>
      <c r="D49" t="s">
        <v>103</v>
      </c>
      <c r="E49" t="s">
        <v>104</v>
      </c>
      <c r="F49">
        <v>3.125</v>
      </c>
      <c r="G49">
        <v>4</v>
      </c>
      <c r="H49">
        <v>7000</v>
      </c>
      <c r="I49" s="2">
        <v>7000</v>
      </c>
      <c r="J49" t="s">
        <v>20</v>
      </c>
      <c r="K49" t="s">
        <v>22</v>
      </c>
      <c r="L49" t="s">
        <v>21</v>
      </c>
      <c r="O49">
        <v>1</v>
      </c>
      <c r="P49">
        <v>4.5</v>
      </c>
      <c r="Q49" s="2">
        <f>INDEX(Sheet1!A:B,MATCH(D49,Sheet1!A:A,0),2)</f>
        <v>12.5</v>
      </c>
      <c r="R49" t="s">
        <v>23</v>
      </c>
    </row>
    <row r="50" spans="1:18" x14ac:dyDescent="0.45">
      <c r="A50" t="s">
        <v>109</v>
      </c>
      <c r="B50" t="s">
        <v>97</v>
      </c>
      <c r="C50" t="s">
        <v>36</v>
      </c>
      <c r="D50" t="s">
        <v>110</v>
      </c>
      <c r="E50" t="s">
        <v>111</v>
      </c>
      <c r="F50">
        <v>1.5</v>
      </c>
      <c r="G50">
        <v>2</v>
      </c>
      <c r="H50">
        <v>6500</v>
      </c>
      <c r="I50" s="2">
        <v>6500</v>
      </c>
      <c r="J50" t="s">
        <v>20</v>
      </c>
      <c r="K50" t="s">
        <v>22</v>
      </c>
      <c r="L50" t="s">
        <v>21</v>
      </c>
      <c r="Q50" s="2">
        <f>INDEX(Sheet1!A:B,MATCH(D50,Sheet1!A:A,0),2)</f>
        <v>3</v>
      </c>
      <c r="R50" t="s">
        <v>23</v>
      </c>
    </row>
    <row r="51" spans="1:18" x14ac:dyDescent="0.45">
      <c r="A51" t="s">
        <v>165</v>
      </c>
      <c r="B51" t="s">
        <v>97</v>
      </c>
      <c r="C51" t="s">
        <v>166</v>
      </c>
      <c r="D51" t="s">
        <v>167</v>
      </c>
      <c r="E51" t="s">
        <v>168</v>
      </c>
      <c r="F51">
        <v>2.3200000762939399</v>
      </c>
      <c r="G51">
        <v>5</v>
      </c>
      <c r="H51">
        <v>5000</v>
      </c>
      <c r="I51" s="2">
        <v>5000</v>
      </c>
      <c r="J51" t="s">
        <v>20</v>
      </c>
      <c r="K51" t="s">
        <v>22</v>
      </c>
      <c r="L51" t="s">
        <v>21</v>
      </c>
      <c r="M51" t="s">
        <v>51</v>
      </c>
      <c r="N51" t="s">
        <v>156</v>
      </c>
      <c r="Q51" s="2" t="e">
        <f>INDEX(Sheet1!A:B,MATCH(D51,Sheet1!A:A,0),2)</f>
        <v>#N/A</v>
      </c>
      <c r="R51" t="s">
        <v>23</v>
      </c>
    </row>
    <row r="52" spans="1:18" x14ac:dyDescent="0.45">
      <c r="A52" t="s">
        <v>255</v>
      </c>
      <c r="B52" t="s">
        <v>97</v>
      </c>
      <c r="C52" t="s">
        <v>256</v>
      </c>
      <c r="D52" t="s">
        <v>257</v>
      </c>
      <c r="E52" t="s">
        <v>258</v>
      </c>
      <c r="G52">
        <v>0</v>
      </c>
      <c r="H52">
        <v>5000</v>
      </c>
      <c r="I52" s="2">
        <v>5000</v>
      </c>
      <c r="J52" t="s">
        <v>20</v>
      </c>
      <c r="K52" t="s">
        <v>22</v>
      </c>
      <c r="L52" t="s">
        <v>21</v>
      </c>
      <c r="M52" t="s">
        <v>51</v>
      </c>
      <c r="N52" t="s">
        <v>156</v>
      </c>
      <c r="Q52" s="2" t="e">
        <f>INDEX(Sheet1!A:B,MATCH(D52,Sheet1!A:A,0),2)</f>
        <v>#N/A</v>
      </c>
      <c r="R52" t="s">
        <v>23</v>
      </c>
    </row>
    <row r="53" spans="1:18" x14ac:dyDescent="0.45">
      <c r="A53" t="s">
        <v>220</v>
      </c>
      <c r="B53" t="s">
        <v>97</v>
      </c>
      <c r="C53" t="s">
        <v>187</v>
      </c>
      <c r="D53" t="s">
        <v>221</v>
      </c>
      <c r="E53" t="s">
        <v>222</v>
      </c>
      <c r="F53">
        <v>0</v>
      </c>
      <c r="G53">
        <v>1</v>
      </c>
      <c r="H53">
        <v>5000</v>
      </c>
      <c r="I53" s="2">
        <v>5000</v>
      </c>
      <c r="J53" t="s">
        <v>20</v>
      </c>
      <c r="K53" t="s">
        <v>22</v>
      </c>
      <c r="L53" t="s">
        <v>21</v>
      </c>
      <c r="Q53" s="2">
        <f>INDEX(Sheet1!A:B,MATCH(D53,Sheet1!A:A,0),2)</f>
        <v>0</v>
      </c>
      <c r="R53" t="s">
        <v>23</v>
      </c>
    </row>
    <row r="54" spans="1:18" x14ac:dyDescent="0.45">
      <c r="A54" t="s">
        <v>259</v>
      </c>
      <c r="B54" t="s">
        <v>97</v>
      </c>
      <c r="C54" t="s">
        <v>260</v>
      </c>
      <c r="D54" t="s">
        <v>261</v>
      </c>
      <c r="E54" t="s">
        <v>262</v>
      </c>
      <c r="G54">
        <v>0</v>
      </c>
      <c r="H54">
        <v>5000</v>
      </c>
      <c r="I54" s="2">
        <v>5000</v>
      </c>
      <c r="J54" t="s">
        <v>20</v>
      </c>
      <c r="K54" t="s">
        <v>22</v>
      </c>
      <c r="L54" t="s">
        <v>21</v>
      </c>
      <c r="Q54" s="2" t="e">
        <f>INDEX(Sheet1!A:B,MATCH(D54,Sheet1!A:A,0),2)</f>
        <v>#N/A</v>
      </c>
      <c r="R54" t="s">
        <v>23</v>
      </c>
    </row>
    <row r="55" spans="1:18" x14ac:dyDescent="0.45">
      <c r="A55" t="s">
        <v>29</v>
      </c>
      <c r="B55" t="s">
        <v>16</v>
      </c>
      <c r="C55" t="s">
        <v>30</v>
      </c>
      <c r="D55" t="s">
        <v>31</v>
      </c>
      <c r="E55" t="s">
        <v>32</v>
      </c>
      <c r="F55">
        <v>20.024999618530199</v>
      </c>
      <c r="G55">
        <v>4</v>
      </c>
      <c r="H55">
        <v>15500</v>
      </c>
      <c r="I55" s="2">
        <v>15500</v>
      </c>
      <c r="J55" t="s">
        <v>20</v>
      </c>
      <c r="K55" t="s">
        <v>22</v>
      </c>
      <c r="L55" t="s">
        <v>21</v>
      </c>
      <c r="M55" t="s">
        <v>33</v>
      </c>
      <c r="N55" t="s">
        <v>34</v>
      </c>
      <c r="Q55" s="2">
        <f>INDEX(Sheet1!A:B,MATCH(D55,Sheet1!A:A,0),2)</f>
        <v>74.099999999999994</v>
      </c>
      <c r="R55" t="s">
        <v>23</v>
      </c>
    </row>
    <row r="56" spans="1:18" x14ac:dyDescent="0.45">
      <c r="A56" t="s">
        <v>131</v>
      </c>
      <c r="B56" t="s">
        <v>16</v>
      </c>
      <c r="C56" t="s">
        <v>132</v>
      </c>
      <c r="D56" t="s">
        <v>133</v>
      </c>
      <c r="E56" t="s">
        <v>134</v>
      </c>
      <c r="F56">
        <v>0</v>
      </c>
      <c r="G56">
        <v>3</v>
      </c>
      <c r="H56">
        <v>5500</v>
      </c>
      <c r="I56" s="2">
        <v>5500</v>
      </c>
      <c r="J56" t="s">
        <v>20</v>
      </c>
      <c r="K56" t="s">
        <v>22</v>
      </c>
      <c r="L56" t="s">
        <v>21</v>
      </c>
      <c r="Q56" s="2">
        <f>INDEX(Sheet1!A:B,MATCH(D56,Sheet1!A:A,0),2)</f>
        <v>0</v>
      </c>
      <c r="R56" t="s">
        <v>23</v>
      </c>
    </row>
    <row r="57" spans="1:18" x14ac:dyDescent="0.45">
      <c r="A57" t="s">
        <v>278</v>
      </c>
      <c r="B57" t="s">
        <v>16</v>
      </c>
      <c r="C57" t="s">
        <v>279</v>
      </c>
      <c r="D57" t="s">
        <v>280</v>
      </c>
      <c r="E57" t="s">
        <v>281</v>
      </c>
      <c r="G57">
        <v>0</v>
      </c>
      <c r="H57">
        <v>5000</v>
      </c>
      <c r="I57" s="2">
        <v>5000</v>
      </c>
      <c r="J57" t="s">
        <v>20</v>
      </c>
      <c r="K57" t="s">
        <v>22</v>
      </c>
      <c r="L57" t="s">
        <v>21</v>
      </c>
      <c r="Q57" s="2" t="e">
        <f>INDEX(Sheet1!A:B,MATCH(D57,Sheet1!A:A,0),2)</f>
        <v>#N/A</v>
      </c>
      <c r="R57" t="s">
        <v>23</v>
      </c>
    </row>
    <row r="58" spans="1:18" x14ac:dyDescent="0.45">
      <c r="A58" t="s">
        <v>149</v>
      </c>
      <c r="B58" t="s">
        <v>16</v>
      </c>
      <c r="C58" t="s">
        <v>19</v>
      </c>
      <c r="D58" t="s">
        <v>150</v>
      </c>
      <c r="E58" t="s">
        <v>151</v>
      </c>
      <c r="G58">
        <v>0</v>
      </c>
      <c r="H58">
        <v>5000</v>
      </c>
      <c r="I58" s="2">
        <v>5000</v>
      </c>
      <c r="J58" t="s">
        <v>20</v>
      </c>
      <c r="K58" t="s">
        <v>22</v>
      </c>
      <c r="L58" t="s">
        <v>21</v>
      </c>
      <c r="Q58" s="2" t="e">
        <f>INDEX(Sheet1!A:B,MATCH(D58,Sheet1!A:A,0),2)</f>
        <v>#N/A</v>
      </c>
      <c r="R58" t="s">
        <v>23</v>
      </c>
    </row>
    <row r="59" spans="1:18" x14ac:dyDescent="0.45">
      <c r="A59" t="s">
        <v>173</v>
      </c>
      <c r="B59" t="s">
        <v>16</v>
      </c>
      <c r="C59" t="s">
        <v>174</v>
      </c>
      <c r="D59" t="s">
        <v>175</v>
      </c>
      <c r="E59" t="s">
        <v>176</v>
      </c>
      <c r="G59">
        <v>0</v>
      </c>
      <c r="H59">
        <v>5000</v>
      </c>
      <c r="I59" s="2">
        <v>5000</v>
      </c>
      <c r="J59" t="s">
        <v>20</v>
      </c>
      <c r="K59" t="s">
        <v>22</v>
      </c>
      <c r="L59" t="s">
        <v>21</v>
      </c>
      <c r="M59" t="s">
        <v>33</v>
      </c>
      <c r="N59" t="s">
        <v>177</v>
      </c>
      <c r="Q59" s="2">
        <f>INDEX(Sheet1!A:B,MATCH(D59,Sheet1!A:A,0),2)</f>
        <v>0</v>
      </c>
      <c r="R59" t="s">
        <v>23</v>
      </c>
    </row>
    <row r="60" spans="1:18" x14ac:dyDescent="0.45">
      <c r="A60" t="s">
        <v>243</v>
      </c>
      <c r="B60" t="s">
        <v>16</v>
      </c>
      <c r="C60" t="s">
        <v>244</v>
      </c>
      <c r="D60" t="s">
        <v>245</v>
      </c>
      <c r="E60" t="s">
        <v>246</v>
      </c>
      <c r="G60">
        <v>0</v>
      </c>
      <c r="H60">
        <v>5000</v>
      </c>
      <c r="I60" s="2">
        <v>5000</v>
      </c>
      <c r="J60" t="s">
        <v>20</v>
      </c>
      <c r="K60" t="s">
        <v>22</v>
      </c>
      <c r="L60" t="s">
        <v>21</v>
      </c>
      <c r="M60" t="s">
        <v>51</v>
      </c>
      <c r="N60" t="s">
        <v>156</v>
      </c>
      <c r="Q60" s="2" t="e">
        <f>INDEX(Sheet1!A:B,MATCH(D60,Sheet1!A:A,0),2)</f>
        <v>#N/A</v>
      </c>
      <c r="R60" t="s">
        <v>23</v>
      </c>
    </row>
    <row r="61" spans="1:18" x14ac:dyDescent="0.45">
      <c r="A61" t="s">
        <v>263</v>
      </c>
      <c r="B61" t="s">
        <v>16</v>
      </c>
      <c r="C61" t="s">
        <v>264</v>
      </c>
      <c r="D61" t="s">
        <v>265</v>
      </c>
      <c r="E61" t="s">
        <v>258</v>
      </c>
      <c r="F61">
        <v>0</v>
      </c>
      <c r="G61">
        <v>2</v>
      </c>
      <c r="H61">
        <v>5000</v>
      </c>
      <c r="I61" s="2">
        <v>5000</v>
      </c>
      <c r="J61" t="s">
        <v>20</v>
      </c>
      <c r="K61" t="s">
        <v>22</v>
      </c>
      <c r="L61" t="s">
        <v>21</v>
      </c>
      <c r="Q61" s="2" t="e">
        <f>INDEX(Sheet1!A:B,MATCH(D61,Sheet1!A:A,0),2)</f>
        <v>#N/A</v>
      </c>
      <c r="R61" t="s">
        <v>23</v>
      </c>
    </row>
    <row r="62" spans="1:18" x14ac:dyDescent="0.45">
      <c r="A62" t="s">
        <v>144</v>
      </c>
      <c r="B62" t="s">
        <v>16</v>
      </c>
      <c r="C62" t="s">
        <v>145</v>
      </c>
      <c r="D62" t="s">
        <v>146</v>
      </c>
      <c r="E62" t="s">
        <v>147</v>
      </c>
      <c r="F62">
        <v>0.85384618318997896</v>
      </c>
      <c r="G62">
        <v>13</v>
      </c>
      <c r="H62">
        <v>5000</v>
      </c>
      <c r="I62" s="2">
        <v>5000</v>
      </c>
      <c r="J62" t="s">
        <v>20</v>
      </c>
      <c r="K62" t="s">
        <v>22</v>
      </c>
      <c r="L62" t="s">
        <v>21</v>
      </c>
      <c r="M62" t="s">
        <v>51</v>
      </c>
      <c r="N62" t="s">
        <v>148</v>
      </c>
      <c r="Q62" s="2" t="e">
        <f>INDEX(Sheet1!A:B,MATCH(D62,Sheet1!A:A,0),2)</f>
        <v>#N/A</v>
      </c>
      <c r="R62" t="s">
        <v>23</v>
      </c>
    </row>
    <row r="63" spans="1:18" x14ac:dyDescent="0.45">
      <c r="A63" t="s">
        <v>139</v>
      </c>
      <c r="B63" t="s">
        <v>16</v>
      </c>
      <c r="C63" t="s">
        <v>140</v>
      </c>
      <c r="D63" t="s">
        <v>141</v>
      </c>
      <c r="E63" t="s">
        <v>142</v>
      </c>
      <c r="F63">
        <v>0.25</v>
      </c>
      <c r="G63">
        <v>10</v>
      </c>
      <c r="H63">
        <v>5000</v>
      </c>
      <c r="I63" s="2">
        <v>5000</v>
      </c>
      <c r="J63" t="s">
        <v>20</v>
      </c>
      <c r="K63" t="s">
        <v>22</v>
      </c>
      <c r="L63" t="s">
        <v>21</v>
      </c>
      <c r="M63" t="s">
        <v>143</v>
      </c>
      <c r="N63" t="s">
        <v>65</v>
      </c>
      <c r="Q63" s="2" t="e">
        <f>INDEX(Sheet1!A:B,MATCH(D63,Sheet1!A:A,0),2)</f>
        <v>#N/A</v>
      </c>
      <c r="R63" t="s">
        <v>23</v>
      </c>
    </row>
    <row r="64" spans="1:18" x14ac:dyDescent="0.45">
      <c r="A64" t="s">
        <v>216</v>
      </c>
      <c r="B64" t="s">
        <v>16</v>
      </c>
      <c r="C64" t="s">
        <v>217</v>
      </c>
      <c r="D64" t="s">
        <v>218</v>
      </c>
      <c r="E64" t="s">
        <v>219</v>
      </c>
      <c r="G64">
        <v>0</v>
      </c>
      <c r="H64">
        <v>5000</v>
      </c>
      <c r="I64" s="2">
        <v>5000</v>
      </c>
      <c r="J64" t="s">
        <v>20</v>
      </c>
      <c r="K64" t="s">
        <v>22</v>
      </c>
      <c r="L64" t="s">
        <v>21</v>
      </c>
      <c r="Q64" s="2" t="e">
        <f>INDEX(Sheet1!A:B,MATCH(D64,Sheet1!A:A,0),2)</f>
        <v>#N/A</v>
      </c>
      <c r="R64" t="s">
        <v>23</v>
      </c>
    </row>
    <row r="65" spans="1:18" x14ac:dyDescent="0.45">
      <c r="A65" t="s">
        <v>43</v>
      </c>
      <c r="B65" t="s">
        <v>295</v>
      </c>
      <c r="C65" t="s">
        <v>44</v>
      </c>
      <c r="D65" t="s">
        <v>45</v>
      </c>
      <c r="E65" t="s">
        <v>46</v>
      </c>
      <c r="F65">
        <v>10.559999847412101</v>
      </c>
      <c r="G65">
        <v>5</v>
      </c>
      <c r="H65">
        <v>11000</v>
      </c>
      <c r="I65" s="2">
        <v>11000</v>
      </c>
      <c r="J65" t="s">
        <v>20</v>
      </c>
      <c r="K65" t="s">
        <v>22</v>
      </c>
      <c r="L65" t="s">
        <v>21</v>
      </c>
      <c r="O65">
        <v>1</v>
      </c>
      <c r="P65">
        <v>7.5</v>
      </c>
      <c r="Q65" s="2">
        <f>INDEX(Sheet1!A:B,MATCH(D65,Sheet1!A:A,0),2)</f>
        <v>52.8</v>
      </c>
      <c r="R65" t="s">
        <v>23</v>
      </c>
    </row>
    <row r="66" spans="1:18" x14ac:dyDescent="0.45">
      <c r="A66" t="s">
        <v>75</v>
      </c>
      <c r="B66" t="s">
        <v>296</v>
      </c>
      <c r="C66" t="s">
        <v>76</v>
      </c>
      <c r="D66" t="s">
        <v>77</v>
      </c>
      <c r="E66" t="s">
        <v>78</v>
      </c>
      <c r="F66">
        <v>8.4800003051757802</v>
      </c>
      <c r="G66">
        <v>5</v>
      </c>
      <c r="H66">
        <v>8500</v>
      </c>
      <c r="I66" s="2">
        <v>8500</v>
      </c>
      <c r="J66" t="s">
        <v>20</v>
      </c>
      <c r="K66" t="s">
        <v>22</v>
      </c>
      <c r="L66" t="s">
        <v>21</v>
      </c>
      <c r="O66">
        <v>1</v>
      </c>
      <c r="P66">
        <v>8.6999999999999993</v>
      </c>
      <c r="Q66" s="2">
        <f>INDEX(Sheet1!A:B,MATCH(D66,Sheet1!A:A,0),2)</f>
        <v>39.4</v>
      </c>
      <c r="R66" t="s">
        <v>23</v>
      </c>
    </row>
    <row r="67" spans="1:18" x14ac:dyDescent="0.45">
      <c r="A67" t="s">
        <v>127</v>
      </c>
      <c r="B67" t="s">
        <v>297</v>
      </c>
      <c r="C67" t="s">
        <v>128</v>
      </c>
      <c r="D67" t="s">
        <v>129</v>
      </c>
      <c r="E67" t="s">
        <v>130</v>
      </c>
      <c r="F67">
        <v>0</v>
      </c>
      <c r="G67">
        <v>3</v>
      </c>
      <c r="H67">
        <v>5500</v>
      </c>
      <c r="I67" s="2">
        <v>5500</v>
      </c>
      <c r="J67" t="s">
        <v>20</v>
      </c>
      <c r="K67" t="s">
        <v>22</v>
      </c>
      <c r="L67" t="s">
        <v>21</v>
      </c>
      <c r="O67">
        <v>1</v>
      </c>
      <c r="P67">
        <v>1.1000000000000001</v>
      </c>
      <c r="Q67" s="2">
        <f>INDEX(Sheet1!A:B,MATCH(D67,Sheet1!A:A,0),2)</f>
        <v>0</v>
      </c>
      <c r="R67" t="s">
        <v>23</v>
      </c>
    </row>
    <row r="68" spans="1:18" x14ac:dyDescent="0.45">
      <c r="A68" t="s">
        <v>286</v>
      </c>
      <c r="B68" t="s">
        <v>300</v>
      </c>
      <c r="C68" t="s">
        <v>145</v>
      </c>
      <c r="D68" t="s">
        <v>287</v>
      </c>
      <c r="E68" t="s">
        <v>288</v>
      </c>
      <c r="F68">
        <v>3.5357142857142798</v>
      </c>
      <c r="G68">
        <v>14</v>
      </c>
      <c r="H68">
        <v>5000</v>
      </c>
      <c r="I68" s="2">
        <v>5000</v>
      </c>
      <c r="J68" t="s">
        <v>20</v>
      </c>
      <c r="K68" t="s">
        <v>22</v>
      </c>
      <c r="L68" t="s">
        <v>21</v>
      </c>
      <c r="P68">
        <v>1</v>
      </c>
      <c r="Q68" s="2">
        <f>INDEX(Sheet1!A:B,MATCH(D68,Sheet1!A:A,0),2)</f>
        <v>0</v>
      </c>
      <c r="R68" t="s">
        <v>23</v>
      </c>
    </row>
  </sheetData>
  <sortState xmlns:xlrd2="http://schemas.microsoft.com/office/spreadsheetml/2017/richdata2" ref="A2:R68">
    <sortCondition ref="K2:K68"/>
    <sortCondition ref="B2:B68"/>
    <sortCondition descending="1" ref="H2:H68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5"/>
  <sheetViews>
    <sheetView workbookViewId="0">
      <selection activeCell="B1" sqref="B1:B35"/>
    </sheetView>
  </sheetViews>
  <sheetFormatPr defaultRowHeight="14.25" x14ac:dyDescent="0.45"/>
  <cols>
    <col min="1" max="1" width="20.265625" bestFit="1" customWidth="1"/>
  </cols>
  <sheetData>
    <row r="1" spans="1:2" x14ac:dyDescent="0.45">
      <c r="A1" s="1" t="s">
        <v>27</v>
      </c>
      <c r="B1" s="2">
        <v>102.7</v>
      </c>
    </row>
    <row r="2" spans="1:2" x14ac:dyDescent="0.45">
      <c r="A2" s="1" t="s">
        <v>18</v>
      </c>
      <c r="B2" s="2">
        <v>93.8</v>
      </c>
    </row>
    <row r="3" spans="1:2" x14ac:dyDescent="0.45">
      <c r="A3" s="1" t="s">
        <v>37</v>
      </c>
      <c r="B3" s="2">
        <v>77.3</v>
      </c>
    </row>
    <row r="4" spans="1:2" x14ac:dyDescent="0.45">
      <c r="A4" s="1" t="s">
        <v>31</v>
      </c>
      <c r="B4" s="2">
        <v>74.099999999999994</v>
      </c>
    </row>
    <row r="5" spans="1:2" x14ac:dyDescent="0.45">
      <c r="A5" s="1" t="s">
        <v>55</v>
      </c>
      <c r="B5" s="2">
        <v>59</v>
      </c>
    </row>
    <row r="6" spans="1:2" x14ac:dyDescent="0.45">
      <c r="A6" s="1" t="s">
        <v>45</v>
      </c>
      <c r="B6" s="2">
        <v>52.8</v>
      </c>
    </row>
    <row r="7" spans="1:2" x14ac:dyDescent="0.45">
      <c r="A7" s="1" t="s">
        <v>49</v>
      </c>
      <c r="B7" s="2">
        <v>51.9</v>
      </c>
    </row>
    <row r="8" spans="1:2" x14ac:dyDescent="0.45">
      <c r="A8" s="1" t="s">
        <v>69</v>
      </c>
      <c r="B8" s="2">
        <v>48</v>
      </c>
    </row>
    <row r="9" spans="1:2" x14ac:dyDescent="0.45">
      <c r="A9" s="1" t="s">
        <v>90</v>
      </c>
      <c r="B9" s="2">
        <v>43</v>
      </c>
    </row>
    <row r="10" spans="1:2" x14ac:dyDescent="0.45">
      <c r="A10" s="1" t="s">
        <v>63</v>
      </c>
      <c r="B10" s="2">
        <v>42.3</v>
      </c>
    </row>
    <row r="11" spans="1:2" x14ac:dyDescent="0.45">
      <c r="A11" s="1" t="s">
        <v>77</v>
      </c>
      <c r="B11" s="2">
        <v>39.4</v>
      </c>
    </row>
    <row r="12" spans="1:2" x14ac:dyDescent="0.45">
      <c r="A12" s="1" t="s">
        <v>81</v>
      </c>
      <c r="B12" s="2">
        <v>39.299999999999997</v>
      </c>
    </row>
    <row r="13" spans="1:2" x14ac:dyDescent="0.45">
      <c r="A13" s="1" t="s">
        <v>41</v>
      </c>
      <c r="B13" s="2">
        <v>39.200000000000003</v>
      </c>
    </row>
    <row r="14" spans="1:2" x14ac:dyDescent="0.45">
      <c r="A14" s="1" t="s">
        <v>73</v>
      </c>
      <c r="B14" s="2">
        <v>33</v>
      </c>
    </row>
    <row r="15" spans="1:2" x14ac:dyDescent="0.45">
      <c r="A15" s="1" t="s">
        <v>99</v>
      </c>
      <c r="B15" s="2">
        <v>26.3</v>
      </c>
    </row>
    <row r="16" spans="1:2" x14ac:dyDescent="0.45">
      <c r="A16" s="1" t="s">
        <v>59</v>
      </c>
      <c r="B16" s="2">
        <v>22.5</v>
      </c>
    </row>
    <row r="17" spans="1:2" x14ac:dyDescent="0.45">
      <c r="A17" s="1" t="s">
        <v>107</v>
      </c>
      <c r="B17" s="2">
        <v>16.2</v>
      </c>
    </row>
    <row r="18" spans="1:2" x14ac:dyDescent="0.45">
      <c r="A18" s="1" t="s">
        <v>103</v>
      </c>
      <c r="B18" s="2">
        <v>12.5</v>
      </c>
    </row>
    <row r="19" spans="1:2" x14ac:dyDescent="0.45">
      <c r="A19" s="1" t="s">
        <v>86</v>
      </c>
      <c r="B19" s="2">
        <v>12</v>
      </c>
    </row>
    <row r="20" spans="1:2" x14ac:dyDescent="0.45">
      <c r="A20" s="1" t="s">
        <v>275</v>
      </c>
      <c r="B20" s="2">
        <v>8</v>
      </c>
    </row>
    <row r="21" spans="1:2" x14ac:dyDescent="0.45">
      <c r="A21" s="1" t="s">
        <v>114</v>
      </c>
      <c r="B21" s="2">
        <v>5.2</v>
      </c>
    </row>
    <row r="22" spans="1:2" x14ac:dyDescent="0.45">
      <c r="A22" s="1" t="s">
        <v>94</v>
      </c>
      <c r="B22" s="2">
        <v>5</v>
      </c>
    </row>
    <row r="23" spans="1:2" x14ac:dyDescent="0.45">
      <c r="A23" s="1" t="s">
        <v>118</v>
      </c>
      <c r="B23" s="2">
        <v>4.8</v>
      </c>
    </row>
    <row r="24" spans="1:2" x14ac:dyDescent="0.45">
      <c r="A24" s="1" t="s">
        <v>110</v>
      </c>
      <c r="B24" s="2">
        <v>3</v>
      </c>
    </row>
    <row r="25" spans="1:2" x14ac:dyDescent="0.45">
      <c r="A25" s="1" t="s">
        <v>122</v>
      </c>
      <c r="B25" s="2">
        <v>2.1</v>
      </c>
    </row>
    <row r="26" spans="1:2" x14ac:dyDescent="0.45">
      <c r="A26" s="1" t="s">
        <v>193</v>
      </c>
      <c r="B26" s="2">
        <v>0.8</v>
      </c>
    </row>
    <row r="27" spans="1:2" x14ac:dyDescent="0.45">
      <c r="A27" s="1" t="s">
        <v>207</v>
      </c>
      <c r="B27" s="2">
        <v>0</v>
      </c>
    </row>
    <row r="28" spans="1:2" x14ac:dyDescent="0.45">
      <c r="A28" s="1" t="s">
        <v>133</v>
      </c>
      <c r="B28" s="2">
        <v>0</v>
      </c>
    </row>
    <row r="29" spans="1:2" x14ac:dyDescent="0.45">
      <c r="A29" s="1" t="s">
        <v>287</v>
      </c>
      <c r="B29" s="2">
        <v>0</v>
      </c>
    </row>
    <row r="30" spans="1:2" x14ac:dyDescent="0.45">
      <c r="A30" s="1" t="s">
        <v>129</v>
      </c>
      <c r="B30" s="2">
        <v>0</v>
      </c>
    </row>
    <row r="31" spans="1:2" x14ac:dyDescent="0.45">
      <c r="A31" s="1" t="s">
        <v>221</v>
      </c>
      <c r="B31" s="2">
        <v>0</v>
      </c>
    </row>
    <row r="32" spans="1:2" x14ac:dyDescent="0.45">
      <c r="A32" s="1" t="s">
        <v>175</v>
      </c>
      <c r="B32" s="2">
        <v>0</v>
      </c>
    </row>
    <row r="33" spans="1:2" x14ac:dyDescent="0.45">
      <c r="A33" s="1" t="s">
        <v>137</v>
      </c>
      <c r="B33" s="2">
        <v>0</v>
      </c>
    </row>
    <row r="34" spans="1:2" x14ac:dyDescent="0.45">
      <c r="A34" s="1" t="s">
        <v>204</v>
      </c>
      <c r="B34" s="2">
        <v>0</v>
      </c>
    </row>
    <row r="35" spans="1:2" x14ac:dyDescent="0.45">
      <c r="A35" s="1" t="s">
        <v>126</v>
      </c>
      <c r="B35" s="2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FanDuel-NFL-2024 ET-10 ET-13 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Meinhardt</cp:lastModifiedBy>
  <dcterms:created xsi:type="dcterms:W3CDTF">2024-10-13T13:25:40Z</dcterms:created>
  <dcterms:modified xsi:type="dcterms:W3CDTF">2025-11-03T03:46:17Z</dcterms:modified>
</cp:coreProperties>
</file>