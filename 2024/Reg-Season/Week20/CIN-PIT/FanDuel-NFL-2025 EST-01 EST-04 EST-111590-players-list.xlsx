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20115" windowHeight="9795"/>
  </bookViews>
  <sheets>
    <sheet name="FanDuel-NFL-2025 EST-01 EST-04 " sheetId="1" r:id="rId1"/>
  </sheets>
  <definedNames>
    <definedName name="_xlnm._FilterDatabase" localSheetId="0" hidden="1">'FanDuel-NFL-2025 EST-01 EST-04 '!$A$1:$R$72</definedName>
  </definedNames>
  <calcPr calcId="145621"/>
</workbook>
</file>

<file path=xl/calcChain.xml><?xml version="1.0" encoding="utf-8"?>
<calcChain xmlns="http://schemas.openxmlformats.org/spreadsheetml/2006/main">
  <c r="T2" i="1" l="1"/>
  <c r="T26" i="1"/>
  <c r="T25" i="1"/>
  <c r="T7" i="1"/>
  <c r="T20" i="1"/>
  <c r="T22" i="1"/>
  <c r="T14" i="1"/>
  <c r="T16" i="1"/>
  <c r="T15" i="1"/>
  <c r="T19" i="1"/>
  <c r="T13" i="1"/>
  <c r="T18" i="1"/>
  <c r="T4" i="1"/>
  <c r="T17" i="1"/>
  <c r="T24" i="1"/>
  <c r="T3" i="1"/>
  <c r="T9" i="1"/>
  <c r="T21" i="1"/>
  <c r="T10" i="1"/>
  <c r="T6" i="1"/>
  <c r="T12" i="1"/>
  <c r="T11" i="1"/>
  <c r="T23" i="1"/>
  <c r="T8" i="1"/>
  <c r="T5" i="1"/>
  <c r="S50" i="1"/>
  <c r="S27" i="1"/>
  <c r="S71" i="1"/>
  <c r="S70" i="1"/>
  <c r="S37" i="1"/>
  <c r="S28" i="1"/>
  <c r="S44" i="1"/>
  <c r="S69" i="1"/>
  <c r="S40" i="1"/>
  <c r="S47" i="1"/>
  <c r="S43" i="1"/>
  <c r="S42" i="1"/>
  <c r="S29" i="1"/>
  <c r="S36" i="1"/>
  <c r="S34" i="1"/>
  <c r="S68" i="1"/>
  <c r="S67" i="1"/>
  <c r="S30" i="1"/>
  <c r="S35" i="1"/>
  <c r="S66" i="1"/>
  <c r="S65" i="1"/>
  <c r="S64" i="1"/>
  <c r="S46" i="1"/>
  <c r="S45" i="1"/>
  <c r="S41" i="1"/>
  <c r="S63" i="1"/>
  <c r="S62" i="1"/>
  <c r="S31" i="1"/>
  <c r="S61" i="1"/>
  <c r="S33" i="1"/>
  <c r="S48" i="1"/>
  <c r="S60" i="1"/>
  <c r="S59" i="1"/>
  <c r="S58" i="1"/>
  <c r="S57" i="1"/>
  <c r="S56" i="1"/>
  <c r="S55" i="1"/>
  <c r="S54" i="1"/>
  <c r="S32" i="1"/>
  <c r="S53" i="1"/>
  <c r="S72" i="1"/>
  <c r="S52" i="1"/>
  <c r="S49" i="1"/>
  <c r="S38" i="1"/>
  <c r="S39" i="1"/>
  <c r="S51" i="1"/>
  <c r="S26" i="1"/>
  <c r="S25" i="1"/>
  <c r="S23" i="1"/>
  <c r="S24" i="1"/>
  <c r="S22" i="1"/>
  <c r="S21" i="1"/>
  <c r="S20" i="1"/>
  <c r="S19" i="1"/>
  <c r="S18" i="1"/>
  <c r="S17" i="1"/>
  <c r="S16" i="1"/>
  <c r="S15" i="1"/>
  <c r="S14" i="1"/>
  <c r="S12" i="1"/>
  <c r="S13" i="1"/>
  <c r="S11" i="1"/>
  <c r="S10" i="1"/>
  <c r="S9" i="1"/>
  <c r="S8" i="1"/>
  <c r="S7" i="1"/>
  <c r="S6" i="1"/>
  <c r="S5" i="1"/>
  <c r="S4" i="1"/>
  <c r="S3" i="1"/>
  <c r="S2" i="1"/>
</calcChain>
</file>

<file path=xl/sharedStrings.xml><?xml version="1.0" encoding="utf-8"?>
<sst xmlns="http://schemas.openxmlformats.org/spreadsheetml/2006/main" count="681" uniqueCount="322">
  <si>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</si>
  <si>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</si>
  <si>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</si>
  <si>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</si>
  <si>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</si>
  <si>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</si>
  <si>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</si>
  <si>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</si>
  <si>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</si>
  <si>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</si>
  <si>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</si>
  <si>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</si>
  <si>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</si>
  <si>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</si>
  <si>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</si>
  <si>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111590-85701</t>
  </si>
  <si>
    <t>WR</t>
  </si>
  <si>
    <t>Ja'Marr</t>
  </si>
  <si>
    <t>Ja'Marr Chase</t>
  </si>
  <si>
    <t>Chase</t>
  </si>
  <si>
    <t>CIN@PIT</t>
  </si>
  <si>
    <t>CIN</t>
  </si>
  <si>
    <t>PIT</t>
  </si>
  <si>
    <t>MVP - 1.5X Points/AnyFLEX</t>
  </si>
  <si>
    <t>111590-63336</t>
  </si>
  <si>
    <t>QB</t>
  </si>
  <si>
    <t>Joe</t>
  </si>
  <si>
    <t>Joe Burrow</t>
  </si>
  <si>
    <t>Burrow</t>
  </si>
  <si>
    <t>111590-89981</t>
  </si>
  <si>
    <t>Tee</t>
  </si>
  <si>
    <t>Tee Higgins</t>
  </si>
  <si>
    <t>Higgins</t>
  </si>
  <si>
    <t>Q</t>
  </si>
  <si>
    <t>Ankle</t>
  </si>
  <si>
    <t>111590-22015</t>
  </si>
  <si>
    <t>Russell</t>
  </si>
  <si>
    <t>Russell Wilson</t>
  </si>
  <si>
    <t>Wilson</t>
  </si>
  <si>
    <t>111590-110246</t>
  </si>
  <si>
    <t>George</t>
  </si>
  <si>
    <t>George Pickens</t>
  </si>
  <si>
    <t>Pickens</t>
  </si>
  <si>
    <t>111590-89493</t>
  </si>
  <si>
    <t>RB</t>
  </si>
  <si>
    <t>Chase Brown</t>
  </si>
  <si>
    <t>Brown</t>
  </si>
  <si>
    <t>111590-90575</t>
  </si>
  <si>
    <t>Najee</t>
  </si>
  <si>
    <t>Najee Harris</t>
  </si>
  <si>
    <t>Harris</t>
  </si>
  <si>
    <t>111590-72412</t>
  </si>
  <si>
    <t>Khalil</t>
  </si>
  <si>
    <t>Khalil Herbert</t>
  </si>
  <si>
    <t>Herbert</t>
  </si>
  <si>
    <t>111590-112057</t>
  </si>
  <si>
    <t>Jaylen</t>
  </si>
  <si>
    <t>Jaylen Warren</t>
  </si>
  <si>
    <t>Warren</t>
  </si>
  <si>
    <t>111590-32058</t>
  </si>
  <si>
    <t>K</t>
  </si>
  <si>
    <t>Chris</t>
  </si>
  <si>
    <t>Chris Boswell</t>
  </si>
  <si>
    <t>Boswell</t>
  </si>
  <si>
    <t>111590-12547</t>
  </si>
  <si>
    <t>D</t>
  </si>
  <si>
    <t>Pittsburgh</t>
  </si>
  <si>
    <t>Pittsburgh Steelers</t>
  </si>
  <si>
    <t>Steelers</t>
  </si>
  <si>
    <t>111590-12528</t>
  </si>
  <si>
    <t>Cincinnati</t>
  </si>
  <si>
    <t>Cincinnati Bengals</t>
  </si>
  <si>
    <t>Bengals</t>
  </si>
  <si>
    <t>111590-86244</t>
  </si>
  <si>
    <t>TE</t>
  </si>
  <si>
    <t>Pat</t>
  </si>
  <si>
    <t>Pat Freiermuth</t>
  </si>
  <si>
    <t>Freiermuth</t>
  </si>
  <si>
    <t>111590-102901</t>
  </si>
  <si>
    <t>Cade</t>
  </si>
  <si>
    <t>Cade York</t>
  </si>
  <si>
    <t>York</t>
  </si>
  <si>
    <t>111590-90870</t>
  </si>
  <si>
    <t>Calvin</t>
  </si>
  <si>
    <t>Calvin Austin III</t>
  </si>
  <si>
    <t>Austin III</t>
  </si>
  <si>
    <t>111590-185593</t>
  </si>
  <si>
    <t>Andrei</t>
  </si>
  <si>
    <t>Andrei Iosivas</t>
  </si>
  <si>
    <t>Iosivas</t>
  </si>
  <si>
    <t>111590-39829</t>
  </si>
  <si>
    <t>Mike</t>
  </si>
  <si>
    <t>Mike Williams</t>
  </si>
  <si>
    <t>Williams</t>
  </si>
  <si>
    <t>111590-56265</t>
  </si>
  <si>
    <t>Mike Gesicki</t>
  </si>
  <si>
    <t>Gesicki</t>
  </si>
  <si>
    <t>111590-64581</t>
  </si>
  <si>
    <t>Van</t>
  </si>
  <si>
    <t>Van Jefferson</t>
  </si>
  <si>
    <t>Jefferson</t>
  </si>
  <si>
    <t>111590-69860</t>
  </si>
  <si>
    <t>Trayveon</t>
  </si>
  <si>
    <t>Trayveon Williams</t>
  </si>
  <si>
    <t>111590-30733</t>
  </si>
  <si>
    <t>Cordarrelle</t>
  </si>
  <si>
    <t>Cordarrelle Patterson</t>
  </si>
  <si>
    <t>Patterson</t>
  </si>
  <si>
    <t>111590-133477</t>
  </si>
  <si>
    <t>Darnell</t>
  </si>
  <si>
    <t>Darnell Washington</t>
  </si>
  <si>
    <t>Washington</t>
  </si>
  <si>
    <t>111590-62505</t>
  </si>
  <si>
    <t>MyCole</t>
  </si>
  <si>
    <t>MyCole Pruitt</t>
  </si>
  <si>
    <t>Pruitt</t>
  </si>
  <si>
    <t>111590-83117</t>
  </si>
  <si>
    <t>Tanner</t>
  </si>
  <si>
    <t>Tanner Hudson</t>
  </si>
  <si>
    <t>Hudson</t>
  </si>
  <si>
    <t>111590-56711</t>
  </si>
  <si>
    <t>Drew</t>
  </si>
  <si>
    <t>Drew Sample</t>
  </si>
  <si>
    <t>Sample</t>
  </si>
  <si>
    <t>Groin</t>
  </si>
  <si>
    <t>111590-92882</t>
  </si>
  <si>
    <t>Connor</t>
  </si>
  <si>
    <t>Connor Heyward</t>
  </si>
  <si>
    <t>Heyward</t>
  </si>
  <si>
    <t>111590-61273</t>
  </si>
  <si>
    <t>Scotty</t>
  </si>
  <si>
    <t>Scotty Miller</t>
  </si>
  <si>
    <t>Miller</t>
  </si>
  <si>
    <t>111590-133484</t>
  </si>
  <si>
    <t>Jermaine</t>
  </si>
  <si>
    <t>Jermaine Burton</t>
  </si>
  <si>
    <t>Burton</t>
  </si>
  <si>
    <t>O</t>
  </si>
  <si>
    <t>Coach's decision</t>
  </si>
  <si>
    <t>111590-115971</t>
  </si>
  <si>
    <t>Shaquan</t>
  </si>
  <si>
    <t>Shaquan Davis</t>
  </si>
  <si>
    <t>Davis</t>
  </si>
  <si>
    <t>111590-70027</t>
  </si>
  <si>
    <t>Zack</t>
  </si>
  <si>
    <t>Zack Moss</t>
  </si>
  <si>
    <t>Moss</t>
  </si>
  <si>
    <t>IR</t>
  </si>
  <si>
    <t>Neck</t>
  </si>
  <si>
    <t>111590-92056</t>
  </si>
  <si>
    <t>Cal</t>
  </si>
  <si>
    <t>Cal Adomitis</t>
  </si>
  <si>
    <t>Adomitis</t>
  </si>
  <si>
    <t>111590-103584</t>
  </si>
  <si>
    <t>Noah</t>
  </si>
  <si>
    <t>Noah Cain</t>
  </si>
  <si>
    <t>Cain</t>
  </si>
  <si>
    <t>111590-185639</t>
  </si>
  <si>
    <t>Keilahn</t>
  </si>
  <si>
    <t>Keilahn Harris</t>
  </si>
  <si>
    <t>Undisclosed</t>
  </si>
  <si>
    <t>111590-60840</t>
  </si>
  <si>
    <t>Jake</t>
  </si>
  <si>
    <t>Jake Browning</t>
  </si>
  <si>
    <t>Browning</t>
  </si>
  <si>
    <t>111590-112041</t>
  </si>
  <si>
    <t>Isaiah</t>
  </si>
  <si>
    <t>Isaiah Williams</t>
  </si>
  <si>
    <t>111590-43433</t>
  </si>
  <si>
    <t>Boston</t>
  </si>
  <si>
    <t>Boston Scott</t>
  </si>
  <si>
    <t>Scott</t>
  </si>
  <si>
    <t>111590-73130</t>
  </si>
  <si>
    <t>Chris Evans</t>
  </si>
  <si>
    <t>Evans</t>
  </si>
  <si>
    <t>Leg</t>
  </si>
  <si>
    <t>111590-88109</t>
  </si>
  <si>
    <t>Gary</t>
  </si>
  <si>
    <t>Gary Brightwell</t>
  </si>
  <si>
    <t>Brightwell</t>
  </si>
  <si>
    <t>111590-64175</t>
  </si>
  <si>
    <t>Hakeem</t>
  </si>
  <si>
    <t>Hakeem Butler</t>
  </si>
  <si>
    <t>Butler</t>
  </si>
  <si>
    <t>111590-88752</t>
  </si>
  <si>
    <t>Charlie</t>
  </si>
  <si>
    <t>Charlie Jones</t>
  </si>
  <si>
    <t>Jones</t>
  </si>
  <si>
    <t>111590-86068</t>
  </si>
  <si>
    <t>Jacob</t>
  </si>
  <si>
    <t>Jacob Copeland</t>
  </si>
  <si>
    <t>Copeland</t>
  </si>
  <si>
    <t>111590-138037</t>
  </si>
  <si>
    <t>Roman</t>
  </si>
  <si>
    <t>Roman Wilson</t>
  </si>
  <si>
    <t>Hamstring</t>
  </si>
  <si>
    <t>111590-63419</t>
  </si>
  <si>
    <t>Andy</t>
  </si>
  <si>
    <t>Andy Isabella</t>
  </si>
  <si>
    <t>Isabella</t>
  </si>
  <si>
    <t>111590-71105</t>
  </si>
  <si>
    <t>Ben</t>
  </si>
  <si>
    <t>Ben Skowronek</t>
  </si>
  <si>
    <t>Skowronek</t>
  </si>
  <si>
    <t>111590-71367</t>
  </si>
  <si>
    <t>La'Mical</t>
  </si>
  <si>
    <t>La'Mical Perine</t>
  </si>
  <si>
    <t>Perine</t>
  </si>
  <si>
    <t>111590-91591</t>
  </si>
  <si>
    <t>Justin</t>
  </si>
  <si>
    <t>Justin Fields</t>
  </si>
  <si>
    <t>Fields</t>
  </si>
  <si>
    <t>111590-71241</t>
  </si>
  <si>
    <t>Brandon</t>
  </si>
  <si>
    <t>Brandon Johnson</t>
  </si>
  <si>
    <t>Johnson</t>
  </si>
  <si>
    <t>111590-45259</t>
  </si>
  <si>
    <t>Logan</t>
  </si>
  <si>
    <t>Logan Woodside</t>
  </si>
  <si>
    <t>Woodside</t>
  </si>
  <si>
    <t>111590-69068</t>
  </si>
  <si>
    <t>Jonathan</t>
  </si>
  <si>
    <t>Jonathan Ward</t>
  </si>
  <si>
    <t>Ward</t>
  </si>
  <si>
    <t>111590-86092</t>
  </si>
  <si>
    <t>Evan</t>
  </si>
  <si>
    <t>Evan McPherson</t>
  </si>
  <si>
    <t>McPherson</t>
  </si>
  <si>
    <t>111590-160463</t>
  </si>
  <si>
    <t>Tanner McLachlan</t>
  </si>
  <si>
    <t>McLachlan</t>
  </si>
  <si>
    <t>111590-103378</t>
  </si>
  <si>
    <t>Erick</t>
  </si>
  <si>
    <t>Erick All Jr.</t>
  </si>
  <si>
    <t>All Jr.</t>
  </si>
  <si>
    <t>Knee - acl</t>
  </si>
  <si>
    <t>111590-169937</t>
  </si>
  <si>
    <t>Lance</t>
  </si>
  <si>
    <t>Lance McCutcheon</t>
  </si>
  <si>
    <t>McCutcheon</t>
  </si>
  <si>
    <t>111590-73687</t>
  </si>
  <si>
    <t>Quez</t>
  </si>
  <si>
    <t>Quez Watkins</t>
  </si>
  <si>
    <t>Watkins</t>
  </si>
  <si>
    <t>111590-85720</t>
  </si>
  <si>
    <t>Jaray</t>
  </si>
  <si>
    <t>Jaray Jenkins</t>
  </si>
  <si>
    <t>Jenkins</t>
  </si>
  <si>
    <t>111590-92891</t>
  </si>
  <si>
    <t>Elijah</t>
  </si>
  <si>
    <t>Elijah Collins</t>
  </si>
  <si>
    <t>Collins</t>
  </si>
  <si>
    <t>111590-93019</t>
  </si>
  <si>
    <t>Jack</t>
  </si>
  <si>
    <t>Jack Colletto</t>
  </si>
  <si>
    <t>Colletto</t>
  </si>
  <si>
    <t>111590-201561</t>
  </si>
  <si>
    <t>Cole</t>
  </si>
  <si>
    <t>Cole Burgess</t>
  </si>
  <si>
    <t>Burgess</t>
  </si>
  <si>
    <t>111590-170206</t>
  </si>
  <si>
    <t>Rodney</t>
  </si>
  <si>
    <t>Rodney Williams</t>
  </si>
  <si>
    <t>111590-54239</t>
  </si>
  <si>
    <t>Matt</t>
  </si>
  <si>
    <t>Matt Sokol</t>
  </si>
  <si>
    <t>Sokol</t>
  </si>
  <si>
    <t>111590-103390</t>
  </si>
  <si>
    <t>Tre</t>
  </si>
  <si>
    <t>Tre Mosley</t>
  </si>
  <si>
    <t>Mosley</t>
  </si>
  <si>
    <t>111590-201564</t>
  </si>
  <si>
    <t>Cam</t>
  </si>
  <si>
    <t>Cam Grandy</t>
  </si>
  <si>
    <t>Grandy</t>
  </si>
  <si>
    <t>111590-129508</t>
  </si>
  <si>
    <t>Duece</t>
  </si>
  <si>
    <t>Duece Watts</t>
  </si>
  <si>
    <t>Watts</t>
  </si>
  <si>
    <t>111590-53095</t>
  </si>
  <si>
    <t>Kyle</t>
  </si>
  <si>
    <t>Kyle Allen</t>
  </si>
  <si>
    <t>Allen</t>
  </si>
  <si>
    <t>111590-170213</t>
  </si>
  <si>
    <t>Aaron</t>
  </si>
  <si>
    <t>Aaron Shampklin</t>
  </si>
  <si>
    <t>Shampklin</t>
  </si>
  <si>
    <t>111590-92904</t>
  </si>
  <si>
    <t>Rocky</t>
  </si>
  <si>
    <t>Rocky Lombardi</t>
  </si>
  <si>
    <t>Lombardi</t>
  </si>
  <si>
    <t>111590-72427</t>
  </si>
  <si>
    <t>Kwamie</t>
  </si>
  <si>
    <t>Kwamie Lassiter II</t>
  </si>
  <si>
    <t>Lassiter II</t>
  </si>
  <si>
    <t>111590-79979</t>
  </si>
  <si>
    <t>Jamal</t>
  </si>
  <si>
    <t>Jamal Agnew</t>
  </si>
  <si>
    <t>Agnew</t>
  </si>
  <si>
    <t>111590-133487</t>
  </si>
  <si>
    <t>Daijun</t>
  </si>
  <si>
    <t>Daijun Edwards</t>
  </si>
  <si>
    <t>Edwards</t>
  </si>
  <si>
    <t>111590-119672</t>
  </si>
  <si>
    <t>Kendall</t>
  </si>
  <si>
    <t>Kendall Milton</t>
  </si>
  <si>
    <t>Milton</t>
  </si>
  <si>
    <t>111590-71935</t>
  </si>
  <si>
    <t>Kendric</t>
  </si>
  <si>
    <t>Kendric Pryor</t>
  </si>
  <si>
    <t>Pryor</t>
  </si>
  <si>
    <t>Points</t>
  </si>
  <si>
    <t>Projected Points</t>
  </si>
  <si>
    <t>RB1Q</t>
  </si>
  <si>
    <t>RB2</t>
  </si>
  <si>
    <t>WR1</t>
  </si>
  <si>
    <t>WR2Q</t>
  </si>
  <si>
    <t>WR3</t>
  </si>
  <si>
    <t>WR4</t>
  </si>
  <si>
    <t>WR2</t>
  </si>
  <si>
    <t>fpts/dollar</t>
  </si>
  <si>
    <t>pts/dollar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</si>
</sst>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2"/>
  <sheetViews>
    <sheetView tabSelected="1" workbookViewId="0">
      <pane ySplit="1" topLeftCell="A2" activePane="bottomLeft" state="frozenSplit"/>
      <selection pane="bottomLeft" activeCell="H1" sqref="H1:H1048576"/>
    </sheetView>
  </sheetViews>
  <sheetFormatPr defaultRowHeight="15" x14ac:dyDescent="0.25"/>
  <cols>
    <col min="1" max="1" width="13.85546875" bestFit="1" customWidth="1"/>
    <col min="2" max="2" width="8.28515625" bestFit="1" customWidth="1"/>
    <col min="3" max="3" width="11" bestFit="1" customWidth="1"/>
    <col min="4" max="4" width="20.28515625" bestFit="1" customWidth="1"/>
    <col min="5" max="5" width="12" bestFit="1" customWidth="1"/>
    <col min="6" max="6" width="12.7109375" bestFit="1" customWidth="1"/>
    <col min="7" max="7" width="7" bestFit="1" customWidth="1"/>
    <col min="8" max="9" width="6.28515625" bestFit="1" customWidth="1"/>
    <col min="10" max="10" width="8.7109375" bestFit="1" customWidth="1"/>
    <col min="11" max="11" width="5.85546875" bestFit="1" customWidth="1"/>
    <col min="12" max="12" width="10" bestFit="1" customWidth="1"/>
    <col min="13" max="13" width="14.5703125" bestFit="1" customWidth="1"/>
    <col min="14" max="14" width="15.5703125" bestFit="1" customWidth="1"/>
    <col min="15" max="15" width="4.42578125" bestFit="1" customWidth="1"/>
    <col min="16" max="16" width="6.5703125" bestFit="1" customWidth="1"/>
    <col min="17" max="17" width="15.7109375" bestFit="1" customWidth="1"/>
    <col min="18" max="18" width="25.140625" bestFit="1" customWidth="1"/>
    <col min="19" max="19" width="12" bestFit="1" customWidth="1"/>
    <col min="20" max="20" width="10.8554687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311</v>
      </c>
      <c r="Q1" t="s">
        <v>312</v>
      </c>
      <c r="R1" t="s">
        <v>14</v>
      </c>
      <c r="S1" t="s">
        <v>320</v>
      </c>
      <c r="T1" t="s">
        <v>321</v>
      </c>
    </row>
    <row r="2" spans="1:20" x14ac:dyDescent="0.25">
      <c r="A2" t="s">
        <v>15</v>
      </c>
      <c r="B2" t="s">
        <v>315</v>
      </c>
      <c r="C2" t="s">
        <v>17</v>
      </c>
      <c r="D2" t="s">
        <v>18</v>
      </c>
      <c r="E2" t="s">
        <v>19</v>
      </c>
      <c r="F2">
        <v>20.868749618530199</v>
      </c>
      <c r="G2">
        <v>16</v>
      </c>
      <c r="H2">
        <v>16000</v>
      </c>
      <c r="I2">
        <v>16000</v>
      </c>
      <c r="J2" t="s">
        <v>20</v>
      </c>
      <c r="K2" t="s">
        <v>21</v>
      </c>
      <c r="L2" t="s">
        <v>22</v>
      </c>
      <c r="O2">
        <v>1</v>
      </c>
      <c r="P2">
        <v>20.6</v>
      </c>
      <c r="Q2">
        <v>20.9</v>
      </c>
      <c r="R2" t="s">
        <v>23</v>
      </c>
      <c r="S2" s="1">
        <f>F2/I2*1000</f>
        <v>1.3042968511581374</v>
      </c>
      <c r="T2">
        <f>P2/(I2*1.5)*1000</f>
        <v>0.85833333333333339</v>
      </c>
    </row>
    <row r="3" spans="1:20" x14ac:dyDescent="0.25">
      <c r="A3" t="s">
        <v>73</v>
      </c>
      <c r="B3" t="s">
        <v>74</v>
      </c>
      <c r="C3" t="s">
        <v>75</v>
      </c>
      <c r="D3" t="s">
        <v>76</v>
      </c>
      <c r="E3" t="s">
        <v>77</v>
      </c>
      <c r="F3">
        <v>7.3312501907348597</v>
      </c>
      <c r="G3">
        <v>16</v>
      </c>
      <c r="H3">
        <v>8500</v>
      </c>
      <c r="I3">
        <v>8500</v>
      </c>
      <c r="J3" t="s">
        <v>20</v>
      </c>
      <c r="K3" t="s">
        <v>22</v>
      </c>
      <c r="L3" t="s">
        <v>21</v>
      </c>
      <c r="O3">
        <v>1</v>
      </c>
      <c r="P3">
        <v>18.5</v>
      </c>
      <c r="Q3">
        <v>7.3312501907348597</v>
      </c>
      <c r="R3" t="s">
        <v>23</v>
      </c>
      <c r="S3" s="1">
        <f>F3/I3*1000</f>
        <v>0.86250002243939528</v>
      </c>
      <c r="T3">
        <f>P3/I3*1000</f>
        <v>2.1764705882352939</v>
      </c>
    </row>
    <row r="4" spans="1:20" x14ac:dyDescent="0.25">
      <c r="A4" t="s">
        <v>78</v>
      </c>
      <c r="B4" t="s">
        <v>60</v>
      </c>
      <c r="C4" t="s">
        <v>79</v>
      </c>
      <c r="D4" t="s">
        <v>80</v>
      </c>
      <c r="E4" t="s">
        <v>81</v>
      </c>
      <c r="F4">
        <v>6.4</v>
      </c>
      <c r="G4">
        <v>5</v>
      </c>
      <c r="H4">
        <v>8500</v>
      </c>
      <c r="I4">
        <v>8500</v>
      </c>
      <c r="J4" t="s">
        <v>20</v>
      </c>
      <c r="K4" t="s">
        <v>21</v>
      </c>
      <c r="L4" t="s">
        <v>22</v>
      </c>
      <c r="O4">
        <v>1</v>
      </c>
      <c r="P4">
        <v>14</v>
      </c>
      <c r="Q4">
        <v>6.4</v>
      </c>
      <c r="R4" t="s">
        <v>23</v>
      </c>
      <c r="S4" s="1">
        <f>F4/I4*1000</f>
        <v>0.75294117647058822</v>
      </c>
      <c r="T4">
        <f>P4/I4*1000</f>
        <v>1.6470588235294119</v>
      </c>
    </row>
    <row r="5" spans="1:20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>
        <v>24.3024997711181</v>
      </c>
      <c r="G5">
        <v>16</v>
      </c>
      <c r="H5">
        <v>15000</v>
      </c>
      <c r="I5">
        <v>15000</v>
      </c>
      <c r="J5" t="s">
        <v>20</v>
      </c>
      <c r="K5" t="s">
        <v>21</v>
      </c>
      <c r="L5" t="s">
        <v>22</v>
      </c>
      <c r="O5">
        <v>1</v>
      </c>
      <c r="P5">
        <v>13.98</v>
      </c>
      <c r="Q5">
        <v>24.3024997711181</v>
      </c>
      <c r="R5" t="s">
        <v>23</v>
      </c>
      <c r="S5" s="1">
        <f>F5/I5*1000</f>
        <v>1.6201666514078734</v>
      </c>
      <c r="T5">
        <f>P5/I5*1000</f>
        <v>0.93199999999999994</v>
      </c>
    </row>
    <row r="6" spans="1:20" x14ac:dyDescent="0.25">
      <c r="A6" t="s">
        <v>47</v>
      </c>
      <c r="B6" t="s">
        <v>44</v>
      </c>
      <c r="C6" t="s">
        <v>48</v>
      </c>
      <c r="D6" t="s">
        <v>49</v>
      </c>
      <c r="E6" t="s">
        <v>50</v>
      </c>
      <c r="F6">
        <v>11.375</v>
      </c>
      <c r="G6">
        <v>16</v>
      </c>
      <c r="H6">
        <v>11000</v>
      </c>
      <c r="I6">
        <v>11000</v>
      </c>
      <c r="J6" t="s">
        <v>20</v>
      </c>
      <c r="K6" t="s">
        <v>22</v>
      </c>
      <c r="L6" t="s">
        <v>21</v>
      </c>
      <c r="O6">
        <v>1</v>
      </c>
      <c r="P6">
        <v>13.6</v>
      </c>
      <c r="Q6">
        <v>11.375</v>
      </c>
      <c r="R6" t="s">
        <v>23</v>
      </c>
      <c r="S6" s="1">
        <f>F6/I6*1000</f>
        <v>1.0340909090909089</v>
      </c>
      <c r="T6">
        <f>P6/I6*1000</f>
        <v>1.2363636363636363</v>
      </c>
    </row>
    <row r="7" spans="1:20" x14ac:dyDescent="0.25">
      <c r="A7" t="s">
        <v>51</v>
      </c>
      <c r="B7" t="s">
        <v>314</v>
      </c>
      <c r="C7" t="s">
        <v>52</v>
      </c>
      <c r="D7" t="s">
        <v>53</v>
      </c>
      <c r="E7" t="s">
        <v>54</v>
      </c>
      <c r="F7">
        <v>1.3363636190240999</v>
      </c>
      <c r="G7">
        <v>11</v>
      </c>
      <c r="H7">
        <v>10500</v>
      </c>
      <c r="I7">
        <v>10500</v>
      </c>
      <c r="J7" t="s">
        <v>20</v>
      </c>
      <c r="K7" t="s">
        <v>21</v>
      </c>
      <c r="L7" t="s">
        <v>22</v>
      </c>
      <c r="O7">
        <v>1</v>
      </c>
      <c r="P7">
        <v>11.8</v>
      </c>
      <c r="Q7">
        <v>1.3363636190240999</v>
      </c>
      <c r="R7" t="s">
        <v>23</v>
      </c>
      <c r="S7">
        <f>F7/I7*1000</f>
        <v>0.12727272562134284</v>
      </c>
      <c r="T7">
        <f>P7/I7*1000</f>
        <v>1.1238095238095238</v>
      </c>
    </row>
    <row r="8" spans="1:20" x14ac:dyDescent="0.25">
      <c r="A8" t="s">
        <v>35</v>
      </c>
      <c r="B8" t="s">
        <v>25</v>
      </c>
      <c r="C8" t="s">
        <v>36</v>
      </c>
      <c r="D8" t="s">
        <v>37</v>
      </c>
      <c r="E8" t="s">
        <v>38</v>
      </c>
      <c r="F8">
        <v>16.925999450683499</v>
      </c>
      <c r="G8">
        <v>10</v>
      </c>
      <c r="H8">
        <v>13000</v>
      </c>
      <c r="I8">
        <v>13000</v>
      </c>
      <c r="J8" t="s">
        <v>20</v>
      </c>
      <c r="K8" t="s">
        <v>22</v>
      </c>
      <c r="L8" t="s">
        <v>21</v>
      </c>
      <c r="O8">
        <v>1</v>
      </c>
      <c r="P8">
        <v>11.52</v>
      </c>
      <c r="Q8">
        <v>16.925999450683499</v>
      </c>
      <c r="R8" t="s">
        <v>23</v>
      </c>
      <c r="S8">
        <f>F8/I8*1000</f>
        <v>1.3019999577448846</v>
      </c>
      <c r="T8">
        <f>P8/I8*1000</f>
        <v>0.88615384615384607</v>
      </c>
    </row>
    <row r="9" spans="1:20" x14ac:dyDescent="0.25">
      <c r="A9" t="s">
        <v>94</v>
      </c>
      <c r="B9" t="s">
        <v>74</v>
      </c>
      <c r="C9" t="s">
        <v>91</v>
      </c>
      <c r="D9" t="s">
        <v>95</v>
      </c>
      <c r="E9" t="s">
        <v>96</v>
      </c>
      <c r="F9">
        <v>6.7466664632161404</v>
      </c>
      <c r="G9">
        <v>15</v>
      </c>
      <c r="H9">
        <v>7500</v>
      </c>
      <c r="I9">
        <v>7500</v>
      </c>
      <c r="J9" t="s">
        <v>20</v>
      </c>
      <c r="K9" t="s">
        <v>21</v>
      </c>
      <c r="L9" t="s">
        <v>22</v>
      </c>
      <c r="O9">
        <v>1</v>
      </c>
      <c r="P9">
        <v>10.8</v>
      </c>
      <c r="Q9">
        <v>6.7466664632161404</v>
      </c>
      <c r="R9" t="s">
        <v>23</v>
      </c>
      <c r="S9">
        <f>F9/I9*1000</f>
        <v>0.8995555284288187</v>
      </c>
      <c r="T9">
        <f>P9/I9*1000</f>
        <v>1.4400000000000002</v>
      </c>
    </row>
    <row r="10" spans="1:20" x14ac:dyDescent="0.25">
      <c r="A10" t="s">
        <v>64</v>
      </c>
      <c r="B10" t="s">
        <v>65</v>
      </c>
      <c r="C10" t="s">
        <v>66</v>
      </c>
      <c r="D10" t="s">
        <v>67</v>
      </c>
      <c r="E10" t="s">
        <v>68</v>
      </c>
      <c r="F10">
        <v>8.5625</v>
      </c>
      <c r="G10">
        <v>16</v>
      </c>
      <c r="H10">
        <v>9000</v>
      </c>
      <c r="I10">
        <v>9000</v>
      </c>
      <c r="J10" t="s">
        <v>20</v>
      </c>
      <c r="K10" t="s">
        <v>22</v>
      </c>
      <c r="L10" t="s">
        <v>21</v>
      </c>
      <c r="O10">
        <v>1</v>
      </c>
      <c r="P10">
        <v>9</v>
      </c>
      <c r="Q10">
        <v>8.5625</v>
      </c>
      <c r="R10" t="s">
        <v>23</v>
      </c>
      <c r="S10">
        <f>F10/I10*1000</f>
        <v>0.95138888888888884</v>
      </c>
      <c r="T10">
        <f>P10/I10*1000</f>
        <v>1</v>
      </c>
    </row>
    <row r="11" spans="1:20" x14ac:dyDescent="0.25">
      <c r="A11" t="s">
        <v>29</v>
      </c>
      <c r="B11" t="s">
        <v>316</v>
      </c>
      <c r="C11" t="s">
        <v>30</v>
      </c>
      <c r="D11" t="s">
        <v>31</v>
      </c>
      <c r="E11" t="s">
        <v>32</v>
      </c>
      <c r="F11">
        <v>16.754545731977899</v>
      </c>
      <c r="G11">
        <v>11</v>
      </c>
      <c r="H11">
        <v>13500</v>
      </c>
      <c r="I11">
        <v>13500</v>
      </c>
      <c r="J11" t="s">
        <v>20</v>
      </c>
      <c r="K11" t="s">
        <v>21</v>
      </c>
      <c r="L11" t="s">
        <v>22</v>
      </c>
      <c r="M11" t="s">
        <v>33</v>
      </c>
      <c r="N11" t="s">
        <v>34</v>
      </c>
      <c r="O11">
        <v>1</v>
      </c>
      <c r="P11">
        <v>7.3</v>
      </c>
      <c r="Q11">
        <v>16.754545731977899</v>
      </c>
      <c r="R11" t="s">
        <v>23</v>
      </c>
      <c r="S11">
        <f>F11/I11*1000</f>
        <v>1.2410774616279925</v>
      </c>
      <c r="T11">
        <f>P11/I11*1000</f>
        <v>0.54074074074074074</v>
      </c>
    </row>
    <row r="12" spans="1:20" x14ac:dyDescent="0.25">
      <c r="A12" t="s">
        <v>59</v>
      </c>
      <c r="B12" t="s">
        <v>60</v>
      </c>
      <c r="C12" t="s">
        <v>61</v>
      </c>
      <c r="D12" t="s">
        <v>62</v>
      </c>
      <c r="E12" t="s">
        <v>63</v>
      </c>
      <c r="F12">
        <v>11.5</v>
      </c>
      <c r="G12">
        <v>16</v>
      </c>
      <c r="H12">
        <v>9500</v>
      </c>
      <c r="I12">
        <v>9500</v>
      </c>
      <c r="J12" t="s">
        <v>20</v>
      </c>
      <c r="K12" t="s">
        <v>22</v>
      </c>
      <c r="L12" t="s">
        <v>21</v>
      </c>
      <c r="O12">
        <v>1</v>
      </c>
      <c r="P12">
        <v>7</v>
      </c>
      <c r="Q12">
        <v>11.5</v>
      </c>
      <c r="R12" t="s">
        <v>23</v>
      </c>
      <c r="S12">
        <f>F12/I12*1000</f>
        <v>1.2105263157894737</v>
      </c>
      <c r="T12">
        <f>P12/I12*1000</f>
        <v>0.73684210526315796</v>
      </c>
    </row>
    <row r="13" spans="1:20" x14ac:dyDescent="0.25">
      <c r="A13" t="s">
        <v>69</v>
      </c>
      <c r="B13" t="s">
        <v>65</v>
      </c>
      <c r="C13" t="s">
        <v>70</v>
      </c>
      <c r="D13" t="s">
        <v>71</v>
      </c>
      <c r="E13" t="s">
        <v>72</v>
      </c>
      <c r="F13">
        <v>6.0625</v>
      </c>
      <c r="G13">
        <v>16</v>
      </c>
      <c r="H13">
        <v>9000</v>
      </c>
      <c r="I13">
        <v>9000</v>
      </c>
      <c r="J13" t="s">
        <v>20</v>
      </c>
      <c r="K13" t="s">
        <v>21</v>
      </c>
      <c r="L13" t="s">
        <v>22</v>
      </c>
      <c r="O13">
        <v>1</v>
      </c>
      <c r="P13">
        <v>7</v>
      </c>
      <c r="Q13">
        <v>6.0625</v>
      </c>
      <c r="R13" t="s">
        <v>23</v>
      </c>
      <c r="S13">
        <f>F13/I13*1000</f>
        <v>0.67361111111111116</v>
      </c>
      <c r="T13">
        <f>P13/I13*1000</f>
        <v>0.77777777777777768</v>
      </c>
    </row>
    <row r="14" spans="1:20" x14ac:dyDescent="0.25">
      <c r="A14" t="s">
        <v>120</v>
      </c>
      <c r="B14" t="s">
        <v>74</v>
      </c>
      <c r="C14" t="s">
        <v>121</v>
      </c>
      <c r="D14" t="s">
        <v>122</v>
      </c>
      <c r="E14" t="s">
        <v>123</v>
      </c>
      <c r="F14">
        <v>2.3100000381469701</v>
      </c>
      <c r="G14">
        <v>10</v>
      </c>
      <c r="H14">
        <v>5500</v>
      </c>
      <c r="I14">
        <v>5500</v>
      </c>
      <c r="J14" t="s">
        <v>20</v>
      </c>
      <c r="K14" t="s">
        <v>21</v>
      </c>
      <c r="L14" t="s">
        <v>22</v>
      </c>
      <c r="M14" t="s">
        <v>33</v>
      </c>
      <c r="N14" t="s">
        <v>124</v>
      </c>
      <c r="P14">
        <v>3.4</v>
      </c>
      <c r="Q14">
        <v>2.3100000381469701</v>
      </c>
      <c r="R14" t="s">
        <v>23</v>
      </c>
      <c r="S14">
        <f>F14/I14*1000</f>
        <v>0.42000000693581274</v>
      </c>
      <c r="T14">
        <f>P14/I14*1000</f>
        <v>0.61818181818181817</v>
      </c>
    </row>
    <row r="15" spans="1:20" x14ac:dyDescent="0.25">
      <c r="A15" t="s">
        <v>97</v>
      </c>
      <c r="B15" t="s">
        <v>319</v>
      </c>
      <c r="C15" t="s">
        <v>98</v>
      </c>
      <c r="D15" t="s">
        <v>99</v>
      </c>
      <c r="E15" t="s">
        <v>100</v>
      </c>
      <c r="F15">
        <v>3.4499999455043202</v>
      </c>
      <c r="G15">
        <v>14</v>
      </c>
      <c r="H15">
        <v>7000</v>
      </c>
      <c r="I15">
        <v>7000</v>
      </c>
      <c r="J15" t="s">
        <v>20</v>
      </c>
      <c r="K15" t="s">
        <v>22</v>
      </c>
      <c r="L15" t="s">
        <v>21</v>
      </c>
      <c r="O15">
        <v>1</v>
      </c>
      <c r="P15">
        <v>3.3</v>
      </c>
      <c r="Q15">
        <v>3.4499999455043202</v>
      </c>
      <c r="R15" t="s">
        <v>23</v>
      </c>
      <c r="S15">
        <f>F15/I15*1000</f>
        <v>0.49285713507204576</v>
      </c>
      <c r="T15">
        <f>P15/I15*1000</f>
        <v>0.47142857142857142</v>
      </c>
    </row>
    <row r="16" spans="1:20" x14ac:dyDescent="0.25">
      <c r="A16" t="s">
        <v>90</v>
      </c>
      <c r="B16" t="s">
        <v>318</v>
      </c>
      <c r="C16" t="s">
        <v>91</v>
      </c>
      <c r="D16" t="s">
        <v>92</v>
      </c>
      <c r="E16" t="s">
        <v>93</v>
      </c>
      <c r="F16">
        <v>3.3307691720815802</v>
      </c>
      <c r="G16">
        <v>13</v>
      </c>
      <c r="H16">
        <v>7500</v>
      </c>
      <c r="I16">
        <v>7500</v>
      </c>
      <c r="J16" t="s">
        <v>20</v>
      </c>
      <c r="K16" t="s">
        <v>22</v>
      </c>
      <c r="L16" t="s">
        <v>21</v>
      </c>
      <c r="O16">
        <v>1</v>
      </c>
      <c r="P16">
        <v>3</v>
      </c>
      <c r="Q16">
        <v>3.3307691720815802</v>
      </c>
      <c r="R16" t="s">
        <v>23</v>
      </c>
      <c r="S16">
        <f>F16/I16*1000</f>
        <v>0.44410255627754402</v>
      </c>
      <c r="T16">
        <f>P16/I16*1000</f>
        <v>0.4</v>
      </c>
    </row>
    <row r="17" spans="1:20" x14ac:dyDescent="0.25">
      <c r="A17" t="s">
        <v>86</v>
      </c>
      <c r="B17" t="s">
        <v>317</v>
      </c>
      <c r="C17" t="s">
        <v>87</v>
      </c>
      <c r="D17" t="s">
        <v>88</v>
      </c>
      <c r="E17" t="s">
        <v>89</v>
      </c>
      <c r="F17">
        <v>6.2312498092651296</v>
      </c>
      <c r="G17">
        <v>16</v>
      </c>
      <c r="H17">
        <v>8000</v>
      </c>
      <c r="I17">
        <v>8000</v>
      </c>
      <c r="J17" t="s">
        <v>20</v>
      </c>
      <c r="K17" t="s">
        <v>21</v>
      </c>
      <c r="L17" t="s">
        <v>22</v>
      </c>
      <c r="O17">
        <v>1</v>
      </c>
      <c r="P17">
        <v>2.2000000000000002</v>
      </c>
      <c r="Q17">
        <v>6.2312498092651296</v>
      </c>
      <c r="R17" t="s">
        <v>23</v>
      </c>
      <c r="S17">
        <f>F17/I17*1000</f>
        <v>0.7789062261581412</v>
      </c>
      <c r="T17">
        <f>P17/I17*1000</f>
        <v>0.27500000000000002</v>
      </c>
    </row>
    <row r="18" spans="1:20" x14ac:dyDescent="0.25">
      <c r="A18" t="s">
        <v>55</v>
      </c>
      <c r="B18" t="s">
        <v>314</v>
      </c>
      <c r="C18" t="s">
        <v>56</v>
      </c>
      <c r="D18" t="s">
        <v>57</v>
      </c>
      <c r="E18" t="s">
        <v>58</v>
      </c>
      <c r="F18">
        <v>7.3571428571428497</v>
      </c>
      <c r="G18">
        <v>14</v>
      </c>
      <c r="H18">
        <v>10000</v>
      </c>
      <c r="I18">
        <v>10000</v>
      </c>
      <c r="J18" t="s">
        <v>20</v>
      </c>
      <c r="K18" t="s">
        <v>22</v>
      </c>
      <c r="L18" t="s">
        <v>21</v>
      </c>
      <c r="O18">
        <v>1</v>
      </c>
      <c r="P18">
        <v>2.1</v>
      </c>
      <c r="Q18">
        <v>7.3571428571428497</v>
      </c>
      <c r="R18" t="s">
        <v>23</v>
      </c>
      <c r="S18">
        <f>F18/I18*1000</f>
        <v>0.73571428571428499</v>
      </c>
      <c r="T18">
        <f>P18/I18*1000</f>
        <v>0.21000000000000002</v>
      </c>
    </row>
    <row r="19" spans="1:20" x14ac:dyDescent="0.25">
      <c r="A19" t="s">
        <v>116</v>
      </c>
      <c r="B19" t="s">
        <v>74</v>
      </c>
      <c r="C19" t="s">
        <v>117</v>
      </c>
      <c r="D19" t="s">
        <v>118</v>
      </c>
      <c r="E19" t="s">
        <v>119</v>
      </c>
      <c r="F19">
        <v>3.4249999523162802</v>
      </c>
      <c r="G19">
        <v>8</v>
      </c>
      <c r="H19">
        <v>6000</v>
      </c>
      <c r="I19">
        <v>6000</v>
      </c>
      <c r="J19" t="s">
        <v>20</v>
      </c>
      <c r="K19" t="s">
        <v>21</v>
      </c>
      <c r="L19" t="s">
        <v>22</v>
      </c>
      <c r="P19">
        <v>1.6</v>
      </c>
      <c r="Q19">
        <v>3.4249999523162802</v>
      </c>
      <c r="R19" t="s">
        <v>23</v>
      </c>
      <c r="S19">
        <f>F19/I19*1000</f>
        <v>0.5708333253860467</v>
      </c>
      <c r="T19">
        <f>P19/I19*1000</f>
        <v>0.26666666666666666</v>
      </c>
    </row>
    <row r="20" spans="1:20" x14ac:dyDescent="0.25">
      <c r="A20" t="s">
        <v>271</v>
      </c>
      <c r="B20" t="s">
        <v>74</v>
      </c>
      <c r="C20" t="s">
        <v>272</v>
      </c>
      <c r="D20" t="s">
        <v>273</v>
      </c>
      <c r="E20" t="s">
        <v>274</v>
      </c>
      <c r="F20">
        <v>1.30000003178914</v>
      </c>
      <c r="G20">
        <v>3</v>
      </c>
      <c r="H20">
        <v>5000</v>
      </c>
      <c r="I20">
        <v>5000</v>
      </c>
      <c r="J20" t="s">
        <v>20</v>
      </c>
      <c r="K20" t="s">
        <v>21</v>
      </c>
      <c r="L20" t="s">
        <v>22</v>
      </c>
      <c r="P20">
        <v>1.4</v>
      </c>
      <c r="Q20">
        <v>1.30000003178914</v>
      </c>
      <c r="R20" t="s">
        <v>23</v>
      </c>
      <c r="S20">
        <f>F20/I20*1000</f>
        <v>0.26000000635782805</v>
      </c>
      <c r="T20">
        <f>P20/I20*1000</f>
        <v>0.27999999999999997</v>
      </c>
    </row>
    <row r="21" spans="1:20" x14ac:dyDescent="0.25">
      <c r="A21" t="s">
        <v>39</v>
      </c>
      <c r="B21" t="s">
        <v>315</v>
      </c>
      <c r="C21" t="s">
        <v>40</v>
      </c>
      <c r="D21" t="s">
        <v>41</v>
      </c>
      <c r="E21" t="s">
        <v>42</v>
      </c>
      <c r="F21">
        <v>10.799999530498701</v>
      </c>
      <c r="G21">
        <v>13</v>
      </c>
      <c r="H21">
        <v>12000</v>
      </c>
      <c r="I21">
        <v>12000</v>
      </c>
      <c r="J21" t="s">
        <v>20</v>
      </c>
      <c r="K21" t="s">
        <v>22</v>
      </c>
      <c r="L21" t="s">
        <v>21</v>
      </c>
      <c r="O21">
        <v>1</v>
      </c>
      <c r="P21">
        <v>0.5</v>
      </c>
      <c r="Q21">
        <v>10.799999530498701</v>
      </c>
      <c r="R21" t="s">
        <v>23</v>
      </c>
      <c r="S21">
        <f>F21/I21*1000</f>
        <v>0.89999996087489176</v>
      </c>
      <c r="T21">
        <f>P21/I21*1000</f>
        <v>4.1666666666666664E-2</v>
      </c>
    </row>
    <row r="22" spans="1:20" x14ac:dyDescent="0.25">
      <c r="A22" t="s">
        <v>104</v>
      </c>
      <c r="B22" t="s">
        <v>44</v>
      </c>
      <c r="C22" t="s">
        <v>105</v>
      </c>
      <c r="D22" t="s">
        <v>106</v>
      </c>
      <c r="E22" t="s">
        <v>107</v>
      </c>
      <c r="F22">
        <v>2.6166666348775198</v>
      </c>
      <c r="G22">
        <v>12</v>
      </c>
      <c r="H22">
        <v>6500</v>
      </c>
      <c r="I22">
        <v>6500</v>
      </c>
      <c r="J22" t="s">
        <v>20</v>
      </c>
      <c r="K22" t="s">
        <v>22</v>
      </c>
      <c r="L22" t="s">
        <v>21</v>
      </c>
      <c r="P22">
        <v>0.1</v>
      </c>
      <c r="Q22">
        <v>2.6166666348775198</v>
      </c>
      <c r="R22" t="s">
        <v>23</v>
      </c>
      <c r="S22">
        <f>F22/I22*1000</f>
        <v>0.40256409767346457</v>
      </c>
      <c r="T22">
        <f>P22/I22*1000</f>
        <v>1.5384615384615384E-2</v>
      </c>
    </row>
    <row r="23" spans="1:20" x14ac:dyDescent="0.25">
      <c r="A23" t="s">
        <v>43</v>
      </c>
      <c r="B23" t="s">
        <v>313</v>
      </c>
      <c r="C23" t="s">
        <v>19</v>
      </c>
      <c r="D23" t="s">
        <v>45</v>
      </c>
      <c r="E23" t="s">
        <v>46</v>
      </c>
      <c r="F23">
        <v>14.4375</v>
      </c>
      <c r="G23">
        <v>16</v>
      </c>
      <c r="H23">
        <v>11500</v>
      </c>
      <c r="I23">
        <v>11500</v>
      </c>
      <c r="J23" t="s">
        <v>20</v>
      </c>
      <c r="K23" t="s">
        <v>21</v>
      </c>
      <c r="L23" t="s">
        <v>22</v>
      </c>
      <c r="M23" t="s">
        <v>33</v>
      </c>
      <c r="N23" t="s">
        <v>34</v>
      </c>
      <c r="O23">
        <v>1</v>
      </c>
      <c r="P23">
        <v>0</v>
      </c>
      <c r="Q23">
        <v>14.4375</v>
      </c>
      <c r="R23" t="s">
        <v>23</v>
      </c>
      <c r="S23">
        <f>F23/I23*1000</f>
        <v>1.2554347826086956</v>
      </c>
      <c r="T23">
        <f>P23/I23*1000</f>
        <v>0</v>
      </c>
    </row>
    <row r="24" spans="1:20" x14ac:dyDescent="0.25">
      <c r="A24" t="s">
        <v>82</v>
      </c>
      <c r="B24" t="s">
        <v>317</v>
      </c>
      <c r="C24" t="s">
        <v>83</v>
      </c>
      <c r="D24" t="s">
        <v>84</v>
      </c>
      <c r="E24" t="s">
        <v>85</v>
      </c>
      <c r="F24">
        <v>6.4250001907348597</v>
      </c>
      <c r="G24">
        <v>16</v>
      </c>
      <c r="H24">
        <v>8000</v>
      </c>
      <c r="I24">
        <v>8000</v>
      </c>
      <c r="J24" t="s">
        <v>20</v>
      </c>
      <c r="K24" t="s">
        <v>22</v>
      </c>
      <c r="L24" t="s">
        <v>21</v>
      </c>
      <c r="O24">
        <v>1</v>
      </c>
      <c r="P24">
        <v>0</v>
      </c>
      <c r="Q24">
        <v>6.4250001907348597</v>
      </c>
      <c r="R24" t="s">
        <v>23</v>
      </c>
      <c r="S24">
        <f>F24/I24*1000</f>
        <v>0.80312502384185747</v>
      </c>
      <c r="T24">
        <f>P24/I24*1000</f>
        <v>0</v>
      </c>
    </row>
    <row r="25" spans="1:20" x14ac:dyDescent="0.25">
      <c r="A25" t="s">
        <v>165</v>
      </c>
      <c r="B25" t="s">
        <v>318</v>
      </c>
      <c r="C25" t="s">
        <v>166</v>
      </c>
      <c r="D25" t="s">
        <v>167</v>
      </c>
      <c r="E25" t="s">
        <v>93</v>
      </c>
      <c r="F25">
        <v>0.26666667064030902</v>
      </c>
      <c r="G25">
        <v>6</v>
      </c>
      <c r="H25">
        <v>5000</v>
      </c>
      <c r="I25">
        <v>5000</v>
      </c>
      <c r="J25" t="s">
        <v>20</v>
      </c>
      <c r="K25" t="s">
        <v>21</v>
      </c>
      <c r="L25" t="s">
        <v>22</v>
      </c>
      <c r="O25">
        <v>1</v>
      </c>
      <c r="P25">
        <v>0</v>
      </c>
      <c r="Q25">
        <v>0.26666667064030902</v>
      </c>
      <c r="R25" t="s">
        <v>23</v>
      </c>
      <c r="S25">
        <f>F25/I25*1000</f>
        <v>5.3333334128061807E-2</v>
      </c>
      <c r="T25">
        <f>P25/I25*1000</f>
        <v>0</v>
      </c>
    </row>
    <row r="26" spans="1:20" x14ac:dyDescent="0.25">
      <c r="A26" t="s">
        <v>192</v>
      </c>
      <c r="B26" t="s">
        <v>16</v>
      </c>
      <c r="C26" t="s">
        <v>193</v>
      </c>
      <c r="D26" t="s">
        <v>194</v>
      </c>
      <c r="E26" t="s">
        <v>38</v>
      </c>
      <c r="G26">
        <v>0</v>
      </c>
      <c r="H26">
        <v>5000</v>
      </c>
      <c r="I26">
        <v>5000</v>
      </c>
      <c r="J26" t="s">
        <v>20</v>
      </c>
      <c r="K26" t="s">
        <v>22</v>
      </c>
      <c r="L26" t="s">
        <v>21</v>
      </c>
      <c r="M26" t="s">
        <v>147</v>
      </c>
      <c r="N26" t="s">
        <v>195</v>
      </c>
      <c r="P26">
        <v>0</v>
      </c>
      <c r="R26" t="s">
        <v>23</v>
      </c>
      <c r="S26">
        <f>F26/I26*1000</f>
        <v>0</v>
      </c>
      <c r="T26">
        <f>P26/I26*1000</f>
        <v>0</v>
      </c>
    </row>
    <row r="27" spans="1:20" x14ac:dyDescent="0.25">
      <c r="A27" t="s">
        <v>101</v>
      </c>
      <c r="B27" t="s">
        <v>44</v>
      </c>
      <c r="C27" t="s">
        <v>102</v>
      </c>
      <c r="D27" t="s">
        <v>103</v>
      </c>
      <c r="E27" t="s">
        <v>93</v>
      </c>
      <c r="F27">
        <v>0</v>
      </c>
      <c r="G27">
        <v>3</v>
      </c>
      <c r="H27">
        <v>7000</v>
      </c>
      <c r="I27">
        <v>7000</v>
      </c>
      <c r="J27" t="s">
        <v>20</v>
      </c>
      <c r="K27" t="s">
        <v>21</v>
      </c>
      <c r="L27" t="s">
        <v>22</v>
      </c>
      <c r="Q27">
        <v>0</v>
      </c>
      <c r="R27" t="s">
        <v>23</v>
      </c>
      <c r="S27">
        <f>F27/I27*1000</f>
        <v>0</v>
      </c>
    </row>
    <row r="28" spans="1:20" x14ac:dyDescent="0.25">
      <c r="A28" t="s">
        <v>108</v>
      </c>
      <c r="B28" t="s">
        <v>74</v>
      </c>
      <c r="C28" t="s">
        <v>109</v>
      </c>
      <c r="D28" t="s">
        <v>110</v>
      </c>
      <c r="E28" t="s">
        <v>111</v>
      </c>
      <c r="F28">
        <v>2.7307692307692299</v>
      </c>
      <c r="G28">
        <v>13</v>
      </c>
      <c r="H28">
        <v>6500</v>
      </c>
      <c r="I28">
        <v>6500</v>
      </c>
      <c r="J28" t="s">
        <v>20</v>
      </c>
      <c r="K28" t="s">
        <v>22</v>
      </c>
      <c r="L28" t="s">
        <v>21</v>
      </c>
      <c r="Q28">
        <v>2.7307692307692299</v>
      </c>
      <c r="R28" t="s">
        <v>23</v>
      </c>
      <c r="S28">
        <f>F28/I28*1000</f>
        <v>0.42011834319526614</v>
      </c>
    </row>
    <row r="29" spans="1:20" x14ac:dyDescent="0.25">
      <c r="A29" t="s">
        <v>112</v>
      </c>
      <c r="B29" t="s">
        <v>74</v>
      </c>
      <c r="C29" t="s">
        <v>113</v>
      </c>
      <c r="D29" t="s">
        <v>114</v>
      </c>
      <c r="E29" t="s">
        <v>115</v>
      </c>
      <c r="F29">
        <v>1.8571428571428501</v>
      </c>
      <c r="G29">
        <v>7</v>
      </c>
      <c r="H29">
        <v>6000</v>
      </c>
      <c r="I29">
        <v>6000</v>
      </c>
      <c r="J29" t="s">
        <v>20</v>
      </c>
      <c r="K29" t="s">
        <v>22</v>
      </c>
      <c r="L29" t="s">
        <v>21</v>
      </c>
      <c r="Q29">
        <v>1.8571428571428501</v>
      </c>
      <c r="R29" t="s">
        <v>23</v>
      </c>
      <c r="S29">
        <f>F29/I29*1000</f>
        <v>0.30952380952380837</v>
      </c>
    </row>
    <row r="30" spans="1:20" x14ac:dyDescent="0.25">
      <c r="A30" t="s">
        <v>129</v>
      </c>
      <c r="B30" t="s">
        <v>16</v>
      </c>
      <c r="C30" t="s">
        <v>130</v>
      </c>
      <c r="D30" t="s">
        <v>131</v>
      </c>
      <c r="E30" t="s">
        <v>132</v>
      </c>
      <c r="F30">
        <v>1.8799999237060501</v>
      </c>
      <c r="G30">
        <v>5</v>
      </c>
      <c r="H30">
        <v>5500</v>
      </c>
      <c r="I30">
        <v>5500</v>
      </c>
      <c r="J30" t="s">
        <v>20</v>
      </c>
      <c r="K30" t="s">
        <v>22</v>
      </c>
      <c r="L30" t="s">
        <v>21</v>
      </c>
      <c r="Q30">
        <v>1.8799999237060501</v>
      </c>
      <c r="R30" t="s">
        <v>23</v>
      </c>
      <c r="S30">
        <f>F30/I30*1000</f>
        <v>0.34181816794655456</v>
      </c>
    </row>
    <row r="31" spans="1:20" x14ac:dyDescent="0.25">
      <c r="A31" t="s">
        <v>125</v>
      </c>
      <c r="B31" t="s">
        <v>74</v>
      </c>
      <c r="C31" t="s">
        <v>126</v>
      </c>
      <c r="D31" t="s">
        <v>127</v>
      </c>
      <c r="E31" t="s">
        <v>128</v>
      </c>
      <c r="F31">
        <v>1.8571428571428501</v>
      </c>
      <c r="G31">
        <v>7</v>
      </c>
      <c r="H31">
        <v>5500</v>
      </c>
      <c r="I31">
        <v>5500</v>
      </c>
      <c r="J31" t="s">
        <v>20</v>
      </c>
      <c r="K31" t="s">
        <v>22</v>
      </c>
      <c r="L31" t="s">
        <v>21</v>
      </c>
      <c r="Q31">
        <v>1.8571428571428501</v>
      </c>
      <c r="R31" t="s">
        <v>23</v>
      </c>
      <c r="S31">
        <f>F31/I31*1000</f>
        <v>0.33766233766233639</v>
      </c>
    </row>
    <row r="32" spans="1:20" x14ac:dyDescent="0.25">
      <c r="A32" t="s">
        <v>133</v>
      </c>
      <c r="B32" t="s">
        <v>16</v>
      </c>
      <c r="C32" t="s">
        <v>134</v>
      </c>
      <c r="D32" t="s">
        <v>135</v>
      </c>
      <c r="E32" t="s">
        <v>136</v>
      </c>
      <c r="F32">
        <v>1.5874999761581401</v>
      </c>
      <c r="G32">
        <v>8</v>
      </c>
      <c r="H32">
        <v>5500</v>
      </c>
      <c r="I32">
        <v>5500</v>
      </c>
      <c r="J32" t="s">
        <v>20</v>
      </c>
      <c r="K32" t="s">
        <v>21</v>
      </c>
      <c r="L32" t="s">
        <v>22</v>
      </c>
      <c r="M32" t="s">
        <v>137</v>
      </c>
      <c r="N32" t="s">
        <v>138</v>
      </c>
      <c r="Q32">
        <v>1.5874999761581401</v>
      </c>
      <c r="R32" t="s">
        <v>23</v>
      </c>
      <c r="S32">
        <f>F32/I32*1000</f>
        <v>0.28863635930148002</v>
      </c>
    </row>
    <row r="33" spans="1:19" x14ac:dyDescent="0.25">
      <c r="A33" t="s">
        <v>208</v>
      </c>
      <c r="B33" t="s">
        <v>25</v>
      </c>
      <c r="C33" t="s">
        <v>209</v>
      </c>
      <c r="D33" t="s">
        <v>210</v>
      </c>
      <c r="E33" t="s">
        <v>211</v>
      </c>
      <c r="F33">
        <v>12.3139999389648</v>
      </c>
      <c r="G33">
        <v>10</v>
      </c>
      <c r="H33">
        <v>5000</v>
      </c>
      <c r="I33">
        <v>5000</v>
      </c>
      <c r="J33" t="s">
        <v>20</v>
      </c>
      <c r="K33" t="s">
        <v>22</v>
      </c>
      <c r="L33" t="s">
        <v>21</v>
      </c>
      <c r="Q33">
        <v>12.3139999389648</v>
      </c>
      <c r="R33" t="s">
        <v>23</v>
      </c>
      <c r="S33">
        <f>F33/I33*1000</f>
        <v>2.4627999877929603</v>
      </c>
    </row>
    <row r="34" spans="1:19" x14ac:dyDescent="0.25">
      <c r="A34" t="s">
        <v>143</v>
      </c>
      <c r="B34" t="s">
        <v>44</v>
      </c>
      <c r="C34" t="s">
        <v>144</v>
      </c>
      <c r="D34" t="s">
        <v>145</v>
      </c>
      <c r="E34" t="s">
        <v>146</v>
      </c>
      <c r="F34">
        <v>8.8000001907348597</v>
      </c>
      <c r="G34">
        <v>8</v>
      </c>
      <c r="H34">
        <v>5000</v>
      </c>
      <c r="I34">
        <v>5000</v>
      </c>
      <c r="J34" t="s">
        <v>20</v>
      </c>
      <c r="K34" t="s">
        <v>21</v>
      </c>
      <c r="L34" t="s">
        <v>22</v>
      </c>
      <c r="M34" t="s">
        <v>147</v>
      </c>
      <c r="N34" t="s">
        <v>148</v>
      </c>
      <c r="Q34">
        <v>8.8000001907348597</v>
      </c>
      <c r="R34" t="s">
        <v>23</v>
      </c>
      <c r="S34">
        <f>F34/I34*1000</f>
        <v>1.760000038146972</v>
      </c>
    </row>
    <row r="35" spans="1:19" x14ac:dyDescent="0.25">
      <c r="A35" t="s">
        <v>224</v>
      </c>
      <c r="B35" t="s">
        <v>60</v>
      </c>
      <c r="C35" t="s">
        <v>225</v>
      </c>
      <c r="D35" t="s">
        <v>226</v>
      </c>
      <c r="E35" t="s">
        <v>227</v>
      </c>
      <c r="F35">
        <v>7.8333333333333304</v>
      </c>
      <c r="G35">
        <v>12</v>
      </c>
      <c r="H35">
        <v>5000</v>
      </c>
      <c r="I35">
        <v>5000</v>
      </c>
      <c r="J35" t="s">
        <v>20</v>
      </c>
      <c r="K35" t="s">
        <v>21</v>
      </c>
      <c r="L35" t="s">
        <v>22</v>
      </c>
      <c r="M35" t="s">
        <v>147</v>
      </c>
      <c r="N35" t="s">
        <v>124</v>
      </c>
      <c r="Q35">
        <v>7.8333333333333304</v>
      </c>
      <c r="R35" t="s">
        <v>23</v>
      </c>
      <c r="S35">
        <f>F35/I35*1000</f>
        <v>1.566666666666666</v>
      </c>
    </row>
    <row r="36" spans="1:19" x14ac:dyDescent="0.25">
      <c r="A36" t="s">
        <v>204</v>
      </c>
      <c r="B36" t="s">
        <v>44</v>
      </c>
      <c r="C36" t="s">
        <v>205</v>
      </c>
      <c r="D36" t="s">
        <v>206</v>
      </c>
      <c r="E36" t="s">
        <v>207</v>
      </c>
      <c r="F36">
        <v>6.25</v>
      </c>
      <c r="G36">
        <v>2</v>
      </c>
      <c r="H36">
        <v>5000</v>
      </c>
      <c r="I36">
        <v>5000</v>
      </c>
      <c r="J36" t="s">
        <v>20</v>
      </c>
      <c r="K36" t="s">
        <v>22</v>
      </c>
      <c r="L36" t="s">
        <v>21</v>
      </c>
      <c r="Q36">
        <v>6.25</v>
      </c>
      <c r="R36" t="s">
        <v>23</v>
      </c>
      <c r="S36">
        <f>F36/I36*1000</f>
        <v>1.25</v>
      </c>
    </row>
    <row r="37" spans="1:19" x14ac:dyDescent="0.25">
      <c r="A37" t="s">
        <v>240</v>
      </c>
      <c r="B37" t="s">
        <v>16</v>
      </c>
      <c r="C37" t="s">
        <v>241</v>
      </c>
      <c r="D37" t="s">
        <v>242</v>
      </c>
      <c r="E37" t="s">
        <v>243</v>
      </c>
      <c r="F37">
        <v>5.06666660308837</v>
      </c>
      <c r="G37">
        <v>6</v>
      </c>
      <c r="H37">
        <v>5000</v>
      </c>
      <c r="I37">
        <v>5000</v>
      </c>
      <c r="J37" t="s">
        <v>20</v>
      </c>
      <c r="K37" t="s">
        <v>22</v>
      </c>
      <c r="L37" t="s">
        <v>21</v>
      </c>
      <c r="Q37">
        <v>5.06666660308837</v>
      </c>
      <c r="R37" t="s">
        <v>23</v>
      </c>
      <c r="S37">
        <f>F37/I37*1000</f>
        <v>1.013333320617674</v>
      </c>
    </row>
    <row r="38" spans="1:19" x14ac:dyDescent="0.25">
      <c r="A38" t="s">
        <v>231</v>
      </c>
      <c r="B38" t="s">
        <v>74</v>
      </c>
      <c r="C38" t="s">
        <v>232</v>
      </c>
      <c r="D38" t="s">
        <v>233</v>
      </c>
      <c r="E38" t="s">
        <v>234</v>
      </c>
      <c r="F38">
        <v>3.2249999046325599</v>
      </c>
      <c r="G38">
        <v>8</v>
      </c>
      <c r="H38">
        <v>5000</v>
      </c>
      <c r="I38">
        <v>5000</v>
      </c>
      <c r="J38" t="s">
        <v>20</v>
      </c>
      <c r="K38" t="s">
        <v>21</v>
      </c>
      <c r="L38" t="s">
        <v>22</v>
      </c>
      <c r="M38" t="s">
        <v>147</v>
      </c>
      <c r="N38" t="s">
        <v>235</v>
      </c>
      <c r="Q38">
        <v>3.2249999046325599</v>
      </c>
      <c r="R38" t="s">
        <v>23</v>
      </c>
      <c r="S38">
        <f>F38/I38*1000</f>
        <v>0.6449999809265119</v>
      </c>
    </row>
    <row r="39" spans="1:19" x14ac:dyDescent="0.25">
      <c r="A39" t="s">
        <v>295</v>
      </c>
      <c r="B39" t="s">
        <v>16</v>
      </c>
      <c r="C39" t="s">
        <v>296</v>
      </c>
      <c r="D39" t="s">
        <v>297</v>
      </c>
      <c r="E39" t="s">
        <v>298</v>
      </c>
      <c r="F39">
        <v>3.0272726579145899</v>
      </c>
      <c r="G39">
        <v>11</v>
      </c>
      <c r="H39">
        <v>5000</v>
      </c>
      <c r="I39">
        <v>5000</v>
      </c>
      <c r="J39" t="s">
        <v>20</v>
      </c>
      <c r="K39" t="s">
        <v>22</v>
      </c>
      <c r="L39" t="s">
        <v>21</v>
      </c>
      <c r="Q39">
        <v>3.0272726579145899</v>
      </c>
      <c r="R39" t="s">
        <v>23</v>
      </c>
      <c r="S39">
        <f>F39/I39*1000</f>
        <v>0.60545453158291795</v>
      </c>
    </row>
    <row r="40" spans="1:19" x14ac:dyDescent="0.25">
      <c r="A40" t="s">
        <v>200</v>
      </c>
      <c r="B40" t="s">
        <v>16</v>
      </c>
      <c r="C40" t="s">
        <v>201</v>
      </c>
      <c r="D40" t="s">
        <v>202</v>
      </c>
      <c r="E40" t="s">
        <v>203</v>
      </c>
      <c r="F40">
        <v>1.8799999237060501</v>
      </c>
      <c r="G40">
        <v>5</v>
      </c>
      <c r="H40">
        <v>5000</v>
      </c>
      <c r="I40">
        <v>5000</v>
      </c>
      <c r="J40" t="s">
        <v>20</v>
      </c>
      <c r="K40" t="s">
        <v>22</v>
      </c>
      <c r="L40" t="s">
        <v>21</v>
      </c>
      <c r="Q40">
        <v>1.8799999237060501</v>
      </c>
      <c r="R40" t="s">
        <v>23</v>
      </c>
      <c r="S40">
        <f>F40/I40*1000</f>
        <v>0.37599998474121005</v>
      </c>
    </row>
    <row r="41" spans="1:19" x14ac:dyDescent="0.25">
      <c r="A41" t="s">
        <v>212</v>
      </c>
      <c r="B41" t="s">
        <v>16</v>
      </c>
      <c r="C41" t="s">
        <v>213</v>
      </c>
      <c r="D41" t="s">
        <v>214</v>
      </c>
      <c r="E41" t="s">
        <v>215</v>
      </c>
      <c r="F41">
        <v>1.3999999761581401</v>
      </c>
      <c r="G41">
        <v>1</v>
      </c>
      <c r="H41">
        <v>5000</v>
      </c>
      <c r="I41">
        <v>5000</v>
      </c>
      <c r="J41" t="s">
        <v>20</v>
      </c>
      <c r="K41" t="s">
        <v>22</v>
      </c>
      <c r="L41" t="s">
        <v>21</v>
      </c>
      <c r="Q41">
        <v>1.3999999761581401</v>
      </c>
      <c r="R41" t="s">
        <v>23</v>
      </c>
      <c r="S41">
        <f>F41/I41*1000</f>
        <v>0.27999999523162805</v>
      </c>
    </row>
    <row r="42" spans="1:19" x14ac:dyDescent="0.25">
      <c r="A42" t="s">
        <v>307</v>
      </c>
      <c r="B42" t="s">
        <v>16</v>
      </c>
      <c r="C42" t="s">
        <v>308</v>
      </c>
      <c r="D42" t="s">
        <v>309</v>
      </c>
      <c r="E42" t="s">
        <v>310</v>
      </c>
      <c r="F42">
        <v>1.3999999761581401</v>
      </c>
      <c r="G42">
        <v>1</v>
      </c>
      <c r="H42">
        <v>5000</v>
      </c>
      <c r="I42">
        <v>5000</v>
      </c>
      <c r="J42" t="s">
        <v>20</v>
      </c>
      <c r="K42" t="s">
        <v>21</v>
      </c>
      <c r="L42" t="s">
        <v>22</v>
      </c>
      <c r="Q42">
        <v>1.3999999761581401</v>
      </c>
      <c r="R42" t="s">
        <v>23</v>
      </c>
      <c r="S42">
        <f>F42/I42*1000</f>
        <v>0.27999999523162805</v>
      </c>
    </row>
    <row r="43" spans="1:19" x14ac:dyDescent="0.25">
      <c r="A43" t="s">
        <v>168</v>
      </c>
      <c r="B43" t="s">
        <v>44</v>
      </c>
      <c r="C43" t="s">
        <v>169</v>
      </c>
      <c r="D43" t="s">
        <v>170</v>
      </c>
      <c r="E43" t="s">
        <v>171</v>
      </c>
      <c r="F43">
        <v>0.98571429933820398</v>
      </c>
      <c r="G43">
        <v>14</v>
      </c>
      <c r="H43">
        <v>5000</v>
      </c>
      <c r="I43">
        <v>5000</v>
      </c>
      <c r="J43" t="s">
        <v>20</v>
      </c>
      <c r="K43" t="s">
        <v>22</v>
      </c>
      <c r="L43" t="s">
        <v>21</v>
      </c>
      <c r="Q43">
        <v>0.98571429933820398</v>
      </c>
      <c r="R43" t="s">
        <v>23</v>
      </c>
      <c r="S43">
        <f>F43/I43*1000</f>
        <v>0.1971428598676408</v>
      </c>
    </row>
    <row r="44" spans="1:19" x14ac:dyDescent="0.25">
      <c r="A44" t="s">
        <v>220</v>
      </c>
      <c r="B44" t="s">
        <v>44</v>
      </c>
      <c r="C44" t="s">
        <v>221</v>
      </c>
      <c r="D44" t="s">
        <v>222</v>
      </c>
      <c r="E44" t="s">
        <v>223</v>
      </c>
      <c r="F44">
        <v>0.73333334922790505</v>
      </c>
      <c r="G44">
        <v>3</v>
      </c>
      <c r="H44">
        <v>5000</v>
      </c>
      <c r="I44">
        <v>5000</v>
      </c>
      <c r="J44" t="s">
        <v>20</v>
      </c>
      <c r="K44" t="s">
        <v>22</v>
      </c>
      <c r="L44" t="s">
        <v>21</v>
      </c>
      <c r="Q44">
        <v>0.73333334922790505</v>
      </c>
      <c r="R44" t="s">
        <v>23</v>
      </c>
      <c r="S44">
        <f>F44/I44*1000</f>
        <v>0.14666666984558102</v>
      </c>
    </row>
    <row r="45" spans="1:19" x14ac:dyDescent="0.25">
      <c r="A45" t="s">
        <v>184</v>
      </c>
      <c r="B45" t="s">
        <v>16</v>
      </c>
      <c r="C45" t="s">
        <v>185</v>
      </c>
      <c r="D45" t="s">
        <v>186</v>
      </c>
      <c r="E45" t="s">
        <v>187</v>
      </c>
      <c r="F45">
        <v>0.71428571428571397</v>
      </c>
      <c r="G45">
        <v>7</v>
      </c>
      <c r="H45">
        <v>5000</v>
      </c>
      <c r="I45">
        <v>5000</v>
      </c>
      <c r="J45" t="s">
        <v>20</v>
      </c>
      <c r="K45" t="s">
        <v>21</v>
      </c>
      <c r="L45" t="s">
        <v>22</v>
      </c>
      <c r="M45" t="s">
        <v>33</v>
      </c>
      <c r="N45" t="s">
        <v>124</v>
      </c>
      <c r="Q45">
        <v>0.71428571428571397</v>
      </c>
      <c r="R45" t="s">
        <v>23</v>
      </c>
      <c r="S45">
        <f>F45/I45*1000</f>
        <v>0.14285714285714279</v>
      </c>
    </row>
    <row r="46" spans="1:19" x14ac:dyDescent="0.25">
      <c r="A46" t="s">
        <v>291</v>
      </c>
      <c r="B46" t="s">
        <v>16</v>
      </c>
      <c r="C46" t="s">
        <v>292</v>
      </c>
      <c r="D46" t="s">
        <v>293</v>
      </c>
      <c r="E46" t="s">
        <v>294</v>
      </c>
      <c r="F46">
        <v>0.69999998807907104</v>
      </c>
      <c r="G46">
        <v>1</v>
      </c>
      <c r="H46">
        <v>5000</v>
      </c>
      <c r="I46">
        <v>5000</v>
      </c>
      <c r="J46" t="s">
        <v>20</v>
      </c>
      <c r="K46" t="s">
        <v>21</v>
      </c>
      <c r="L46" t="s">
        <v>22</v>
      </c>
      <c r="Q46">
        <v>0.69999998807907104</v>
      </c>
      <c r="R46" t="s">
        <v>23</v>
      </c>
      <c r="S46">
        <f>F46/I46*1000</f>
        <v>0.13999999761581419</v>
      </c>
    </row>
    <row r="47" spans="1:19" x14ac:dyDescent="0.25">
      <c r="A47" t="s">
        <v>283</v>
      </c>
      <c r="B47" t="s">
        <v>44</v>
      </c>
      <c r="C47" t="s">
        <v>284</v>
      </c>
      <c r="D47" t="s">
        <v>285</v>
      </c>
      <c r="E47" t="s">
        <v>286</v>
      </c>
      <c r="F47">
        <v>0.56666668256123798</v>
      </c>
      <c r="G47">
        <v>3</v>
      </c>
      <c r="H47">
        <v>5000</v>
      </c>
      <c r="I47">
        <v>5000</v>
      </c>
      <c r="J47" t="s">
        <v>20</v>
      </c>
      <c r="K47" t="s">
        <v>22</v>
      </c>
      <c r="L47" t="s">
        <v>21</v>
      </c>
      <c r="Q47">
        <v>0.56666668256123798</v>
      </c>
      <c r="R47" t="s">
        <v>23</v>
      </c>
      <c r="S47">
        <f>F47/I47*1000</f>
        <v>0.1133333365122476</v>
      </c>
    </row>
    <row r="48" spans="1:19" x14ac:dyDescent="0.25">
      <c r="A48" t="s">
        <v>172</v>
      </c>
      <c r="B48" t="s">
        <v>44</v>
      </c>
      <c r="C48" t="s">
        <v>61</v>
      </c>
      <c r="D48" t="s">
        <v>173</v>
      </c>
      <c r="E48" t="s">
        <v>174</v>
      </c>
      <c r="F48">
        <v>0.40000000596046398</v>
      </c>
      <c r="G48">
        <v>4</v>
      </c>
      <c r="H48">
        <v>5000</v>
      </c>
      <c r="I48">
        <v>5000</v>
      </c>
      <c r="J48" t="s">
        <v>20</v>
      </c>
      <c r="K48" t="s">
        <v>21</v>
      </c>
      <c r="L48" t="s">
        <v>22</v>
      </c>
      <c r="M48" t="s">
        <v>147</v>
      </c>
      <c r="N48" t="s">
        <v>175</v>
      </c>
      <c r="Q48">
        <v>0.40000000596046398</v>
      </c>
      <c r="R48" t="s">
        <v>23</v>
      </c>
      <c r="S48">
        <f>F48/I48*1000</f>
        <v>8.0000001192092787E-2</v>
      </c>
    </row>
    <row r="49" spans="1:19" x14ac:dyDescent="0.25">
      <c r="A49" t="s">
        <v>279</v>
      </c>
      <c r="B49" t="s">
        <v>25</v>
      </c>
      <c r="C49" t="s">
        <v>280</v>
      </c>
      <c r="D49" t="s">
        <v>281</v>
      </c>
      <c r="E49" t="s">
        <v>282</v>
      </c>
      <c r="F49">
        <v>0.37999999523162797</v>
      </c>
      <c r="G49">
        <v>2</v>
      </c>
      <c r="H49">
        <v>5000</v>
      </c>
      <c r="I49">
        <v>5000</v>
      </c>
      <c r="J49" t="s">
        <v>20</v>
      </c>
      <c r="K49" t="s">
        <v>22</v>
      </c>
      <c r="L49" t="s">
        <v>21</v>
      </c>
      <c r="Q49">
        <v>0.37999999523162797</v>
      </c>
      <c r="R49" t="s">
        <v>23</v>
      </c>
      <c r="S49">
        <f>F49/I49*1000</f>
        <v>7.5999999046325595E-2</v>
      </c>
    </row>
    <row r="50" spans="1:19" x14ac:dyDescent="0.25">
      <c r="A50" t="s">
        <v>216</v>
      </c>
      <c r="B50" t="s">
        <v>25</v>
      </c>
      <c r="C50" t="s">
        <v>217</v>
      </c>
      <c r="D50" t="s">
        <v>218</v>
      </c>
      <c r="E50" t="s">
        <v>219</v>
      </c>
      <c r="F50">
        <v>0.34000000357627802</v>
      </c>
      <c r="G50">
        <v>2</v>
      </c>
      <c r="H50">
        <v>5000</v>
      </c>
      <c r="I50">
        <v>5000</v>
      </c>
      <c r="J50" t="s">
        <v>20</v>
      </c>
      <c r="K50" t="s">
        <v>21</v>
      </c>
      <c r="L50" t="s">
        <v>22</v>
      </c>
      <c r="Q50">
        <v>0.34000000357627802</v>
      </c>
      <c r="R50" t="s">
        <v>23</v>
      </c>
      <c r="S50">
        <f>F50/I50*1000</f>
        <v>6.8000000715255596E-2</v>
      </c>
    </row>
    <row r="51" spans="1:19" x14ac:dyDescent="0.25">
      <c r="A51" t="s">
        <v>149</v>
      </c>
      <c r="B51" t="s">
        <v>74</v>
      </c>
      <c r="C51" t="s">
        <v>150</v>
      </c>
      <c r="D51" t="s">
        <v>151</v>
      </c>
      <c r="E51" t="s">
        <v>152</v>
      </c>
      <c r="F51">
        <v>0</v>
      </c>
      <c r="G51">
        <v>2</v>
      </c>
      <c r="H51">
        <v>5000</v>
      </c>
      <c r="I51">
        <v>5000</v>
      </c>
      <c r="J51" t="s">
        <v>20</v>
      </c>
      <c r="K51" t="s">
        <v>21</v>
      </c>
      <c r="L51" t="s">
        <v>22</v>
      </c>
      <c r="Q51">
        <v>0</v>
      </c>
      <c r="R51" t="s">
        <v>23</v>
      </c>
      <c r="S51">
        <f>F51/I51*1000</f>
        <v>0</v>
      </c>
    </row>
    <row r="52" spans="1:19" x14ac:dyDescent="0.25">
      <c r="A52" t="s">
        <v>176</v>
      </c>
      <c r="B52" t="s">
        <v>44</v>
      </c>
      <c r="C52" t="s">
        <v>177</v>
      </c>
      <c r="D52" t="s">
        <v>178</v>
      </c>
      <c r="E52" t="s">
        <v>179</v>
      </c>
      <c r="F52">
        <v>0</v>
      </c>
      <c r="G52">
        <v>1</v>
      </c>
      <c r="H52">
        <v>5000</v>
      </c>
      <c r="I52">
        <v>5000</v>
      </c>
      <c r="J52" t="s">
        <v>20</v>
      </c>
      <c r="K52" t="s">
        <v>21</v>
      </c>
      <c r="L52" t="s">
        <v>22</v>
      </c>
      <c r="Q52">
        <v>0</v>
      </c>
      <c r="R52" t="s">
        <v>23</v>
      </c>
      <c r="S52">
        <f>F52/I52*1000</f>
        <v>0</v>
      </c>
    </row>
    <row r="53" spans="1:19" x14ac:dyDescent="0.25">
      <c r="A53" t="s">
        <v>256</v>
      </c>
      <c r="B53" t="s">
        <v>16</v>
      </c>
      <c r="C53" t="s">
        <v>257</v>
      </c>
      <c r="D53" t="s">
        <v>258</v>
      </c>
      <c r="E53" t="s">
        <v>259</v>
      </c>
      <c r="G53">
        <v>0</v>
      </c>
      <c r="H53">
        <v>5000</v>
      </c>
      <c r="I53">
        <v>5000</v>
      </c>
      <c r="J53" t="s">
        <v>20</v>
      </c>
      <c r="K53" t="s">
        <v>21</v>
      </c>
      <c r="L53" t="s">
        <v>22</v>
      </c>
      <c r="R53" t="s">
        <v>23</v>
      </c>
      <c r="S53">
        <f>F53/I53*1000</f>
        <v>0</v>
      </c>
    </row>
    <row r="54" spans="1:19" x14ac:dyDescent="0.25">
      <c r="A54" t="s">
        <v>180</v>
      </c>
      <c r="B54" t="s">
        <v>16</v>
      </c>
      <c r="C54" t="s">
        <v>181</v>
      </c>
      <c r="D54" t="s">
        <v>182</v>
      </c>
      <c r="E54" t="s">
        <v>183</v>
      </c>
      <c r="G54">
        <v>0</v>
      </c>
      <c r="H54">
        <v>5000</v>
      </c>
      <c r="I54">
        <v>5000</v>
      </c>
      <c r="J54" t="s">
        <v>20</v>
      </c>
      <c r="K54" t="s">
        <v>21</v>
      </c>
      <c r="L54" t="s">
        <v>22</v>
      </c>
      <c r="R54" t="s">
        <v>23</v>
      </c>
      <c r="S54">
        <f>F54/I54*1000</f>
        <v>0</v>
      </c>
    </row>
    <row r="55" spans="1:19" x14ac:dyDescent="0.25">
      <c r="A55" t="s">
        <v>153</v>
      </c>
      <c r="B55" t="s">
        <v>44</v>
      </c>
      <c r="C55" t="s">
        <v>154</v>
      </c>
      <c r="D55" t="s">
        <v>155</v>
      </c>
      <c r="E55" t="s">
        <v>156</v>
      </c>
      <c r="G55">
        <v>0</v>
      </c>
      <c r="H55">
        <v>5000</v>
      </c>
      <c r="I55">
        <v>5000</v>
      </c>
      <c r="J55" t="s">
        <v>20</v>
      </c>
      <c r="K55" t="s">
        <v>21</v>
      </c>
      <c r="L55" t="s">
        <v>22</v>
      </c>
      <c r="R55" t="s">
        <v>23</v>
      </c>
      <c r="S55">
        <f>F55/I55*1000</f>
        <v>0</v>
      </c>
    </row>
    <row r="56" spans="1:19" x14ac:dyDescent="0.25">
      <c r="A56" t="s">
        <v>252</v>
      </c>
      <c r="B56" t="s">
        <v>44</v>
      </c>
      <c r="C56" t="s">
        <v>253</v>
      </c>
      <c r="D56" t="s">
        <v>254</v>
      </c>
      <c r="E56" t="s">
        <v>255</v>
      </c>
      <c r="G56">
        <v>0</v>
      </c>
      <c r="H56">
        <v>5000</v>
      </c>
      <c r="I56">
        <v>5000</v>
      </c>
      <c r="J56" t="s">
        <v>20</v>
      </c>
      <c r="K56" t="s">
        <v>22</v>
      </c>
      <c r="L56" t="s">
        <v>21</v>
      </c>
      <c r="R56" t="s">
        <v>23</v>
      </c>
      <c r="S56">
        <f>F56/I56*1000</f>
        <v>0</v>
      </c>
    </row>
    <row r="57" spans="1:19" x14ac:dyDescent="0.25">
      <c r="A57" t="s">
        <v>248</v>
      </c>
      <c r="B57" t="s">
        <v>44</v>
      </c>
      <c r="C57" t="s">
        <v>249</v>
      </c>
      <c r="D57" t="s">
        <v>250</v>
      </c>
      <c r="E57" t="s">
        <v>251</v>
      </c>
      <c r="G57">
        <v>0</v>
      </c>
      <c r="H57">
        <v>5000</v>
      </c>
      <c r="I57">
        <v>5000</v>
      </c>
      <c r="J57" t="s">
        <v>20</v>
      </c>
      <c r="K57" t="s">
        <v>21</v>
      </c>
      <c r="L57" t="s">
        <v>22</v>
      </c>
      <c r="R57" t="s">
        <v>23</v>
      </c>
      <c r="S57">
        <f>F57/I57*1000</f>
        <v>0</v>
      </c>
    </row>
    <row r="58" spans="1:19" x14ac:dyDescent="0.25">
      <c r="A58" t="s">
        <v>188</v>
      </c>
      <c r="B58" t="s">
        <v>16</v>
      </c>
      <c r="C58" t="s">
        <v>189</v>
      </c>
      <c r="D58" t="s">
        <v>190</v>
      </c>
      <c r="E58" t="s">
        <v>191</v>
      </c>
      <c r="G58">
        <v>0</v>
      </c>
      <c r="H58">
        <v>5000</v>
      </c>
      <c r="I58">
        <v>5000</v>
      </c>
      <c r="J58" t="s">
        <v>20</v>
      </c>
      <c r="K58" t="s">
        <v>22</v>
      </c>
      <c r="L58" t="s">
        <v>21</v>
      </c>
      <c r="R58" t="s">
        <v>23</v>
      </c>
      <c r="S58">
        <f>F58/I58*1000</f>
        <v>0</v>
      </c>
    </row>
    <row r="59" spans="1:19" x14ac:dyDescent="0.25">
      <c r="A59" t="s">
        <v>139</v>
      </c>
      <c r="B59" t="s">
        <v>16</v>
      </c>
      <c r="C59" t="s">
        <v>140</v>
      </c>
      <c r="D59" t="s">
        <v>141</v>
      </c>
      <c r="E59" t="s">
        <v>142</v>
      </c>
      <c r="G59">
        <v>0</v>
      </c>
      <c r="H59">
        <v>5000</v>
      </c>
      <c r="I59">
        <v>5000</v>
      </c>
      <c r="J59" t="s">
        <v>20</v>
      </c>
      <c r="K59" t="s">
        <v>22</v>
      </c>
      <c r="L59" t="s">
        <v>21</v>
      </c>
      <c r="R59" t="s">
        <v>23</v>
      </c>
      <c r="S59">
        <f>F59/I59*1000</f>
        <v>0</v>
      </c>
    </row>
    <row r="60" spans="1:19" x14ac:dyDescent="0.25">
      <c r="A60" t="s">
        <v>299</v>
      </c>
      <c r="B60" t="s">
        <v>44</v>
      </c>
      <c r="C60" t="s">
        <v>300</v>
      </c>
      <c r="D60" t="s">
        <v>301</v>
      </c>
      <c r="E60" t="s">
        <v>302</v>
      </c>
      <c r="G60">
        <v>0</v>
      </c>
      <c r="H60">
        <v>5000</v>
      </c>
      <c r="I60">
        <v>5000</v>
      </c>
      <c r="J60" t="s">
        <v>20</v>
      </c>
      <c r="K60" t="s">
        <v>22</v>
      </c>
      <c r="L60" t="s">
        <v>21</v>
      </c>
      <c r="R60" t="s">
        <v>23</v>
      </c>
      <c r="S60">
        <f>F60/I60*1000</f>
        <v>0</v>
      </c>
    </row>
    <row r="61" spans="1:19" x14ac:dyDescent="0.25">
      <c r="A61" t="s">
        <v>157</v>
      </c>
      <c r="B61" t="s">
        <v>16</v>
      </c>
      <c r="C61" t="s">
        <v>158</v>
      </c>
      <c r="D61" t="s">
        <v>159</v>
      </c>
      <c r="E61" t="s">
        <v>50</v>
      </c>
      <c r="G61">
        <v>0</v>
      </c>
      <c r="H61">
        <v>5000</v>
      </c>
      <c r="I61">
        <v>5000</v>
      </c>
      <c r="J61" t="s">
        <v>20</v>
      </c>
      <c r="K61" t="s">
        <v>22</v>
      </c>
      <c r="L61" t="s">
        <v>21</v>
      </c>
      <c r="M61" t="s">
        <v>33</v>
      </c>
      <c r="N61" t="s">
        <v>160</v>
      </c>
      <c r="R61" t="s">
        <v>23</v>
      </c>
      <c r="S61">
        <f>F61/I61*1000</f>
        <v>0</v>
      </c>
    </row>
    <row r="62" spans="1:19" x14ac:dyDescent="0.25">
      <c r="A62" t="s">
        <v>196</v>
      </c>
      <c r="B62" t="s">
        <v>16</v>
      </c>
      <c r="C62" t="s">
        <v>197</v>
      </c>
      <c r="D62" t="s">
        <v>198</v>
      </c>
      <c r="E62" t="s">
        <v>199</v>
      </c>
      <c r="F62">
        <v>0</v>
      </c>
      <c r="G62">
        <v>2</v>
      </c>
      <c r="H62">
        <v>5000</v>
      </c>
      <c r="I62">
        <v>5000</v>
      </c>
      <c r="J62" t="s">
        <v>20</v>
      </c>
      <c r="K62" t="s">
        <v>22</v>
      </c>
      <c r="L62" t="s">
        <v>21</v>
      </c>
      <c r="Q62">
        <v>0</v>
      </c>
      <c r="R62" t="s">
        <v>23</v>
      </c>
      <c r="S62">
        <f>F62/I62*1000</f>
        <v>0</v>
      </c>
    </row>
    <row r="63" spans="1:19" x14ac:dyDescent="0.25">
      <c r="A63" t="s">
        <v>244</v>
      </c>
      <c r="B63" t="s">
        <v>16</v>
      </c>
      <c r="C63" t="s">
        <v>245</v>
      </c>
      <c r="D63" t="s">
        <v>246</v>
      </c>
      <c r="E63" t="s">
        <v>247</v>
      </c>
      <c r="G63">
        <v>0</v>
      </c>
      <c r="H63">
        <v>5000</v>
      </c>
      <c r="I63">
        <v>5000</v>
      </c>
      <c r="J63" t="s">
        <v>20</v>
      </c>
      <c r="K63" t="s">
        <v>22</v>
      </c>
      <c r="L63" t="s">
        <v>21</v>
      </c>
      <c r="R63" t="s">
        <v>23</v>
      </c>
      <c r="S63">
        <f>F63/I63*1000</f>
        <v>0</v>
      </c>
    </row>
    <row r="64" spans="1:19" x14ac:dyDescent="0.25">
      <c r="A64" t="s">
        <v>287</v>
      </c>
      <c r="B64" t="s">
        <v>25</v>
      </c>
      <c r="C64" t="s">
        <v>288</v>
      </c>
      <c r="D64" t="s">
        <v>289</v>
      </c>
      <c r="E64" t="s">
        <v>290</v>
      </c>
      <c r="G64">
        <v>0</v>
      </c>
      <c r="H64">
        <v>5000</v>
      </c>
      <c r="I64">
        <v>5000</v>
      </c>
      <c r="J64" t="s">
        <v>20</v>
      </c>
      <c r="K64" t="s">
        <v>21</v>
      </c>
      <c r="L64" t="s">
        <v>22</v>
      </c>
      <c r="R64" t="s">
        <v>23</v>
      </c>
      <c r="S64">
        <f>F64/I64*1000</f>
        <v>0</v>
      </c>
    </row>
    <row r="65" spans="1:19" x14ac:dyDescent="0.25">
      <c r="A65" t="s">
        <v>236</v>
      </c>
      <c r="B65" t="s">
        <v>16</v>
      </c>
      <c r="C65" t="s">
        <v>237</v>
      </c>
      <c r="D65" t="s">
        <v>238</v>
      </c>
      <c r="E65" t="s">
        <v>239</v>
      </c>
      <c r="G65">
        <v>0</v>
      </c>
      <c r="H65">
        <v>5000</v>
      </c>
      <c r="I65">
        <v>5000</v>
      </c>
      <c r="J65" t="s">
        <v>20</v>
      </c>
      <c r="K65" t="s">
        <v>22</v>
      </c>
      <c r="L65" t="s">
        <v>21</v>
      </c>
      <c r="R65" t="s">
        <v>23</v>
      </c>
      <c r="S65">
        <f>F65/I65*1000</f>
        <v>0</v>
      </c>
    </row>
    <row r="66" spans="1:19" x14ac:dyDescent="0.25">
      <c r="A66" t="s">
        <v>228</v>
      </c>
      <c r="B66" t="s">
        <v>74</v>
      </c>
      <c r="C66" t="s">
        <v>117</v>
      </c>
      <c r="D66" t="s">
        <v>229</v>
      </c>
      <c r="E66" t="s">
        <v>230</v>
      </c>
      <c r="G66">
        <v>0</v>
      </c>
      <c r="H66">
        <v>5000</v>
      </c>
      <c r="I66">
        <v>5000</v>
      </c>
      <c r="J66" t="s">
        <v>20</v>
      </c>
      <c r="K66" t="s">
        <v>21</v>
      </c>
      <c r="L66" t="s">
        <v>22</v>
      </c>
      <c r="R66" t="s">
        <v>23</v>
      </c>
      <c r="S66">
        <f>F66/I66*1000</f>
        <v>0</v>
      </c>
    </row>
    <row r="67" spans="1:19" x14ac:dyDescent="0.25">
      <c r="A67" t="s">
        <v>303</v>
      </c>
      <c r="B67" t="s">
        <v>44</v>
      </c>
      <c r="C67" t="s">
        <v>304</v>
      </c>
      <c r="D67" t="s">
        <v>305</v>
      </c>
      <c r="E67" t="s">
        <v>306</v>
      </c>
      <c r="G67">
        <v>0</v>
      </c>
      <c r="H67">
        <v>5000</v>
      </c>
      <c r="I67">
        <v>5000</v>
      </c>
      <c r="J67" t="s">
        <v>20</v>
      </c>
      <c r="K67" t="s">
        <v>21</v>
      </c>
      <c r="L67" t="s">
        <v>22</v>
      </c>
      <c r="R67" t="s">
        <v>23</v>
      </c>
      <c r="S67">
        <f>F67/I67*1000</f>
        <v>0</v>
      </c>
    </row>
    <row r="68" spans="1:19" x14ac:dyDescent="0.25">
      <c r="A68" t="s">
        <v>267</v>
      </c>
      <c r="B68" t="s">
        <v>16</v>
      </c>
      <c r="C68" t="s">
        <v>268</v>
      </c>
      <c r="D68" t="s">
        <v>269</v>
      </c>
      <c r="E68" t="s">
        <v>270</v>
      </c>
      <c r="G68">
        <v>0</v>
      </c>
      <c r="H68">
        <v>5000</v>
      </c>
      <c r="I68">
        <v>5000</v>
      </c>
      <c r="J68" t="s">
        <v>20</v>
      </c>
      <c r="K68" t="s">
        <v>21</v>
      </c>
      <c r="L68" t="s">
        <v>22</v>
      </c>
      <c r="R68" t="s">
        <v>23</v>
      </c>
      <c r="S68">
        <f>F68/I68*1000</f>
        <v>0</v>
      </c>
    </row>
    <row r="69" spans="1:19" x14ac:dyDescent="0.25">
      <c r="A69" t="s">
        <v>263</v>
      </c>
      <c r="B69" t="s">
        <v>74</v>
      </c>
      <c r="C69" t="s">
        <v>264</v>
      </c>
      <c r="D69" t="s">
        <v>265</v>
      </c>
      <c r="E69" t="s">
        <v>266</v>
      </c>
      <c r="G69">
        <v>0</v>
      </c>
      <c r="H69">
        <v>5000</v>
      </c>
      <c r="I69">
        <v>5000</v>
      </c>
      <c r="J69" t="s">
        <v>20</v>
      </c>
      <c r="K69" t="s">
        <v>22</v>
      </c>
      <c r="L69" t="s">
        <v>21</v>
      </c>
      <c r="R69" t="s">
        <v>23</v>
      </c>
      <c r="S69">
        <f>F69/I69*1000</f>
        <v>0</v>
      </c>
    </row>
    <row r="70" spans="1:19" x14ac:dyDescent="0.25">
      <c r="A70" t="s">
        <v>275</v>
      </c>
      <c r="B70" t="s">
        <v>16</v>
      </c>
      <c r="C70" t="s">
        <v>276</v>
      </c>
      <c r="D70" t="s">
        <v>277</v>
      </c>
      <c r="E70" t="s">
        <v>278</v>
      </c>
      <c r="G70">
        <v>0</v>
      </c>
      <c r="H70">
        <v>5000</v>
      </c>
      <c r="I70">
        <v>5000</v>
      </c>
      <c r="J70" t="s">
        <v>20</v>
      </c>
      <c r="K70" t="s">
        <v>22</v>
      </c>
      <c r="L70" t="s">
        <v>21</v>
      </c>
      <c r="R70" t="s">
        <v>23</v>
      </c>
      <c r="S70">
        <f>F70/I70*1000</f>
        <v>0</v>
      </c>
    </row>
    <row r="71" spans="1:19" x14ac:dyDescent="0.25">
      <c r="A71" t="s">
        <v>260</v>
      </c>
      <c r="B71" t="s">
        <v>74</v>
      </c>
      <c r="C71" t="s">
        <v>261</v>
      </c>
      <c r="D71" t="s">
        <v>262</v>
      </c>
      <c r="E71" t="s">
        <v>93</v>
      </c>
      <c r="F71">
        <v>0</v>
      </c>
      <c r="G71">
        <v>3</v>
      </c>
      <c r="H71">
        <v>5000</v>
      </c>
      <c r="I71">
        <v>5000</v>
      </c>
      <c r="J71" t="s">
        <v>20</v>
      </c>
      <c r="K71" t="s">
        <v>22</v>
      </c>
      <c r="L71" t="s">
        <v>21</v>
      </c>
      <c r="Q71">
        <v>0</v>
      </c>
      <c r="R71" t="s">
        <v>23</v>
      </c>
      <c r="S71">
        <f>F71/I71*1000</f>
        <v>0</v>
      </c>
    </row>
    <row r="72" spans="1:19" x14ac:dyDescent="0.25">
      <c r="A72" t="s">
        <v>161</v>
      </c>
      <c r="B72" t="s">
        <v>25</v>
      </c>
      <c r="C72" t="s">
        <v>162</v>
      </c>
      <c r="D72" t="s">
        <v>163</v>
      </c>
      <c r="E72" t="s">
        <v>164</v>
      </c>
      <c r="F72">
        <v>-0.10000000149011599</v>
      </c>
      <c r="G72">
        <v>2</v>
      </c>
      <c r="H72">
        <v>5000</v>
      </c>
      <c r="I72">
        <v>5000</v>
      </c>
      <c r="J72" t="s">
        <v>20</v>
      </c>
      <c r="K72" t="s">
        <v>21</v>
      </c>
      <c r="L72" t="s">
        <v>22</v>
      </c>
      <c r="Q72">
        <v>-0.10000000149011599</v>
      </c>
      <c r="R72" t="s">
        <v>23</v>
      </c>
      <c r="S72">
        <f>F72/I72*1000</f>
        <v>-2.0000000298023197E-2</v>
      </c>
    </row>
  </sheetData>
  <autoFilter ref="A1:R72"/>
  <sortState ref="A2:T1048530">
    <sortCondition descending="1" ref="P2:P1048530"/>
    <sortCondition descending="1" ref="I2:I104853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FanDuel-NFL-2025 EST-01 EST-04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created xsi:type="dcterms:W3CDTF">2025-01-04T16:50:41Z</dcterms:created>
  <dcterms:modified xsi:type="dcterms:W3CDTF">2025-08-09T17:01:03Z</dcterms:modified>
</cp:coreProperties>
</file>