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3\KC-NYG\"/>
    </mc:Choice>
  </mc:AlternateContent>
  <xr:revisionPtr revIDLastSave="0" documentId="13_ncr:1_{F8842076-BAF5-45A5-9A54-3DC66AF7204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21 " sheetId="1" r:id="rId1"/>
    <sheet name="Sheet1" sheetId="2" r:id="rId2"/>
  </sheets>
  <definedNames>
    <definedName name="_xlnm._FilterDatabase" localSheetId="0" hidden="1">'FanDuel-NFL-2025 EDT-09 EDT-21 '!$A$1:$S$54</definedName>
    <definedName name="_xlnm._FilterDatabase" localSheetId="1" hidden="1">Sheet1!$A$1:$G$32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2" i="2" l="1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H1" i="2"/>
  <c r="G1" i="2"/>
  <c r="B32" i="2" l="1"/>
  <c r="F32" i="2" s="1"/>
  <c r="B31" i="2"/>
  <c r="F31" i="2" s="1"/>
  <c r="B30" i="2"/>
  <c r="F30" i="2" s="1"/>
  <c r="B29" i="2"/>
  <c r="F29" i="2" s="1"/>
  <c r="B28" i="2"/>
  <c r="F28" i="2" s="1"/>
  <c r="B27" i="2"/>
  <c r="F27" i="2" s="1"/>
  <c r="B26" i="2"/>
  <c r="F26" i="2" s="1"/>
  <c r="B25" i="2"/>
  <c r="F25" i="2" s="1"/>
  <c r="B24" i="2"/>
  <c r="F24" i="2" s="1"/>
  <c r="B23" i="2"/>
  <c r="F23" i="2" s="1"/>
  <c r="B22" i="2"/>
  <c r="F22" i="2" s="1"/>
  <c r="B21" i="2"/>
  <c r="F21" i="2" s="1"/>
  <c r="B20" i="2"/>
  <c r="F20" i="2" s="1"/>
  <c r="B19" i="2"/>
  <c r="F19" i="2" s="1"/>
  <c r="B18" i="2"/>
  <c r="F18" i="2" s="1"/>
  <c r="B17" i="2"/>
  <c r="F17" i="2" s="1"/>
  <c r="B16" i="2"/>
  <c r="F16" i="2" s="1"/>
  <c r="B15" i="2"/>
  <c r="F15" i="2" s="1"/>
  <c r="B14" i="2"/>
  <c r="F14" i="2" s="1"/>
  <c r="B13" i="2"/>
  <c r="F13" i="2" s="1"/>
  <c r="B12" i="2"/>
  <c r="F12" i="2" s="1"/>
  <c r="B11" i="2"/>
  <c r="F11" i="2" s="1"/>
  <c r="B10" i="2"/>
  <c r="F10" i="2" s="1"/>
  <c r="B9" i="2"/>
  <c r="F9" i="2" s="1"/>
  <c r="B8" i="2"/>
  <c r="F8" i="2" s="1"/>
  <c r="B7" i="2"/>
  <c r="F7" i="2" s="1"/>
  <c r="B6" i="2"/>
  <c r="F6" i="2" s="1"/>
  <c r="B5" i="2"/>
  <c r="F5" i="2" s="1"/>
  <c r="B4" i="2"/>
  <c r="F4" i="2" s="1"/>
  <c r="B3" i="2"/>
  <c r="F3" i="2" s="1"/>
  <c r="B2" i="2"/>
  <c r="F2" i="2" s="1"/>
  <c r="B1" i="2"/>
  <c r="F1" i="2" s="1"/>
</calcChain>
</file>

<file path=xl/sharedStrings.xml><?xml version="1.0" encoding="utf-8"?>
<sst xmlns="http://schemas.openxmlformats.org/spreadsheetml/2006/main" count="583" uniqueCount="261">
  <si>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</si>
  <si>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</si>
  <si>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</si>
  <si>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</si>
  <si>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</si>
  <si>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</si>
  <si>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</si>
  <si>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</si>
  <si>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</si>
  <si>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</si>
  <si>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</si>
  <si>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</si>
  <si>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</si>
  <si>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</si>
  <si>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</si>
  <si>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</si>
  <si>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120720-151761</t>
  </si>
  <si>
    <t>WR</t>
  </si>
  <si>
    <t>Malik</t>
  </si>
  <si>
    <t>Malik Nabers</t>
  </si>
  <si>
    <t>Nabers</t>
  </si>
  <si>
    <t>KC@NYG</t>
  </si>
  <si>
    <t>NYG</t>
  </si>
  <si>
    <t>KC</t>
  </si>
  <si>
    <t>MVP - 1.5X Points/AnyFLEX</t>
  </si>
  <si>
    <t>120720-57439</t>
  </si>
  <si>
    <t>QB</t>
  </si>
  <si>
    <t>Patrick</t>
  </si>
  <si>
    <t>Patrick Mahomes</t>
  </si>
  <si>
    <t>Mahomes</t>
  </si>
  <si>
    <t>120720-22015</t>
  </si>
  <si>
    <t>Russell</t>
  </si>
  <si>
    <t>Russell Wilson</t>
  </si>
  <si>
    <t>Wilson</t>
  </si>
  <si>
    <t>120720-158974</t>
  </si>
  <si>
    <t>Xavier</t>
  </si>
  <si>
    <t>Xavier Worthy</t>
  </si>
  <si>
    <t>Worthy</t>
  </si>
  <si>
    <t>Q</t>
  </si>
  <si>
    <t>Shoulder - labrum</t>
  </si>
  <si>
    <t>120720-86687</t>
  </si>
  <si>
    <t>Hollywood</t>
  </si>
  <si>
    <t>Hollywood Brown</t>
  </si>
  <si>
    <t>Brown</t>
  </si>
  <si>
    <t>120720-33076</t>
  </si>
  <si>
    <t>TE</t>
  </si>
  <si>
    <t>Travis</t>
  </si>
  <si>
    <t>Travis Kelce</t>
  </si>
  <si>
    <t>Kelce</t>
  </si>
  <si>
    <t>120720-103539</t>
  </si>
  <si>
    <t>Wan'Dale</t>
  </si>
  <si>
    <t>Wan'Dale Robinson</t>
  </si>
  <si>
    <t>Robinson</t>
  </si>
  <si>
    <t>Foot</t>
  </si>
  <si>
    <t>120720-86153</t>
  </si>
  <si>
    <t>RB</t>
  </si>
  <si>
    <t>Tyrone</t>
  </si>
  <si>
    <t>Tyrone Tracy Jr.</t>
  </si>
  <si>
    <t>Tracy Jr.</t>
  </si>
  <si>
    <t>Calf</t>
  </si>
  <si>
    <t>120720-183240</t>
  </si>
  <si>
    <t>Cam</t>
  </si>
  <si>
    <t>Cam Skattebo</t>
  </si>
  <si>
    <t>Skattebo</t>
  </si>
  <si>
    <t>120720-92575</t>
  </si>
  <si>
    <t>Isiah</t>
  </si>
  <si>
    <t>Isiah Pacheco</t>
  </si>
  <si>
    <t>Pacheco</t>
  </si>
  <si>
    <t>120720-12536</t>
  </si>
  <si>
    <t>D</t>
  </si>
  <si>
    <t>Kansas City</t>
  </si>
  <si>
    <t>Kansas City Chiefs</t>
  </si>
  <si>
    <t>Chiefs</t>
  </si>
  <si>
    <t>120720-41642</t>
  </si>
  <si>
    <t>K</t>
  </si>
  <si>
    <t>Harrison</t>
  </si>
  <si>
    <t>Harrison Butker</t>
  </si>
  <si>
    <t>Butker</t>
  </si>
  <si>
    <t>120720-10744</t>
  </si>
  <si>
    <t>Graham</t>
  </si>
  <si>
    <t>Graham Gano</t>
  </si>
  <si>
    <t>Gano</t>
  </si>
  <si>
    <t>120720-12543</t>
  </si>
  <si>
    <t>New York</t>
  </si>
  <si>
    <t>New York Giants</t>
  </si>
  <si>
    <t>Giants</t>
  </si>
  <si>
    <t>120720-45229</t>
  </si>
  <si>
    <t>Kareem</t>
  </si>
  <si>
    <t>Kareem Hunt</t>
  </si>
  <si>
    <t>Hunt</t>
  </si>
  <si>
    <t>120720-89220</t>
  </si>
  <si>
    <t>Tyquan</t>
  </si>
  <si>
    <t>Tyquan Thornton</t>
  </si>
  <si>
    <t>Thornton</t>
  </si>
  <si>
    <t>120720-70603</t>
  </si>
  <si>
    <t>Devin</t>
  </si>
  <si>
    <t>Devin Singletary</t>
  </si>
  <si>
    <t>Singletary</t>
  </si>
  <si>
    <t>120720-55987</t>
  </si>
  <si>
    <t>JuJu</t>
  </si>
  <si>
    <t>JuJu Smith-Schuster</t>
  </si>
  <si>
    <t>Smith-Schuster</t>
  </si>
  <si>
    <t>120720-128810</t>
  </si>
  <si>
    <t>Theo</t>
  </si>
  <si>
    <t>Theo Johnson</t>
  </si>
  <si>
    <t>Johnson</t>
  </si>
  <si>
    <t>120720-63819</t>
  </si>
  <si>
    <t>Darius</t>
  </si>
  <si>
    <t>Darius Slayton</t>
  </si>
  <si>
    <t>Slayton</t>
  </si>
  <si>
    <t>Groin</t>
  </si>
  <si>
    <t>120720-93143</t>
  </si>
  <si>
    <t>Noah</t>
  </si>
  <si>
    <t>Noah Gray</t>
  </si>
  <si>
    <t>Gray</t>
  </si>
  <si>
    <t>120720-155775</t>
  </si>
  <si>
    <t>Brashard</t>
  </si>
  <si>
    <t>Brashard Smith</t>
  </si>
  <si>
    <t>Smith</t>
  </si>
  <si>
    <t>120720-90307</t>
  </si>
  <si>
    <t>Daniel</t>
  </si>
  <si>
    <t>Daniel Bellinger</t>
  </si>
  <si>
    <t>Bellinger</t>
  </si>
  <si>
    <t>120720-176467</t>
  </si>
  <si>
    <t>Jalen</t>
  </si>
  <si>
    <t>Jalen Royals</t>
  </si>
  <si>
    <t>Royals</t>
  </si>
  <si>
    <t>120720-91481</t>
  </si>
  <si>
    <t>Nikko</t>
  </si>
  <si>
    <t>Nikko Remigio</t>
  </si>
  <si>
    <t>Remigio</t>
  </si>
  <si>
    <t>120720-112455</t>
  </si>
  <si>
    <t>Xavier Gipson</t>
  </si>
  <si>
    <t>Gipson</t>
  </si>
  <si>
    <t>120720-139094</t>
  </si>
  <si>
    <t>Jalin</t>
  </si>
  <si>
    <t>Jalin Hyatt</t>
  </si>
  <si>
    <t>Hyatt</t>
  </si>
  <si>
    <t>120720-92545</t>
  </si>
  <si>
    <t>Keaontay</t>
  </si>
  <si>
    <t>Keaontay Ingram</t>
  </si>
  <si>
    <t>Ingram</t>
  </si>
  <si>
    <t>IR</t>
  </si>
  <si>
    <t>Undisclosed</t>
  </si>
  <si>
    <t>120720-104577</t>
  </si>
  <si>
    <t>Gunner</t>
  </si>
  <si>
    <t>Gunner Olszewski</t>
  </si>
  <si>
    <t>Olszewski</t>
  </si>
  <si>
    <t>Back</t>
  </si>
  <si>
    <t>120720-114054</t>
  </si>
  <si>
    <t>Dalen</t>
  </si>
  <si>
    <t>Dalen Cambre</t>
  </si>
  <si>
    <t>Cambre</t>
  </si>
  <si>
    <t>120720-152717</t>
  </si>
  <si>
    <t>Beaux</t>
  </si>
  <si>
    <t>Beaux Collins</t>
  </si>
  <si>
    <t>Collins</t>
  </si>
  <si>
    <t>120720-183693</t>
  </si>
  <si>
    <t>Da'Quan</t>
  </si>
  <si>
    <t>Da'Quan Felton</t>
  </si>
  <si>
    <t>Felton</t>
  </si>
  <si>
    <t>120720-24849</t>
  </si>
  <si>
    <t>Jameis</t>
  </si>
  <si>
    <t>Jameis Winston</t>
  </si>
  <si>
    <t>Winston</t>
  </si>
  <si>
    <t>120720-138643</t>
  </si>
  <si>
    <t>Jason</t>
  </si>
  <si>
    <t>Jason Brownlee</t>
  </si>
  <si>
    <t>Brownlee</t>
  </si>
  <si>
    <t>120720-103192</t>
  </si>
  <si>
    <t>Jared</t>
  </si>
  <si>
    <t>Jared Wiley</t>
  </si>
  <si>
    <t>Wiley</t>
  </si>
  <si>
    <t>120720-151966</t>
  </si>
  <si>
    <t>Jaxson</t>
  </si>
  <si>
    <t>Jaxson Dart</t>
  </si>
  <si>
    <t>Dart</t>
  </si>
  <si>
    <t>120720-93600</t>
  </si>
  <si>
    <t>Bryce</t>
  </si>
  <si>
    <t>Bryce Ford-Wheaton</t>
  </si>
  <si>
    <t>Ford-Wheaton</t>
  </si>
  <si>
    <t>Achilles</t>
  </si>
  <si>
    <t>120720-119730</t>
  </si>
  <si>
    <t>Jimmy</t>
  </si>
  <si>
    <t>Jimmy Holiday</t>
  </si>
  <si>
    <t>Holiday</t>
  </si>
  <si>
    <t>120720-152628</t>
  </si>
  <si>
    <t>Thomas</t>
  </si>
  <si>
    <t>Thomas Fidone II</t>
  </si>
  <si>
    <t>Fidone II</t>
  </si>
  <si>
    <t>120720-73398</t>
  </si>
  <si>
    <t>Chris</t>
  </si>
  <si>
    <t>Chris Oladokun</t>
  </si>
  <si>
    <t>Oladokun</t>
  </si>
  <si>
    <t>120720-173631</t>
  </si>
  <si>
    <t>Dante</t>
  </si>
  <si>
    <t>Dante Miller</t>
  </si>
  <si>
    <t>Miller</t>
  </si>
  <si>
    <t>120720-152526</t>
  </si>
  <si>
    <t>Jake</t>
  </si>
  <si>
    <t>Jake Briningstool</t>
  </si>
  <si>
    <t>Briningstool</t>
  </si>
  <si>
    <t>Hamstring</t>
  </si>
  <si>
    <t>120720-156374</t>
  </si>
  <si>
    <t>Tre</t>
  </si>
  <si>
    <t>Tre Watson</t>
  </si>
  <si>
    <t>Watson</t>
  </si>
  <si>
    <t>120720-18009</t>
  </si>
  <si>
    <t>Chris Manhertz</t>
  </si>
  <si>
    <t>Manhertz</t>
  </si>
  <si>
    <t>120720-42077</t>
  </si>
  <si>
    <t>James</t>
  </si>
  <si>
    <t>James Winchester</t>
  </si>
  <si>
    <t>Winchester</t>
  </si>
  <si>
    <t>120720-80353</t>
  </si>
  <si>
    <t>Robert</t>
  </si>
  <si>
    <t>Robert Tonyan</t>
  </si>
  <si>
    <t>Tonyan</t>
  </si>
  <si>
    <t>120720-86113</t>
  </si>
  <si>
    <t>Ihmir</t>
  </si>
  <si>
    <t>Ihmir Smith-Marsette</t>
  </si>
  <si>
    <t>Smith-Marsette</t>
  </si>
  <si>
    <t>120720-61798</t>
  </si>
  <si>
    <t>Gardner</t>
  </si>
  <si>
    <t>Gardner Minshew II</t>
  </si>
  <si>
    <t>Minshew II</t>
  </si>
  <si>
    <t>120720-156523</t>
  </si>
  <si>
    <t>Carson</t>
  </si>
  <si>
    <t>Carson Steele</t>
  </si>
  <si>
    <t>Steele</t>
  </si>
  <si>
    <t>120720-85741</t>
  </si>
  <si>
    <t>Clyde</t>
  </si>
  <si>
    <t>Clyde Edwards-Helaire</t>
  </si>
  <si>
    <t>Edwards-Helaire</t>
  </si>
  <si>
    <t>120720-176119</t>
  </si>
  <si>
    <t>Jude</t>
  </si>
  <si>
    <t>Jude McAtamney</t>
  </si>
  <si>
    <t>McAtamney</t>
  </si>
  <si>
    <t>120720-71031</t>
  </si>
  <si>
    <t>Lil'Jordan</t>
  </si>
  <si>
    <t>Lil'Jordan Humphrey</t>
  </si>
  <si>
    <t>Humphrey</t>
  </si>
  <si>
    <t>120720-92413</t>
  </si>
  <si>
    <t>Elijah</t>
  </si>
  <si>
    <t>Elijah Mitchell</t>
  </si>
  <si>
    <t>Mitchell</t>
  </si>
  <si>
    <t>Points</t>
  </si>
  <si>
    <t>Projected Points</t>
  </si>
  <si>
    <t>WR1Q</t>
  </si>
  <si>
    <t>WR2</t>
  </si>
  <si>
    <t>WR3</t>
  </si>
  <si>
    <t>WR4</t>
  </si>
  <si>
    <t>RB1</t>
  </si>
  <si>
    <t>RB2</t>
  </si>
  <si>
    <t>WR1</t>
  </si>
  <si>
    <t>WR5</t>
  </si>
  <si>
    <t>-</t>
  </si>
  <si>
    <t>WR4:NYG</t>
  </si>
  <si>
    <t>RB3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</si>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</sst>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4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86328125" bestFit="1" customWidth="1"/>
    <col min="4" max="4" width="21.3984375" bestFit="1" customWidth="1"/>
    <col min="5" max="5" width="15.73046875" bestFit="1" customWidth="1"/>
    <col min="6" max="6" width="12.73046875" bestFit="1" customWidth="1"/>
    <col min="7" max="7" width="7" bestFit="1" customWidth="1"/>
    <col min="8" max="8" width="6.265625" bestFit="1" customWidth="1"/>
    <col min="9" max="9" width="15" bestFit="1" customWidth="1"/>
    <col min="10" max="10" width="8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7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246</v>
      </c>
      <c r="Q1" t="s">
        <v>247</v>
      </c>
      <c r="R1" t="s">
        <v>15</v>
      </c>
    </row>
    <row r="2" spans="1:18" x14ac:dyDescent="0.45">
      <c r="A2" t="s">
        <v>68</v>
      </c>
      <c r="B2" t="s">
        <v>69</v>
      </c>
      <c r="C2" t="s">
        <v>70</v>
      </c>
      <c r="D2" t="s">
        <v>71</v>
      </c>
      <c r="E2" t="s">
        <v>72</v>
      </c>
      <c r="F2">
        <v>3</v>
      </c>
      <c r="G2">
        <v>2</v>
      </c>
      <c r="H2">
        <v>6400</v>
      </c>
      <c r="I2">
        <v>9600</v>
      </c>
      <c r="J2" t="s">
        <v>21</v>
      </c>
      <c r="K2" t="s">
        <v>23</v>
      </c>
      <c r="L2" t="s">
        <v>22</v>
      </c>
      <c r="O2">
        <v>1</v>
      </c>
      <c r="P2">
        <v>12</v>
      </c>
      <c r="Q2">
        <v>3</v>
      </c>
      <c r="R2" t="s">
        <v>24</v>
      </c>
    </row>
    <row r="3" spans="1:18" x14ac:dyDescent="0.45">
      <c r="A3" t="s">
        <v>73</v>
      </c>
      <c r="B3" t="s">
        <v>74</v>
      </c>
      <c r="C3" t="s">
        <v>75</v>
      </c>
      <c r="D3" t="s">
        <v>76</v>
      </c>
      <c r="E3" t="s">
        <v>77</v>
      </c>
      <c r="F3">
        <v>9</v>
      </c>
      <c r="G3">
        <v>2</v>
      </c>
      <c r="H3">
        <v>6200</v>
      </c>
      <c r="I3">
        <v>9300</v>
      </c>
      <c r="J3" t="s">
        <v>21</v>
      </c>
      <c r="K3" t="s">
        <v>23</v>
      </c>
      <c r="L3" t="s">
        <v>22</v>
      </c>
      <c r="O3">
        <v>1</v>
      </c>
      <c r="P3">
        <v>13</v>
      </c>
      <c r="Q3">
        <v>9</v>
      </c>
      <c r="R3" t="s">
        <v>24</v>
      </c>
    </row>
    <row r="4" spans="1:18" x14ac:dyDescent="0.4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24.549999237060501</v>
      </c>
      <c r="G4">
        <v>2</v>
      </c>
      <c r="H4">
        <v>13000</v>
      </c>
      <c r="I4">
        <v>19500</v>
      </c>
      <c r="J4" t="s">
        <v>21</v>
      </c>
      <c r="K4" t="s">
        <v>23</v>
      </c>
      <c r="L4" t="s">
        <v>22</v>
      </c>
      <c r="O4">
        <v>1</v>
      </c>
      <c r="P4">
        <v>13.16</v>
      </c>
      <c r="Q4">
        <v>24.549999237060501</v>
      </c>
      <c r="R4" t="s">
        <v>24</v>
      </c>
    </row>
    <row r="5" spans="1:18" x14ac:dyDescent="0.45">
      <c r="A5" t="s">
        <v>222</v>
      </c>
      <c r="B5" t="s">
        <v>26</v>
      </c>
      <c r="C5" t="s">
        <v>223</v>
      </c>
      <c r="D5" t="s">
        <v>224</v>
      </c>
      <c r="E5" t="s">
        <v>225</v>
      </c>
      <c r="F5">
        <v>10.631999969482401</v>
      </c>
      <c r="G5">
        <v>10</v>
      </c>
      <c r="H5">
        <v>1000</v>
      </c>
      <c r="I5">
        <v>1500</v>
      </c>
      <c r="J5" t="s">
        <v>21</v>
      </c>
      <c r="K5" t="s">
        <v>23</v>
      </c>
      <c r="L5" t="s">
        <v>22</v>
      </c>
      <c r="Q5">
        <v>10.631999969482401</v>
      </c>
      <c r="R5" t="s">
        <v>24</v>
      </c>
    </row>
    <row r="6" spans="1:18" x14ac:dyDescent="0.45">
      <c r="A6" t="s">
        <v>190</v>
      </c>
      <c r="B6" t="s">
        <v>26</v>
      </c>
      <c r="C6" t="s">
        <v>191</v>
      </c>
      <c r="D6" t="s">
        <v>192</v>
      </c>
      <c r="E6" t="s">
        <v>193</v>
      </c>
      <c r="F6">
        <v>0.25</v>
      </c>
      <c r="G6">
        <v>2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0.25</v>
      </c>
      <c r="R6" t="s">
        <v>24</v>
      </c>
    </row>
    <row r="7" spans="1:18" x14ac:dyDescent="0.45">
      <c r="A7" t="s">
        <v>115</v>
      </c>
      <c r="B7" t="s">
        <v>258</v>
      </c>
      <c r="C7" t="s">
        <v>116</v>
      </c>
      <c r="D7" t="s">
        <v>117</v>
      </c>
      <c r="E7" t="s">
        <v>118</v>
      </c>
      <c r="F7">
        <v>0.10000000149011599</v>
      </c>
      <c r="G7">
        <v>2</v>
      </c>
      <c r="H7">
        <v>2400</v>
      </c>
      <c r="I7">
        <v>3600</v>
      </c>
      <c r="J7" t="s">
        <v>21</v>
      </c>
      <c r="K7" t="s">
        <v>23</v>
      </c>
      <c r="L7" t="s">
        <v>22</v>
      </c>
      <c r="P7">
        <v>1.3</v>
      </c>
      <c r="Q7">
        <v>0.10000000149011599</v>
      </c>
      <c r="R7" t="s">
        <v>24</v>
      </c>
    </row>
    <row r="8" spans="1:18" x14ac:dyDescent="0.45">
      <c r="A8" t="s">
        <v>230</v>
      </c>
      <c r="B8" t="s">
        <v>55</v>
      </c>
      <c r="C8" t="s">
        <v>231</v>
      </c>
      <c r="D8" t="s">
        <v>232</v>
      </c>
      <c r="E8" t="s">
        <v>233</v>
      </c>
      <c r="F8">
        <v>2.8333333333333299</v>
      </c>
      <c r="G8">
        <v>3</v>
      </c>
      <c r="H8">
        <v>1000</v>
      </c>
      <c r="I8">
        <v>1500</v>
      </c>
      <c r="J8" t="s">
        <v>21</v>
      </c>
      <c r="K8" t="s">
        <v>23</v>
      </c>
      <c r="L8" t="s">
        <v>22</v>
      </c>
      <c r="Q8">
        <v>2.8333333333333299</v>
      </c>
      <c r="R8" t="s">
        <v>24</v>
      </c>
    </row>
    <row r="9" spans="1:18" x14ac:dyDescent="0.45">
      <c r="A9" t="s">
        <v>226</v>
      </c>
      <c r="B9" t="s">
        <v>55</v>
      </c>
      <c r="C9" t="s">
        <v>227</v>
      </c>
      <c r="D9" t="s">
        <v>228</v>
      </c>
      <c r="E9" t="s">
        <v>229</v>
      </c>
      <c r="F9">
        <v>1.5692307398869401</v>
      </c>
      <c r="G9">
        <v>13</v>
      </c>
      <c r="H9">
        <v>1000</v>
      </c>
      <c r="I9">
        <v>1500</v>
      </c>
      <c r="J9" t="s">
        <v>21</v>
      </c>
      <c r="K9" t="s">
        <v>23</v>
      </c>
      <c r="L9" t="s">
        <v>22</v>
      </c>
      <c r="Q9">
        <v>1.5692307398869401</v>
      </c>
      <c r="R9" t="s">
        <v>24</v>
      </c>
    </row>
    <row r="10" spans="1:18" x14ac:dyDescent="0.45">
      <c r="A10" t="s">
        <v>138</v>
      </c>
      <c r="B10" t="s">
        <v>55</v>
      </c>
      <c r="C10" t="s">
        <v>139</v>
      </c>
      <c r="D10" t="s">
        <v>140</v>
      </c>
      <c r="E10" t="s">
        <v>141</v>
      </c>
      <c r="F10">
        <v>0</v>
      </c>
      <c r="G10">
        <v>1</v>
      </c>
      <c r="H10">
        <v>1000</v>
      </c>
      <c r="I10">
        <v>1500</v>
      </c>
      <c r="J10" t="s">
        <v>21</v>
      </c>
      <c r="K10" t="s">
        <v>23</v>
      </c>
      <c r="L10" t="s">
        <v>22</v>
      </c>
      <c r="M10" t="s">
        <v>142</v>
      </c>
      <c r="N10" t="s">
        <v>143</v>
      </c>
      <c r="Q10">
        <v>0</v>
      </c>
      <c r="R10" t="s">
        <v>24</v>
      </c>
    </row>
    <row r="11" spans="1:18" x14ac:dyDescent="0.45">
      <c r="A11" t="s">
        <v>242</v>
      </c>
      <c r="B11" t="s">
        <v>55</v>
      </c>
      <c r="C11" t="s">
        <v>243</v>
      </c>
      <c r="D11" t="s">
        <v>244</v>
      </c>
      <c r="E11" t="s">
        <v>245</v>
      </c>
      <c r="G11">
        <v>0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R11" t="s">
        <v>24</v>
      </c>
    </row>
    <row r="12" spans="1:18" x14ac:dyDescent="0.45">
      <c r="A12" t="s">
        <v>64</v>
      </c>
      <c r="B12" t="s">
        <v>252</v>
      </c>
      <c r="C12" t="s">
        <v>65</v>
      </c>
      <c r="D12" t="s">
        <v>66</v>
      </c>
      <c r="E12" t="s">
        <v>67</v>
      </c>
      <c r="F12">
        <v>3.5999999046325599</v>
      </c>
      <c r="G12">
        <v>2</v>
      </c>
      <c r="H12">
        <v>6800</v>
      </c>
      <c r="I12">
        <v>10200</v>
      </c>
      <c r="J12" t="s">
        <v>21</v>
      </c>
      <c r="K12" t="s">
        <v>23</v>
      </c>
      <c r="L12" t="s">
        <v>22</v>
      </c>
      <c r="O12">
        <v>1</v>
      </c>
      <c r="P12">
        <v>5.3</v>
      </c>
      <c r="Q12">
        <v>3.5999999046325599</v>
      </c>
      <c r="R12" t="s">
        <v>24</v>
      </c>
    </row>
    <row r="13" spans="1:18" x14ac:dyDescent="0.45">
      <c r="A13" t="s">
        <v>86</v>
      </c>
      <c r="B13" t="s">
        <v>253</v>
      </c>
      <c r="C13" t="s">
        <v>87</v>
      </c>
      <c r="D13" t="s">
        <v>88</v>
      </c>
      <c r="E13" t="s">
        <v>89</v>
      </c>
      <c r="F13">
        <v>3.75</v>
      </c>
      <c r="G13">
        <v>2</v>
      </c>
      <c r="H13">
        <v>5400</v>
      </c>
      <c r="I13">
        <v>8100</v>
      </c>
      <c r="J13" t="s">
        <v>21</v>
      </c>
      <c r="K13" t="s">
        <v>23</v>
      </c>
      <c r="L13" t="s">
        <v>22</v>
      </c>
      <c r="O13">
        <v>1</v>
      </c>
      <c r="P13">
        <v>10.9</v>
      </c>
      <c r="Q13">
        <v>3.75</v>
      </c>
      <c r="R13" t="s">
        <v>24</v>
      </c>
    </row>
    <row r="14" spans="1:18" x14ac:dyDescent="0.45">
      <c r="A14" t="s">
        <v>44</v>
      </c>
      <c r="B14" t="s">
        <v>259</v>
      </c>
      <c r="C14" t="s">
        <v>46</v>
      </c>
      <c r="D14" t="s">
        <v>47</v>
      </c>
      <c r="E14" t="s">
        <v>48</v>
      </c>
      <c r="F14">
        <v>9.8999996185302699</v>
      </c>
      <c r="G14">
        <v>2</v>
      </c>
      <c r="H14">
        <v>9600</v>
      </c>
      <c r="I14">
        <v>14400</v>
      </c>
      <c r="J14" t="s">
        <v>21</v>
      </c>
      <c r="K14" t="s">
        <v>23</v>
      </c>
      <c r="L14" t="s">
        <v>22</v>
      </c>
      <c r="O14">
        <v>1</v>
      </c>
      <c r="P14">
        <v>4.5999999999999996</v>
      </c>
      <c r="Q14">
        <v>9.8999996185302699</v>
      </c>
      <c r="R14" t="s">
        <v>24</v>
      </c>
    </row>
    <row r="15" spans="1:18" x14ac:dyDescent="0.45">
      <c r="A15" t="s">
        <v>169</v>
      </c>
      <c r="B15" t="s">
        <v>45</v>
      </c>
      <c r="C15" t="s">
        <v>170</v>
      </c>
      <c r="D15" t="s">
        <v>171</v>
      </c>
      <c r="E15" t="s">
        <v>172</v>
      </c>
      <c r="F15">
        <v>0.60000002384185702</v>
      </c>
      <c r="G15">
        <v>2</v>
      </c>
      <c r="H15">
        <v>1000</v>
      </c>
      <c r="I15">
        <v>1500</v>
      </c>
      <c r="J15" t="s">
        <v>21</v>
      </c>
      <c r="K15" t="s">
        <v>23</v>
      </c>
      <c r="L15" t="s">
        <v>22</v>
      </c>
      <c r="Q15">
        <v>0.60000002384185702</v>
      </c>
      <c r="R15" t="s">
        <v>24</v>
      </c>
    </row>
    <row r="16" spans="1:18" x14ac:dyDescent="0.45">
      <c r="A16" t="s">
        <v>210</v>
      </c>
      <c r="B16" t="s">
        <v>45</v>
      </c>
      <c r="C16" t="s">
        <v>211</v>
      </c>
      <c r="D16" t="s">
        <v>212</v>
      </c>
      <c r="E16" t="s">
        <v>213</v>
      </c>
      <c r="F16">
        <v>0</v>
      </c>
      <c r="G16">
        <v>2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Q16">
        <v>0</v>
      </c>
      <c r="R16" t="s">
        <v>24</v>
      </c>
    </row>
    <row r="17" spans="1:19" x14ac:dyDescent="0.45">
      <c r="A17" t="s">
        <v>198</v>
      </c>
      <c r="B17" t="s">
        <v>45</v>
      </c>
      <c r="C17" t="s">
        <v>199</v>
      </c>
      <c r="D17" t="s">
        <v>200</v>
      </c>
      <c r="E17" t="s">
        <v>201</v>
      </c>
      <c r="G17">
        <v>0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M17" t="s">
        <v>142</v>
      </c>
      <c r="N17" t="s">
        <v>202</v>
      </c>
      <c r="R17" t="s">
        <v>24</v>
      </c>
    </row>
    <row r="18" spans="1:19" x14ac:dyDescent="0.45">
      <c r="A18" t="s">
        <v>214</v>
      </c>
      <c r="B18" t="s">
        <v>45</v>
      </c>
      <c r="C18" t="s">
        <v>215</v>
      </c>
      <c r="D18" t="s">
        <v>216</v>
      </c>
      <c r="E18" t="s">
        <v>217</v>
      </c>
      <c r="G18">
        <v>0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R18" t="s">
        <v>24</v>
      </c>
    </row>
    <row r="19" spans="1:19" x14ac:dyDescent="0.45">
      <c r="A19" t="s">
        <v>203</v>
      </c>
      <c r="B19" t="s">
        <v>45</v>
      </c>
      <c r="C19" t="s">
        <v>204</v>
      </c>
      <c r="D19" t="s">
        <v>205</v>
      </c>
      <c r="E19" t="s">
        <v>206</v>
      </c>
      <c r="G19">
        <v>0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R19" t="s">
        <v>24</v>
      </c>
    </row>
    <row r="20" spans="1:19" x14ac:dyDescent="0.45">
      <c r="A20" t="s">
        <v>111</v>
      </c>
      <c r="B20" t="s">
        <v>260</v>
      </c>
      <c r="C20" t="s">
        <v>112</v>
      </c>
      <c r="D20" t="s">
        <v>113</v>
      </c>
      <c r="E20" t="s">
        <v>114</v>
      </c>
      <c r="F20">
        <v>0.69999998807907104</v>
      </c>
      <c r="G20">
        <v>2</v>
      </c>
      <c r="H20">
        <v>3000</v>
      </c>
      <c r="I20">
        <v>4500</v>
      </c>
      <c r="J20" t="s">
        <v>21</v>
      </c>
      <c r="K20" t="s">
        <v>23</v>
      </c>
      <c r="L20" t="s">
        <v>22</v>
      </c>
      <c r="P20">
        <v>3.2</v>
      </c>
      <c r="Q20">
        <v>0.69999998807907104</v>
      </c>
      <c r="R20" t="s">
        <v>24</v>
      </c>
    </row>
    <row r="21" spans="1:19" x14ac:dyDescent="0.45">
      <c r="A21" t="s">
        <v>123</v>
      </c>
      <c r="B21" t="s">
        <v>17</v>
      </c>
      <c r="C21" t="s">
        <v>124</v>
      </c>
      <c r="D21" t="s">
        <v>125</v>
      </c>
      <c r="E21" t="s">
        <v>126</v>
      </c>
      <c r="G21">
        <v>0</v>
      </c>
      <c r="H21">
        <v>1800</v>
      </c>
      <c r="I21">
        <v>2700</v>
      </c>
      <c r="J21" t="s">
        <v>21</v>
      </c>
      <c r="K21" t="s">
        <v>23</v>
      </c>
      <c r="L21" t="s">
        <v>22</v>
      </c>
      <c r="R21" t="s">
        <v>24</v>
      </c>
    </row>
    <row r="22" spans="1:19" x14ac:dyDescent="0.45">
      <c r="A22" t="s">
        <v>127</v>
      </c>
      <c r="B22" t="s">
        <v>17</v>
      </c>
      <c r="C22" t="s">
        <v>128</v>
      </c>
      <c r="D22" t="s">
        <v>129</v>
      </c>
      <c r="E22" t="s">
        <v>130</v>
      </c>
      <c r="F22">
        <v>1.29999995231628</v>
      </c>
      <c r="G22">
        <v>2</v>
      </c>
      <c r="H22">
        <v>1600</v>
      </c>
      <c r="I22">
        <v>2400</v>
      </c>
      <c r="J22" t="s">
        <v>21</v>
      </c>
      <c r="K22" t="s">
        <v>23</v>
      </c>
      <c r="L22" t="s">
        <v>22</v>
      </c>
      <c r="Q22">
        <v>1.29999995231628</v>
      </c>
      <c r="R22" t="s">
        <v>24</v>
      </c>
      <c r="S22">
        <v>1.1000000000000001</v>
      </c>
    </row>
    <row r="23" spans="1:19" x14ac:dyDescent="0.45">
      <c r="A23" t="s">
        <v>165</v>
      </c>
      <c r="B23" t="s">
        <v>17</v>
      </c>
      <c r="C23" t="s">
        <v>166</v>
      </c>
      <c r="D23" t="s">
        <v>167</v>
      </c>
      <c r="E23" t="s">
        <v>168</v>
      </c>
      <c r="F23">
        <v>0</v>
      </c>
      <c r="G23">
        <v>1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Q23">
        <v>0</v>
      </c>
      <c r="R23" t="s">
        <v>24</v>
      </c>
    </row>
    <row r="24" spans="1:19" x14ac:dyDescent="0.45">
      <c r="A24" t="s">
        <v>182</v>
      </c>
      <c r="B24" t="s">
        <v>17</v>
      </c>
      <c r="C24" t="s">
        <v>183</v>
      </c>
      <c r="D24" t="s">
        <v>184</v>
      </c>
      <c r="E24" t="s">
        <v>185</v>
      </c>
      <c r="G24">
        <v>0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R24" t="s">
        <v>24</v>
      </c>
    </row>
    <row r="25" spans="1:19" x14ac:dyDescent="0.45">
      <c r="A25" t="s">
        <v>34</v>
      </c>
      <c r="B25" t="s">
        <v>248</v>
      </c>
      <c r="C25" t="s">
        <v>35</v>
      </c>
      <c r="D25" t="s">
        <v>36</v>
      </c>
      <c r="E25" t="s">
        <v>37</v>
      </c>
      <c r="F25">
        <v>0</v>
      </c>
      <c r="G25">
        <v>1</v>
      </c>
      <c r="H25">
        <v>11000</v>
      </c>
      <c r="I25">
        <v>16500</v>
      </c>
      <c r="J25" t="s">
        <v>21</v>
      </c>
      <c r="K25" t="s">
        <v>23</v>
      </c>
      <c r="L25" t="s">
        <v>22</v>
      </c>
      <c r="M25" t="s">
        <v>38</v>
      </c>
      <c r="N25" t="s">
        <v>39</v>
      </c>
      <c r="O25">
        <v>1</v>
      </c>
      <c r="Q25">
        <v>0</v>
      </c>
      <c r="R25" t="s">
        <v>24</v>
      </c>
    </row>
    <row r="26" spans="1:19" x14ac:dyDescent="0.45">
      <c r="A26" t="s">
        <v>40</v>
      </c>
      <c r="B26" t="s">
        <v>249</v>
      </c>
      <c r="C26" t="s">
        <v>41</v>
      </c>
      <c r="D26" t="s">
        <v>42</v>
      </c>
      <c r="E26" t="s">
        <v>43</v>
      </c>
      <c r="F26">
        <v>10.199999809265099</v>
      </c>
      <c r="G26">
        <v>2</v>
      </c>
      <c r="H26">
        <v>10400</v>
      </c>
      <c r="I26">
        <v>15600</v>
      </c>
      <c r="J26" t="s">
        <v>21</v>
      </c>
      <c r="K26" t="s">
        <v>23</v>
      </c>
      <c r="L26" t="s">
        <v>22</v>
      </c>
      <c r="O26">
        <v>1</v>
      </c>
      <c r="P26">
        <v>6.2</v>
      </c>
      <c r="Q26">
        <v>10.199999809265099</v>
      </c>
      <c r="R26" t="s">
        <v>24</v>
      </c>
    </row>
    <row r="27" spans="1:19" x14ac:dyDescent="0.45">
      <c r="A27" t="s">
        <v>90</v>
      </c>
      <c r="B27" t="s">
        <v>250</v>
      </c>
      <c r="C27" t="s">
        <v>91</v>
      </c>
      <c r="D27" t="s">
        <v>92</v>
      </c>
      <c r="E27" t="s">
        <v>93</v>
      </c>
      <c r="F27">
        <v>9</v>
      </c>
      <c r="G27">
        <v>2</v>
      </c>
      <c r="H27">
        <v>5000</v>
      </c>
      <c r="I27">
        <v>7500</v>
      </c>
      <c r="J27" t="s">
        <v>21</v>
      </c>
      <c r="K27" t="s">
        <v>23</v>
      </c>
      <c r="L27" t="s">
        <v>22</v>
      </c>
      <c r="O27">
        <v>1</v>
      </c>
      <c r="P27">
        <v>15.6</v>
      </c>
      <c r="Q27">
        <v>9</v>
      </c>
      <c r="R27" t="s">
        <v>24</v>
      </c>
    </row>
    <row r="28" spans="1:19" x14ac:dyDescent="0.45">
      <c r="A28" t="s">
        <v>98</v>
      </c>
      <c r="B28" t="s">
        <v>251</v>
      </c>
      <c r="C28" t="s">
        <v>99</v>
      </c>
      <c r="D28" t="s">
        <v>100</v>
      </c>
      <c r="E28" t="s">
        <v>101</v>
      </c>
      <c r="F28">
        <v>4.5</v>
      </c>
      <c r="G28">
        <v>2</v>
      </c>
      <c r="H28">
        <v>4400</v>
      </c>
      <c r="I28">
        <v>6600</v>
      </c>
      <c r="J28" t="s">
        <v>21</v>
      </c>
      <c r="K28" t="s">
        <v>23</v>
      </c>
      <c r="L28" t="s">
        <v>22</v>
      </c>
      <c r="O28">
        <v>1</v>
      </c>
      <c r="P28">
        <v>7.5</v>
      </c>
      <c r="Q28">
        <v>4.5</v>
      </c>
      <c r="R28" t="s">
        <v>24</v>
      </c>
    </row>
    <row r="29" spans="1:19" x14ac:dyDescent="0.45">
      <c r="A29" t="s">
        <v>82</v>
      </c>
      <c r="B29" t="s">
        <v>69</v>
      </c>
      <c r="C29" t="s">
        <v>83</v>
      </c>
      <c r="D29" t="s">
        <v>84</v>
      </c>
      <c r="E29" t="s">
        <v>85</v>
      </c>
      <c r="F29">
        <v>2</v>
      </c>
      <c r="G29">
        <v>2</v>
      </c>
      <c r="H29">
        <v>5800</v>
      </c>
      <c r="I29">
        <v>8700</v>
      </c>
      <c r="J29" t="s">
        <v>21</v>
      </c>
      <c r="K29" t="s">
        <v>22</v>
      </c>
      <c r="L29" t="s">
        <v>23</v>
      </c>
      <c r="O29">
        <v>1</v>
      </c>
      <c r="P29">
        <v>2</v>
      </c>
      <c r="Q29">
        <v>2</v>
      </c>
      <c r="R29" t="s">
        <v>24</v>
      </c>
    </row>
    <row r="30" spans="1:19" x14ac:dyDescent="0.45">
      <c r="A30" t="s">
        <v>78</v>
      </c>
      <c r="B30" t="s">
        <v>74</v>
      </c>
      <c r="C30" t="s">
        <v>79</v>
      </c>
      <c r="D30" t="s">
        <v>80</v>
      </c>
      <c r="E30" t="s">
        <v>81</v>
      </c>
      <c r="F30">
        <v>10.5</v>
      </c>
      <c r="G30">
        <v>2</v>
      </c>
      <c r="H30">
        <v>6000</v>
      </c>
      <c r="I30">
        <v>9000</v>
      </c>
      <c r="J30" t="s">
        <v>21</v>
      </c>
      <c r="K30" t="s">
        <v>22</v>
      </c>
      <c r="L30" t="s">
        <v>23</v>
      </c>
      <c r="O30">
        <v>1</v>
      </c>
      <c r="P30">
        <v>3</v>
      </c>
      <c r="Q30">
        <v>10.5</v>
      </c>
      <c r="R30" t="s">
        <v>24</v>
      </c>
    </row>
    <row r="31" spans="1:19" x14ac:dyDescent="0.45">
      <c r="A31" t="s">
        <v>234</v>
      </c>
      <c r="B31" t="s">
        <v>74</v>
      </c>
      <c r="C31" t="s">
        <v>235</v>
      </c>
      <c r="D31" t="s">
        <v>236</v>
      </c>
      <c r="E31" t="s">
        <v>237</v>
      </c>
      <c r="F31">
        <v>4</v>
      </c>
      <c r="G31">
        <v>1</v>
      </c>
      <c r="H31">
        <v>1000</v>
      </c>
      <c r="I31">
        <v>1500</v>
      </c>
      <c r="J31" t="s">
        <v>21</v>
      </c>
      <c r="K31" t="s">
        <v>22</v>
      </c>
      <c r="L31" t="s">
        <v>23</v>
      </c>
      <c r="Q31">
        <v>4</v>
      </c>
      <c r="R31" t="s">
        <v>24</v>
      </c>
    </row>
    <row r="32" spans="1:19" x14ac:dyDescent="0.45">
      <c r="A32" t="s">
        <v>30</v>
      </c>
      <c r="B32" t="s">
        <v>26</v>
      </c>
      <c r="C32" t="s">
        <v>31</v>
      </c>
      <c r="D32" t="s">
        <v>32</v>
      </c>
      <c r="E32" t="s">
        <v>33</v>
      </c>
      <c r="F32">
        <v>22.709999084472599</v>
      </c>
      <c r="G32">
        <v>2</v>
      </c>
      <c r="H32">
        <v>12000</v>
      </c>
      <c r="I32">
        <v>18000</v>
      </c>
      <c r="J32" t="s">
        <v>21</v>
      </c>
      <c r="K32" t="s">
        <v>22</v>
      </c>
      <c r="L32" t="s">
        <v>23</v>
      </c>
      <c r="O32">
        <v>1</v>
      </c>
      <c r="P32">
        <v>7.1</v>
      </c>
      <c r="Q32">
        <v>22.709999084472599</v>
      </c>
      <c r="R32" t="s">
        <v>24</v>
      </c>
    </row>
    <row r="33" spans="1:19" x14ac:dyDescent="0.45">
      <c r="A33" t="s">
        <v>161</v>
      </c>
      <c r="B33" t="s">
        <v>26</v>
      </c>
      <c r="C33" t="s">
        <v>162</v>
      </c>
      <c r="D33" t="s">
        <v>163</v>
      </c>
      <c r="E33" t="s">
        <v>164</v>
      </c>
      <c r="F33">
        <v>13.830909035422501</v>
      </c>
      <c r="G33">
        <v>11</v>
      </c>
      <c r="H33">
        <v>1000</v>
      </c>
      <c r="I33">
        <v>1500</v>
      </c>
      <c r="J33" t="s">
        <v>21</v>
      </c>
      <c r="K33" t="s">
        <v>22</v>
      </c>
      <c r="L33" t="s">
        <v>23</v>
      </c>
      <c r="Q33">
        <v>13.830909035422501</v>
      </c>
      <c r="R33" t="s">
        <v>24</v>
      </c>
    </row>
    <row r="34" spans="1:19" x14ac:dyDescent="0.45">
      <c r="A34" t="s">
        <v>173</v>
      </c>
      <c r="B34" t="s">
        <v>26</v>
      </c>
      <c r="C34" t="s">
        <v>174</v>
      </c>
      <c r="D34" t="s">
        <v>175</v>
      </c>
      <c r="E34" t="s">
        <v>176</v>
      </c>
      <c r="F34">
        <v>-0.30000001192092801</v>
      </c>
      <c r="G34">
        <v>1</v>
      </c>
      <c r="H34">
        <v>1000</v>
      </c>
      <c r="I34">
        <v>1500</v>
      </c>
      <c r="J34" t="s">
        <v>21</v>
      </c>
      <c r="K34" t="s">
        <v>22</v>
      </c>
      <c r="L34" t="s">
        <v>23</v>
      </c>
      <c r="Q34">
        <v>-0.30000001192092801</v>
      </c>
      <c r="R34" t="s">
        <v>24</v>
      </c>
      <c r="S34">
        <v>0.3</v>
      </c>
    </row>
    <row r="35" spans="1:19" x14ac:dyDescent="0.45">
      <c r="A35" t="s">
        <v>94</v>
      </c>
      <c r="B35" t="s">
        <v>55</v>
      </c>
      <c r="C35" t="s">
        <v>95</v>
      </c>
      <c r="D35" t="s">
        <v>96</v>
      </c>
      <c r="E35" t="s">
        <v>97</v>
      </c>
      <c r="F35">
        <v>0.69999998807907104</v>
      </c>
      <c r="G35">
        <v>2</v>
      </c>
      <c r="H35">
        <v>4800</v>
      </c>
      <c r="I35">
        <v>7200</v>
      </c>
      <c r="J35" t="s">
        <v>21</v>
      </c>
      <c r="K35" t="s">
        <v>22</v>
      </c>
      <c r="L35" t="s">
        <v>23</v>
      </c>
      <c r="Q35">
        <v>0.69999998807907104</v>
      </c>
      <c r="R35" t="s">
        <v>24</v>
      </c>
      <c r="S35">
        <v>1.1000000000000001</v>
      </c>
    </row>
    <row r="36" spans="1:19" x14ac:dyDescent="0.45">
      <c r="A36" t="s">
        <v>194</v>
      </c>
      <c r="B36" t="s">
        <v>55</v>
      </c>
      <c r="C36" t="s">
        <v>195</v>
      </c>
      <c r="D36" t="s">
        <v>196</v>
      </c>
      <c r="E36" t="s">
        <v>197</v>
      </c>
      <c r="G36">
        <v>0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R36" t="s">
        <v>24</v>
      </c>
    </row>
    <row r="37" spans="1:19" x14ac:dyDescent="0.45">
      <c r="A37" t="s">
        <v>54</v>
      </c>
      <c r="B37" t="s">
        <v>252</v>
      </c>
      <c r="C37" t="s">
        <v>56</v>
      </c>
      <c r="D37" t="s">
        <v>57</v>
      </c>
      <c r="E37" t="s">
        <v>58</v>
      </c>
      <c r="F37">
        <v>5.8000001907348597</v>
      </c>
      <c r="G37">
        <v>2</v>
      </c>
      <c r="H37">
        <v>7800</v>
      </c>
      <c r="I37">
        <v>11700</v>
      </c>
      <c r="J37" t="s">
        <v>21</v>
      </c>
      <c r="K37" t="s">
        <v>22</v>
      </c>
      <c r="L37" t="s">
        <v>23</v>
      </c>
      <c r="M37" t="s">
        <v>38</v>
      </c>
      <c r="N37" t="s">
        <v>59</v>
      </c>
      <c r="O37">
        <v>1</v>
      </c>
      <c r="P37">
        <v>4.5999999999999996</v>
      </c>
      <c r="Q37">
        <v>5.8000001907348597</v>
      </c>
      <c r="R37" t="s">
        <v>24</v>
      </c>
    </row>
    <row r="38" spans="1:19" x14ac:dyDescent="0.45">
      <c r="A38" t="s">
        <v>60</v>
      </c>
      <c r="B38" t="s">
        <v>253</v>
      </c>
      <c r="C38" t="s">
        <v>61</v>
      </c>
      <c r="D38" t="s">
        <v>62</v>
      </c>
      <c r="E38" t="s">
        <v>63</v>
      </c>
      <c r="F38">
        <v>7.4000000953674299</v>
      </c>
      <c r="G38">
        <v>2</v>
      </c>
      <c r="H38">
        <v>7200</v>
      </c>
      <c r="I38">
        <v>10800</v>
      </c>
      <c r="J38" t="s">
        <v>21</v>
      </c>
      <c r="K38" t="s">
        <v>22</v>
      </c>
      <c r="L38" t="s">
        <v>23</v>
      </c>
      <c r="O38">
        <v>1</v>
      </c>
      <c r="P38">
        <v>21.1</v>
      </c>
      <c r="Q38">
        <v>7.4000000953674299</v>
      </c>
      <c r="R38" t="s">
        <v>24</v>
      </c>
    </row>
    <row r="39" spans="1:19" x14ac:dyDescent="0.45">
      <c r="A39" t="s">
        <v>102</v>
      </c>
      <c r="B39" t="s">
        <v>259</v>
      </c>
      <c r="C39" t="s">
        <v>103</v>
      </c>
      <c r="D39" t="s">
        <v>104</v>
      </c>
      <c r="E39" t="s">
        <v>105</v>
      </c>
      <c r="F39">
        <v>3.20000004768371</v>
      </c>
      <c r="G39">
        <v>2</v>
      </c>
      <c r="H39">
        <v>4000</v>
      </c>
      <c r="I39">
        <v>6000</v>
      </c>
      <c r="J39" t="s">
        <v>21</v>
      </c>
      <c r="K39" t="s">
        <v>22</v>
      </c>
      <c r="L39" t="s">
        <v>23</v>
      </c>
      <c r="O39">
        <v>1</v>
      </c>
      <c r="P39">
        <v>1.5</v>
      </c>
      <c r="Q39">
        <v>3.20000004768371</v>
      </c>
      <c r="R39" t="s">
        <v>24</v>
      </c>
    </row>
    <row r="40" spans="1:19" x14ac:dyDescent="0.45">
      <c r="A40" t="s">
        <v>119</v>
      </c>
      <c r="B40" t="s">
        <v>45</v>
      </c>
      <c r="C40" t="s">
        <v>120</v>
      </c>
      <c r="D40" t="s">
        <v>121</v>
      </c>
      <c r="E40" t="s">
        <v>122</v>
      </c>
      <c r="F40">
        <v>1.8999999761581401</v>
      </c>
      <c r="G40">
        <v>1</v>
      </c>
      <c r="H40">
        <v>2000</v>
      </c>
      <c r="I40">
        <v>3000</v>
      </c>
      <c r="J40" t="s">
        <v>21</v>
      </c>
      <c r="K40" t="s">
        <v>22</v>
      </c>
      <c r="L40" t="s">
        <v>23</v>
      </c>
      <c r="Q40">
        <v>1.8999999761581401</v>
      </c>
      <c r="R40" t="s">
        <v>24</v>
      </c>
      <c r="S40">
        <v>1.1000000000000001</v>
      </c>
    </row>
    <row r="41" spans="1:19" x14ac:dyDescent="0.45">
      <c r="A41" t="s">
        <v>207</v>
      </c>
      <c r="B41" t="s">
        <v>260</v>
      </c>
      <c r="C41" t="s">
        <v>191</v>
      </c>
      <c r="D41" t="s">
        <v>208</v>
      </c>
      <c r="E41" t="s">
        <v>209</v>
      </c>
      <c r="F41">
        <v>0</v>
      </c>
      <c r="G41">
        <v>1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P41">
        <v>1.2</v>
      </c>
      <c r="Q41">
        <v>0</v>
      </c>
      <c r="R41" t="s">
        <v>24</v>
      </c>
    </row>
    <row r="42" spans="1:19" x14ac:dyDescent="0.45">
      <c r="A42" t="s">
        <v>186</v>
      </c>
      <c r="B42" t="s">
        <v>45</v>
      </c>
      <c r="C42" t="s">
        <v>187</v>
      </c>
      <c r="D42" t="s">
        <v>188</v>
      </c>
      <c r="E42" t="s">
        <v>189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R42" t="s">
        <v>24</v>
      </c>
    </row>
    <row r="43" spans="1:19" x14ac:dyDescent="0.45">
      <c r="A43" t="s">
        <v>131</v>
      </c>
      <c r="B43" t="s">
        <v>17</v>
      </c>
      <c r="C43" t="s">
        <v>35</v>
      </c>
      <c r="D43" t="s">
        <v>132</v>
      </c>
      <c r="E43" t="s">
        <v>133</v>
      </c>
      <c r="F43">
        <v>-2</v>
      </c>
      <c r="G43">
        <v>1</v>
      </c>
      <c r="H43">
        <v>1400</v>
      </c>
      <c r="I43">
        <v>2100</v>
      </c>
      <c r="J43" t="s">
        <v>21</v>
      </c>
      <c r="K43" t="s">
        <v>22</v>
      </c>
      <c r="L43" t="s">
        <v>23</v>
      </c>
      <c r="Q43">
        <v>-2</v>
      </c>
      <c r="R43" t="s">
        <v>24</v>
      </c>
    </row>
    <row r="44" spans="1:19" x14ac:dyDescent="0.45">
      <c r="A44" t="s">
        <v>238</v>
      </c>
      <c r="B44" t="s">
        <v>17</v>
      </c>
      <c r="C44" t="s">
        <v>239</v>
      </c>
      <c r="D44" t="s">
        <v>240</v>
      </c>
      <c r="E44" t="s">
        <v>241</v>
      </c>
      <c r="F44">
        <v>3.4857142312186098</v>
      </c>
      <c r="G44">
        <v>14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3.4857142312186098</v>
      </c>
      <c r="R44" t="s">
        <v>24</v>
      </c>
    </row>
    <row r="45" spans="1:19" x14ac:dyDescent="0.45">
      <c r="A45" t="s">
        <v>218</v>
      </c>
      <c r="B45" t="s">
        <v>17</v>
      </c>
      <c r="C45" t="s">
        <v>219</v>
      </c>
      <c r="D45" t="s">
        <v>220</v>
      </c>
      <c r="E45" t="s">
        <v>221</v>
      </c>
      <c r="F45">
        <v>0.4</v>
      </c>
      <c r="G45">
        <v>15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Q45">
        <v>0.4</v>
      </c>
      <c r="R45" t="s">
        <v>24</v>
      </c>
    </row>
    <row r="46" spans="1:19" x14ac:dyDescent="0.45">
      <c r="A46" t="s">
        <v>177</v>
      </c>
      <c r="B46" t="s">
        <v>17</v>
      </c>
      <c r="C46" t="s">
        <v>178</v>
      </c>
      <c r="D46" t="s">
        <v>179</v>
      </c>
      <c r="E46" t="s">
        <v>180</v>
      </c>
      <c r="F46">
        <v>0</v>
      </c>
      <c r="G46">
        <v>1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M46" t="s">
        <v>142</v>
      </c>
      <c r="N46" t="s">
        <v>181</v>
      </c>
      <c r="Q46">
        <v>0</v>
      </c>
      <c r="R46" t="s">
        <v>24</v>
      </c>
    </row>
    <row r="47" spans="1:19" x14ac:dyDescent="0.45">
      <c r="A47" t="s">
        <v>144</v>
      </c>
      <c r="B47" t="s">
        <v>17</v>
      </c>
      <c r="C47" t="s">
        <v>145</v>
      </c>
      <c r="D47" t="s">
        <v>146</v>
      </c>
      <c r="E47" t="s">
        <v>147</v>
      </c>
      <c r="F47">
        <v>0</v>
      </c>
      <c r="G47">
        <v>2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M47" t="s">
        <v>38</v>
      </c>
      <c r="N47" t="s">
        <v>148</v>
      </c>
      <c r="Q47">
        <v>0</v>
      </c>
      <c r="R47" t="s">
        <v>24</v>
      </c>
    </row>
    <row r="48" spans="1:19" x14ac:dyDescent="0.45">
      <c r="A48" t="s">
        <v>149</v>
      </c>
      <c r="B48" t="s">
        <v>17</v>
      </c>
      <c r="C48" t="s">
        <v>150</v>
      </c>
      <c r="D48" t="s">
        <v>151</v>
      </c>
      <c r="E48" t="s">
        <v>152</v>
      </c>
      <c r="G48">
        <v>0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R48" t="s">
        <v>24</v>
      </c>
    </row>
    <row r="49" spans="1:18" x14ac:dyDescent="0.45">
      <c r="A49" t="s">
        <v>157</v>
      </c>
      <c r="B49" t="s">
        <v>17</v>
      </c>
      <c r="C49" t="s">
        <v>158</v>
      </c>
      <c r="D49" t="s">
        <v>159</v>
      </c>
      <c r="E49" t="s">
        <v>160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M49" t="s">
        <v>142</v>
      </c>
      <c r="N49" t="s">
        <v>143</v>
      </c>
      <c r="R49" t="s">
        <v>24</v>
      </c>
    </row>
    <row r="50" spans="1:18" x14ac:dyDescent="0.45">
      <c r="A50" t="s">
        <v>16</v>
      </c>
      <c r="B50" t="s">
        <v>254</v>
      </c>
      <c r="C50" t="s">
        <v>18</v>
      </c>
      <c r="D50" t="s">
        <v>19</v>
      </c>
      <c r="E50" t="s">
        <v>20</v>
      </c>
      <c r="F50">
        <v>22.899999618530199</v>
      </c>
      <c r="G50">
        <v>2</v>
      </c>
      <c r="H50">
        <v>13600</v>
      </c>
      <c r="I50">
        <v>20400</v>
      </c>
      <c r="J50" t="s">
        <v>21</v>
      </c>
      <c r="K50" t="s">
        <v>22</v>
      </c>
      <c r="L50" t="s">
        <v>23</v>
      </c>
      <c r="O50">
        <v>1</v>
      </c>
      <c r="P50">
        <v>2.2999999999999998</v>
      </c>
      <c r="Q50">
        <v>22.899999618530199</v>
      </c>
      <c r="R50" t="s">
        <v>24</v>
      </c>
    </row>
    <row r="51" spans="1:18" x14ac:dyDescent="0.45">
      <c r="A51" t="s">
        <v>49</v>
      </c>
      <c r="B51" t="s">
        <v>249</v>
      </c>
      <c r="C51" t="s">
        <v>50</v>
      </c>
      <c r="D51" t="s">
        <v>51</v>
      </c>
      <c r="E51" t="s">
        <v>52</v>
      </c>
      <c r="F51">
        <v>17.850000381469702</v>
      </c>
      <c r="G51">
        <v>2</v>
      </c>
      <c r="H51">
        <v>8600</v>
      </c>
      <c r="I51">
        <v>12900</v>
      </c>
      <c r="J51" t="s">
        <v>21</v>
      </c>
      <c r="K51" t="s">
        <v>22</v>
      </c>
      <c r="L51" t="s">
        <v>23</v>
      </c>
      <c r="M51" t="s">
        <v>38</v>
      </c>
      <c r="N51" t="s">
        <v>53</v>
      </c>
      <c r="O51">
        <v>1</v>
      </c>
      <c r="P51">
        <v>3.1</v>
      </c>
      <c r="Q51">
        <v>17.850000381469702</v>
      </c>
      <c r="R51" t="s">
        <v>24</v>
      </c>
    </row>
    <row r="52" spans="1:18" x14ac:dyDescent="0.45">
      <c r="A52" t="s">
        <v>106</v>
      </c>
      <c r="B52" t="s">
        <v>250</v>
      </c>
      <c r="C52" t="s">
        <v>107</v>
      </c>
      <c r="D52" t="s">
        <v>108</v>
      </c>
      <c r="E52" t="s">
        <v>109</v>
      </c>
      <c r="F52">
        <v>3.5499999523162802</v>
      </c>
      <c r="G52">
        <v>2</v>
      </c>
      <c r="H52">
        <v>3400</v>
      </c>
      <c r="I52">
        <v>5100</v>
      </c>
      <c r="J52" t="s">
        <v>21</v>
      </c>
      <c r="K52" t="s">
        <v>22</v>
      </c>
      <c r="L52" t="s">
        <v>23</v>
      </c>
      <c r="M52" t="s">
        <v>38</v>
      </c>
      <c r="N52" t="s">
        <v>110</v>
      </c>
      <c r="O52">
        <v>1</v>
      </c>
      <c r="P52">
        <v>5</v>
      </c>
      <c r="Q52">
        <v>3.5499999523162802</v>
      </c>
      <c r="R52" t="s">
        <v>24</v>
      </c>
    </row>
    <row r="53" spans="1:18" x14ac:dyDescent="0.45">
      <c r="A53" t="s">
        <v>134</v>
      </c>
      <c r="B53" t="s">
        <v>251</v>
      </c>
      <c r="C53" t="s">
        <v>135</v>
      </c>
      <c r="D53" t="s">
        <v>136</v>
      </c>
      <c r="E53" t="s">
        <v>137</v>
      </c>
      <c r="F53">
        <v>0.92727270993319399</v>
      </c>
      <c r="G53">
        <v>11</v>
      </c>
      <c r="H53">
        <v>1200</v>
      </c>
      <c r="I53">
        <v>1800</v>
      </c>
      <c r="J53" t="s">
        <v>21</v>
      </c>
      <c r="K53" t="s">
        <v>22</v>
      </c>
      <c r="L53" t="s">
        <v>23</v>
      </c>
      <c r="O53">
        <v>1</v>
      </c>
      <c r="Q53">
        <v>0.92727270993319399</v>
      </c>
      <c r="R53" t="s">
        <v>24</v>
      </c>
    </row>
    <row r="54" spans="1:18" x14ac:dyDescent="0.45">
      <c r="A54" t="s">
        <v>153</v>
      </c>
      <c r="B54" t="s">
        <v>255</v>
      </c>
      <c r="C54" t="s">
        <v>154</v>
      </c>
      <c r="D54" t="s">
        <v>155</v>
      </c>
      <c r="E54" t="s">
        <v>156</v>
      </c>
      <c r="G54">
        <v>0</v>
      </c>
      <c r="H54">
        <v>1000</v>
      </c>
      <c r="I54">
        <v>1500</v>
      </c>
      <c r="J54" t="s">
        <v>21</v>
      </c>
      <c r="K54" t="s">
        <v>22</v>
      </c>
      <c r="L54" t="s">
        <v>23</v>
      </c>
      <c r="O54">
        <v>1</v>
      </c>
      <c r="R54" t="s">
        <v>24</v>
      </c>
    </row>
  </sheetData>
  <autoFilter ref="A1:S54" xr:uid="{00000000-0001-0000-0000-000000000000}"/>
  <sortState xmlns:xlrd2="http://schemas.microsoft.com/office/spreadsheetml/2017/richdata2" ref="A2:S54">
    <sortCondition ref="K2:K54"/>
    <sortCondition ref="B2:B54"/>
    <sortCondition descending="1" ref="H2:H54"/>
  </sortState>
  <hyperlinks>
    <hyperlink ref="B20" r:id="rId1" display="TE@" xr:uid="{B07F3A69-5D34-4159-A3EA-54577836988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3"/>
  <sheetViews>
    <sheetView topLeftCell="A11" workbookViewId="0">
      <selection activeCell="H33" sqref="H33"/>
    </sheetView>
  </sheetViews>
  <sheetFormatPr defaultRowHeight="14.25" x14ac:dyDescent="0.45"/>
  <cols>
    <col min="1" max="1" width="18.86328125" bestFit="1" customWidth="1"/>
    <col min="2" max="2" width="6.3984375" bestFit="1" customWidth="1"/>
    <col min="3" max="3" width="4.73046875" bestFit="1" customWidth="1"/>
    <col min="4" max="5" width="5" bestFit="1" customWidth="1"/>
  </cols>
  <sheetData>
    <row r="1" spans="1:8" x14ac:dyDescent="0.45">
      <c r="A1" t="s">
        <v>28</v>
      </c>
      <c r="B1" t="str">
        <f>INDEX('FanDuel-NFL-2025 EDT-09 EDT-21 '!B:B,MATCH(A1,'FanDuel-NFL-2025 EDT-09 EDT-21 '!D:D,0),1)</f>
        <v>QB</v>
      </c>
      <c r="C1" t="s">
        <v>23</v>
      </c>
      <c r="D1">
        <v>26</v>
      </c>
      <c r="E1">
        <v>23.1</v>
      </c>
      <c r="F1" t="str">
        <f>B1&amp;":"&amp;C1</f>
        <v>QB:KC</v>
      </c>
      <c r="G1">
        <f>MIN(D1:E1)</f>
        <v>23.1</v>
      </c>
      <c r="H1">
        <f>MAX(D1:E1)</f>
        <v>26</v>
      </c>
    </row>
    <row r="2" spans="1:8" x14ac:dyDescent="0.45">
      <c r="A2" t="s">
        <v>32</v>
      </c>
      <c r="B2" t="str">
        <f>INDEX('FanDuel-NFL-2025 EDT-09 EDT-21 '!B:B,MATCH(A2,'FanDuel-NFL-2025 EDT-09 EDT-21 '!D:D,0),1)</f>
        <v>QB</v>
      </c>
      <c r="C2" t="s">
        <v>22</v>
      </c>
      <c r="D2">
        <v>11.1</v>
      </c>
      <c r="E2">
        <v>31.3</v>
      </c>
      <c r="F2" t="str">
        <f t="shared" ref="F2:F32" si="0">B2&amp;":"&amp;C2</f>
        <v>QB:NYG</v>
      </c>
      <c r="G2">
        <f t="shared" ref="G2:G32" si="1">MIN(D2:E2)</f>
        <v>11.1</v>
      </c>
      <c r="H2">
        <f t="shared" ref="H2:H32" si="2">MAX(D2:E2)</f>
        <v>31.3</v>
      </c>
    </row>
    <row r="3" spans="1:8" x14ac:dyDescent="0.45">
      <c r="A3" t="s">
        <v>19</v>
      </c>
      <c r="B3" t="str">
        <f>INDEX('FanDuel-NFL-2025 EDT-09 EDT-21 '!B:B,MATCH(A3,'FanDuel-NFL-2025 EDT-09 EDT-21 '!D:D,0),1)</f>
        <v>WR1</v>
      </c>
      <c r="C3" t="s">
        <v>22</v>
      </c>
      <c r="D3">
        <v>7.1</v>
      </c>
      <c r="E3">
        <v>28.7</v>
      </c>
      <c r="F3" t="str">
        <f t="shared" si="0"/>
        <v>WR1:NYG</v>
      </c>
      <c r="G3">
        <f t="shared" si="1"/>
        <v>7.1</v>
      </c>
      <c r="H3">
        <f t="shared" si="2"/>
        <v>28.7</v>
      </c>
    </row>
    <row r="4" spans="1:8" x14ac:dyDescent="0.45">
      <c r="A4" t="s">
        <v>51</v>
      </c>
      <c r="B4" t="str">
        <f>INDEX('FanDuel-NFL-2025 EDT-09 EDT-21 '!B:B,MATCH(A4,'FanDuel-NFL-2025 EDT-09 EDT-21 '!D:D,0),1)</f>
        <v>WR2</v>
      </c>
      <c r="C4" t="s">
        <v>22</v>
      </c>
      <c r="D4">
        <v>5.5</v>
      </c>
      <c r="E4">
        <v>20.2</v>
      </c>
      <c r="F4" t="str">
        <f t="shared" si="0"/>
        <v>WR2:NYG</v>
      </c>
      <c r="G4">
        <f t="shared" si="1"/>
        <v>5.5</v>
      </c>
      <c r="H4">
        <f t="shared" si="2"/>
        <v>20.2</v>
      </c>
    </row>
    <row r="5" spans="1:8" x14ac:dyDescent="0.45">
      <c r="A5" t="s">
        <v>80</v>
      </c>
      <c r="B5" t="str">
        <f>INDEX('FanDuel-NFL-2025 EDT-09 EDT-21 '!B:B,MATCH(A5,'FanDuel-NFL-2025 EDT-09 EDT-21 '!D:D,0),1)</f>
        <v>K</v>
      </c>
      <c r="C5" t="s">
        <v>22</v>
      </c>
      <c r="D5">
        <v>8</v>
      </c>
      <c r="E5">
        <v>13</v>
      </c>
      <c r="F5" t="str">
        <f t="shared" si="0"/>
        <v>K:NYG</v>
      </c>
      <c r="G5">
        <f t="shared" si="1"/>
        <v>8</v>
      </c>
      <c r="H5">
        <f t="shared" si="2"/>
        <v>13</v>
      </c>
    </row>
    <row r="6" spans="1:8" x14ac:dyDescent="0.45">
      <c r="A6" t="s">
        <v>76</v>
      </c>
      <c r="B6" t="str">
        <f>INDEX('FanDuel-NFL-2025 EDT-09 EDT-21 '!B:B,MATCH(A6,'FanDuel-NFL-2025 EDT-09 EDT-21 '!D:D,0),1)</f>
        <v>K</v>
      </c>
      <c r="C6" t="s">
        <v>23</v>
      </c>
      <c r="D6">
        <v>11</v>
      </c>
      <c r="E6">
        <v>7</v>
      </c>
      <c r="F6" t="str">
        <f t="shared" si="0"/>
        <v>K:KC</v>
      </c>
      <c r="G6">
        <f t="shared" si="1"/>
        <v>7</v>
      </c>
      <c r="H6">
        <f t="shared" si="2"/>
        <v>11</v>
      </c>
    </row>
    <row r="7" spans="1:8" x14ac:dyDescent="0.45">
      <c r="A7" t="s">
        <v>47</v>
      </c>
      <c r="B7" t="str">
        <f>INDEX('FanDuel-NFL-2025 EDT-09 EDT-21 '!B:B,MATCH(A7,'FanDuel-NFL-2025 EDT-09 EDT-21 '!D:D,0),1)</f>
        <v>TE1</v>
      </c>
      <c r="C7" t="s">
        <v>23</v>
      </c>
      <c r="D7">
        <v>10.7</v>
      </c>
      <c r="E7">
        <v>6.1</v>
      </c>
      <c r="F7" t="str">
        <f t="shared" si="0"/>
        <v>TE1:KC</v>
      </c>
      <c r="G7">
        <f t="shared" si="1"/>
        <v>6.1</v>
      </c>
      <c r="H7">
        <f t="shared" si="2"/>
        <v>10.7</v>
      </c>
    </row>
    <row r="8" spans="1:8" x14ac:dyDescent="0.45">
      <c r="A8" t="s">
        <v>92</v>
      </c>
      <c r="B8" t="str">
        <f>INDEX('FanDuel-NFL-2025 EDT-09 EDT-21 '!B:B,MATCH(A8,'FanDuel-NFL-2025 EDT-09 EDT-21 '!D:D,0),1)</f>
        <v>WR3</v>
      </c>
      <c r="C8" t="s">
        <v>23</v>
      </c>
      <c r="D8">
        <v>4.0999999999999996</v>
      </c>
      <c r="E8">
        <v>11.9</v>
      </c>
      <c r="F8" t="str">
        <f t="shared" si="0"/>
        <v>WR3:KC</v>
      </c>
      <c r="G8">
        <f t="shared" si="1"/>
        <v>4.0999999999999996</v>
      </c>
      <c r="H8">
        <f t="shared" si="2"/>
        <v>11.9</v>
      </c>
    </row>
    <row r="9" spans="1:8" x14ac:dyDescent="0.45">
      <c r="A9" t="s">
        <v>42</v>
      </c>
      <c r="B9" t="str">
        <f>INDEX('FanDuel-NFL-2025 EDT-09 EDT-21 '!B:B,MATCH(A9,'FanDuel-NFL-2025 EDT-09 EDT-21 '!D:D,0),1)</f>
        <v>WR2</v>
      </c>
      <c r="C9" t="s">
        <v>23</v>
      </c>
      <c r="D9">
        <v>9.9</v>
      </c>
      <c r="E9">
        <v>3</v>
      </c>
      <c r="F9" t="str">
        <f t="shared" si="0"/>
        <v>WR2:KC</v>
      </c>
      <c r="G9">
        <f t="shared" si="1"/>
        <v>3</v>
      </c>
      <c r="H9">
        <f t="shared" si="2"/>
        <v>9.9</v>
      </c>
    </row>
    <row r="10" spans="1:8" x14ac:dyDescent="0.45">
      <c r="A10" t="s">
        <v>62</v>
      </c>
      <c r="B10" t="str">
        <f>INDEX('FanDuel-NFL-2025 EDT-09 EDT-21 '!B:B,MATCH(A10,'FanDuel-NFL-2025 EDT-09 EDT-21 '!D:D,0),1)</f>
        <v>RB2</v>
      </c>
      <c r="C10" t="s">
        <v>22</v>
      </c>
      <c r="D10">
        <v>0.9</v>
      </c>
      <c r="E10">
        <v>11.9</v>
      </c>
      <c r="F10" t="str">
        <f t="shared" si="0"/>
        <v>RB2:NYG</v>
      </c>
      <c r="G10">
        <f t="shared" si="1"/>
        <v>0.9</v>
      </c>
      <c r="H10">
        <f t="shared" si="2"/>
        <v>11.9</v>
      </c>
    </row>
    <row r="11" spans="1:8" x14ac:dyDescent="0.45">
      <c r="A11" t="s">
        <v>57</v>
      </c>
      <c r="B11" t="str">
        <f>INDEX('FanDuel-NFL-2025 EDT-09 EDT-21 '!B:B,MATCH(A11,'FanDuel-NFL-2025 EDT-09 EDT-21 '!D:D,0),1)</f>
        <v>RB1</v>
      </c>
      <c r="C11" t="s">
        <v>22</v>
      </c>
      <c r="D11">
        <v>3.5</v>
      </c>
      <c r="E11">
        <v>5.0999999999999996</v>
      </c>
      <c r="F11" t="str">
        <f t="shared" si="0"/>
        <v>RB1:NYG</v>
      </c>
      <c r="G11">
        <f t="shared" si="1"/>
        <v>3.5</v>
      </c>
      <c r="H11">
        <f t="shared" si="2"/>
        <v>5.0999999999999996</v>
      </c>
    </row>
    <row r="12" spans="1:8" x14ac:dyDescent="0.45">
      <c r="A12" t="s">
        <v>108</v>
      </c>
      <c r="B12" t="str">
        <f>INDEX('FanDuel-NFL-2025 EDT-09 EDT-21 '!B:B,MATCH(A12,'FanDuel-NFL-2025 EDT-09 EDT-21 '!D:D,0),1)</f>
        <v>WR3</v>
      </c>
      <c r="C12" t="s">
        <v>22</v>
      </c>
      <c r="D12">
        <v>0</v>
      </c>
      <c r="E12">
        <v>6.1</v>
      </c>
      <c r="F12" t="str">
        <f t="shared" si="0"/>
        <v>WR3:NYG</v>
      </c>
      <c r="G12">
        <f t="shared" si="1"/>
        <v>0</v>
      </c>
      <c r="H12">
        <f t="shared" si="2"/>
        <v>6.1</v>
      </c>
    </row>
    <row r="13" spans="1:8" x14ac:dyDescent="0.45">
      <c r="A13" t="s">
        <v>71</v>
      </c>
      <c r="B13" t="str">
        <f>INDEX('FanDuel-NFL-2025 EDT-09 EDT-21 '!B:B,MATCH(A13,'FanDuel-NFL-2025 EDT-09 EDT-21 '!D:D,0),1)</f>
        <v>D</v>
      </c>
      <c r="C13" t="s">
        <v>23</v>
      </c>
      <c r="D13">
        <v>3</v>
      </c>
      <c r="E13">
        <v>3</v>
      </c>
      <c r="F13" t="str">
        <f t="shared" si="0"/>
        <v>D:KC</v>
      </c>
      <c r="G13">
        <f t="shared" si="1"/>
        <v>3</v>
      </c>
      <c r="H13">
        <f t="shared" si="2"/>
        <v>3</v>
      </c>
    </row>
    <row r="14" spans="1:8" x14ac:dyDescent="0.45">
      <c r="A14" t="s">
        <v>100</v>
      </c>
      <c r="B14" t="str">
        <f>INDEX('FanDuel-NFL-2025 EDT-09 EDT-21 '!B:B,MATCH(A14,'FanDuel-NFL-2025 EDT-09 EDT-21 '!D:D,0),1)</f>
        <v>WR4</v>
      </c>
      <c r="C14" t="s">
        <v>23</v>
      </c>
      <c r="D14">
        <v>5.5</v>
      </c>
      <c r="E14">
        <v>0.5</v>
      </c>
      <c r="F14" t="str">
        <f t="shared" si="0"/>
        <v>WR4:KC</v>
      </c>
      <c r="G14">
        <f t="shared" si="1"/>
        <v>0.5</v>
      </c>
      <c r="H14">
        <f t="shared" si="2"/>
        <v>5.5</v>
      </c>
    </row>
    <row r="15" spans="1:8" x14ac:dyDescent="0.45">
      <c r="A15" t="s">
        <v>88</v>
      </c>
      <c r="B15" t="str">
        <f>INDEX('FanDuel-NFL-2025 EDT-09 EDT-21 '!B:B,MATCH(A15,'FanDuel-NFL-2025 EDT-09 EDT-21 '!D:D,0),1)</f>
        <v>RB2</v>
      </c>
      <c r="C15" t="s">
        <v>23</v>
      </c>
      <c r="D15">
        <v>2.6</v>
      </c>
      <c r="E15">
        <v>3.4</v>
      </c>
      <c r="F15" t="str">
        <f t="shared" si="0"/>
        <v>RB2:KC</v>
      </c>
      <c r="G15">
        <f t="shared" si="1"/>
        <v>2.6</v>
      </c>
      <c r="H15">
        <f t="shared" si="2"/>
        <v>3.4</v>
      </c>
    </row>
    <row r="16" spans="1:8" x14ac:dyDescent="0.45">
      <c r="A16" t="s">
        <v>66</v>
      </c>
      <c r="B16" t="str">
        <f>INDEX('FanDuel-NFL-2025 EDT-09 EDT-21 '!B:B,MATCH(A16,'FanDuel-NFL-2025 EDT-09 EDT-21 '!D:D,0),1)</f>
        <v>RB1</v>
      </c>
      <c r="C16" t="s">
        <v>23</v>
      </c>
      <c r="D16">
        <v>2.8</v>
      </c>
      <c r="E16">
        <v>2.9</v>
      </c>
      <c r="F16" t="str">
        <f t="shared" si="0"/>
        <v>RB1:KC</v>
      </c>
      <c r="G16">
        <f t="shared" si="1"/>
        <v>2.8</v>
      </c>
      <c r="H16">
        <f t="shared" si="2"/>
        <v>2.9</v>
      </c>
    </row>
    <row r="17" spans="1:8" x14ac:dyDescent="0.45">
      <c r="A17" t="s">
        <v>84</v>
      </c>
      <c r="B17" t="str">
        <f>INDEX('FanDuel-NFL-2025 EDT-09 EDT-21 '!B:B,MATCH(A17,'FanDuel-NFL-2025 EDT-09 EDT-21 '!D:D,0),1)</f>
        <v>D</v>
      </c>
      <c r="C17" t="s">
        <v>22</v>
      </c>
      <c r="D17">
        <v>3</v>
      </c>
      <c r="E17">
        <v>1</v>
      </c>
      <c r="F17" t="str">
        <f t="shared" si="0"/>
        <v>D:NYG</v>
      </c>
      <c r="G17">
        <f t="shared" si="1"/>
        <v>1</v>
      </c>
      <c r="H17">
        <f t="shared" si="2"/>
        <v>3</v>
      </c>
    </row>
    <row r="18" spans="1:8" x14ac:dyDescent="0.45">
      <c r="A18" t="s">
        <v>104</v>
      </c>
      <c r="B18" t="str">
        <f>INDEX('FanDuel-NFL-2025 EDT-09 EDT-21 '!B:B,MATCH(A18,'FanDuel-NFL-2025 EDT-09 EDT-21 '!D:D,0),1)</f>
        <v>TE1</v>
      </c>
      <c r="C18" t="s">
        <v>22</v>
      </c>
      <c r="D18">
        <v>0.5</v>
      </c>
      <c r="E18">
        <v>3.4</v>
      </c>
      <c r="F18" t="str">
        <f t="shared" si="0"/>
        <v>TE1:NYG</v>
      </c>
      <c r="G18">
        <f t="shared" si="1"/>
        <v>0.5</v>
      </c>
      <c r="H18">
        <f t="shared" si="2"/>
        <v>3.4</v>
      </c>
    </row>
    <row r="19" spans="1:8" x14ac:dyDescent="0.45">
      <c r="A19" t="s">
        <v>129</v>
      </c>
      <c r="B19" t="str">
        <f>INDEX('FanDuel-NFL-2025 EDT-09 EDT-21 '!B:B,MATCH(A19,'FanDuel-NFL-2025 EDT-09 EDT-21 '!D:D,0),1)</f>
        <v>WR</v>
      </c>
      <c r="C19" t="s">
        <v>23</v>
      </c>
      <c r="D19">
        <v>0</v>
      </c>
      <c r="E19">
        <v>2.1</v>
      </c>
      <c r="F19" t="str">
        <f t="shared" si="0"/>
        <v>WR:KC</v>
      </c>
      <c r="G19">
        <f t="shared" si="1"/>
        <v>0</v>
      </c>
      <c r="H19">
        <f t="shared" si="2"/>
        <v>2.1</v>
      </c>
    </row>
    <row r="20" spans="1:8" x14ac:dyDescent="0.45">
      <c r="A20" t="s">
        <v>121</v>
      </c>
      <c r="B20" t="str">
        <f>INDEX('FanDuel-NFL-2025 EDT-09 EDT-21 '!B:B,MATCH(A20,'FanDuel-NFL-2025 EDT-09 EDT-21 '!D:D,0),1)</f>
        <v>TE</v>
      </c>
      <c r="C20" t="s">
        <v>22</v>
      </c>
      <c r="D20">
        <v>1.4</v>
      </c>
      <c r="E20">
        <v>0</v>
      </c>
      <c r="F20" t="str">
        <f t="shared" si="0"/>
        <v>TE:NYG</v>
      </c>
      <c r="G20">
        <f t="shared" si="1"/>
        <v>0</v>
      </c>
      <c r="H20">
        <f t="shared" si="2"/>
        <v>1.4</v>
      </c>
    </row>
    <row r="21" spans="1:8" x14ac:dyDescent="0.45">
      <c r="A21" t="s">
        <v>96</v>
      </c>
      <c r="B21" t="str">
        <f>INDEX('FanDuel-NFL-2025 EDT-09 EDT-21 '!B:B,MATCH(A21,'FanDuel-NFL-2025 EDT-09 EDT-21 '!D:D,0),1)</f>
        <v>RB</v>
      </c>
      <c r="C21" t="s">
        <v>22</v>
      </c>
      <c r="D21">
        <v>0.9</v>
      </c>
      <c r="E21">
        <v>0</v>
      </c>
      <c r="F21" t="str">
        <f t="shared" si="0"/>
        <v>RB:NYG</v>
      </c>
      <c r="G21">
        <f t="shared" si="1"/>
        <v>0</v>
      </c>
      <c r="H21">
        <f t="shared" si="2"/>
        <v>0.9</v>
      </c>
    </row>
    <row r="22" spans="1:8" x14ac:dyDescent="0.45">
      <c r="A22" t="s">
        <v>113</v>
      </c>
      <c r="B22" t="str">
        <f>INDEX('FanDuel-NFL-2025 EDT-09 EDT-21 '!B:B,MATCH(A22,'FanDuel-NFL-2025 EDT-09 EDT-21 '!D:D,0),1)</f>
        <v>TE2</v>
      </c>
      <c r="C22" t="s">
        <v>23</v>
      </c>
      <c r="D22">
        <v>0.3</v>
      </c>
      <c r="E22">
        <v>0.1</v>
      </c>
      <c r="F22" t="str">
        <f t="shared" si="0"/>
        <v>TE2:KC</v>
      </c>
      <c r="G22">
        <f t="shared" si="1"/>
        <v>0.1</v>
      </c>
      <c r="H22">
        <f t="shared" si="2"/>
        <v>0.3</v>
      </c>
    </row>
    <row r="23" spans="1:8" x14ac:dyDescent="0.45">
      <c r="A23" t="s">
        <v>117</v>
      </c>
      <c r="B23" t="str">
        <f>INDEX('FanDuel-NFL-2025 EDT-09 EDT-21 '!B:B,MATCH(A23,'FanDuel-NFL-2025 EDT-09 EDT-21 '!D:D,0),1)</f>
        <v>RB3</v>
      </c>
      <c r="C23" t="s">
        <v>23</v>
      </c>
      <c r="D23">
        <v>0</v>
      </c>
      <c r="E23">
        <v>0.2</v>
      </c>
      <c r="F23" t="str">
        <f t="shared" si="0"/>
        <v>RB3:KC</v>
      </c>
      <c r="G23">
        <f t="shared" si="1"/>
        <v>0</v>
      </c>
      <c r="H23">
        <f t="shared" si="2"/>
        <v>0.2</v>
      </c>
    </row>
    <row r="24" spans="1:8" x14ac:dyDescent="0.45">
      <c r="A24" t="s">
        <v>212</v>
      </c>
      <c r="B24" t="str">
        <f>INDEX('FanDuel-NFL-2025 EDT-09 EDT-21 '!B:B,MATCH(A24,'FanDuel-NFL-2025 EDT-09 EDT-21 '!D:D,0),1)</f>
        <v>TE</v>
      </c>
      <c r="C24" t="s">
        <v>23</v>
      </c>
      <c r="D24" t="s">
        <v>256</v>
      </c>
      <c r="E24">
        <v>0</v>
      </c>
      <c r="F24" t="str">
        <f t="shared" si="0"/>
        <v>TE:KC</v>
      </c>
      <c r="G24">
        <f t="shared" si="1"/>
        <v>0</v>
      </c>
      <c r="H24">
        <f t="shared" si="2"/>
        <v>0</v>
      </c>
    </row>
    <row r="25" spans="1:8" x14ac:dyDescent="0.45">
      <c r="A25" t="s">
        <v>155</v>
      </c>
      <c r="B25" t="str">
        <f>INDEX('FanDuel-NFL-2025 EDT-09 EDT-21 '!B:B,MATCH(A25,'FanDuel-NFL-2025 EDT-09 EDT-21 '!D:D,0),1)</f>
        <v>WR5</v>
      </c>
      <c r="C25" t="s">
        <v>22</v>
      </c>
      <c r="D25">
        <v>0</v>
      </c>
      <c r="E25">
        <v>0</v>
      </c>
      <c r="F25" t="str">
        <f t="shared" si="0"/>
        <v>WR5:NYG</v>
      </c>
      <c r="G25">
        <f t="shared" si="1"/>
        <v>0</v>
      </c>
      <c r="H25">
        <f t="shared" si="2"/>
        <v>0</v>
      </c>
    </row>
    <row r="26" spans="1:8" x14ac:dyDescent="0.45">
      <c r="A26" t="s">
        <v>146</v>
      </c>
      <c r="B26" t="str">
        <f>INDEX('FanDuel-NFL-2025 EDT-09 EDT-21 '!B:B,MATCH(A26,'FanDuel-NFL-2025 EDT-09 EDT-21 '!D:D,0),1)</f>
        <v>WR</v>
      </c>
      <c r="C26" t="s">
        <v>22</v>
      </c>
      <c r="D26">
        <v>0</v>
      </c>
      <c r="E26">
        <v>0</v>
      </c>
      <c r="F26" t="str">
        <f t="shared" si="0"/>
        <v>WR:NYG</v>
      </c>
      <c r="G26">
        <f t="shared" si="1"/>
        <v>0</v>
      </c>
      <c r="H26">
        <f t="shared" si="2"/>
        <v>0</v>
      </c>
    </row>
    <row r="27" spans="1:8" x14ac:dyDescent="0.45">
      <c r="A27" t="s">
        <v>36</v>
      </c>
      <c r="B27" t="str">
        <f>INDEX('FanDuel-NFL-2025 EDT-09 EDT-21 '!B:B,MATCH(A27,'FanDuel-NFL-2025 EDT-09 EDT-21 '!D:D,0),1)</f>
        <v>WR1Q</v>
      </c>
      <c r="C27" t="s">
        <v>23</v>
      </c>
      <c r="D27">
        <v>0</v>
      </c>
      <c r="E27" t="s">
        <v>256</v>
      </c>
      <c r="F27" t="str">
        <f t="shared" si="0"/>
        <v>WR1Q:KC</v>
      </c>
      <c r="G27">
        <f t="shared" si="1"/>
        <v>0</v>
      </c>
      <c r="H27">
        <f t="shared" si="2"/>
        <v>0</v>
      </c>
    </row>
    <row r="28" spans="1:8" x14ac:dyDescent="0.45">
      <c r="A28" t="s">
        <v>167</v>
      </c>
      <c r="B28" t="str">
        <f>INDEX('FanDuel-NFL-2025 EDT-09 EDT-21 '!B:B,MATCH(A28,'FanDuel-NFL-2025 EDT-09 EDT-21 '!D:D,0),1)</f>
        <v>WR</v>
      </c>
      <c r="C28" t="s">
        <v>23</v>
      </c>
      <c r="D28">
        <v>0</v>
      </c>
      <c r="E28">
        <v>0</v>
      </c>
      <c r="F28" t="str">
        <f t="shared" si="0"/>
        <v>WR:KC</v>
      </c>
      <c r="G28">
        <f t="shared" si="1"/>
        <v>0</v>
      </c>
      <c r="H28">
        <f t="shared" si="2"/>
        <v>0</v>
      </c>
    </row>
    <row r="29" spans="1:8" x14ac:dyDescent="0.45">
      <c r="A29" t="s">
        <v>208</v>
      </c>
      <c r="B29" t="str">
        <f>INDEX('FanDuel-NFL-2025 EDT-09 EDT-21 '!B:B,MATCH(A29,'FanDuel-NFL-2025 EDT-09 EDT-21 '!D:D,0),1)</f>
        <v>TE2</v>
      </c>
      <c r="C29" t="s">
        <v>22</v>
      </c>
      <c r="D29">
        <v>0</v>
      </c>
      <c r="E29">
        <v>0</v>
      </c>
      <c r="F29" t="str">
        <f t="shared" si="0"/>
        <v>TE2:NYG</v>
      </c>
      <c r="G29">
        <f t="shared" si="1"/>
        <v>0</v>
      </c>
      <c r="H29">
        <f t="shared" si="2"/>
        <v>0</v>
      </c>
    </row>
    <row r="30" spans="1:8" x14ac:dyDescent="0.45">
      <c r="A30" t="s">
        <v>216</v>
      </c>
      <c r="B30" t="str">
        <f>INDEX('FanDuel-NFL-2025 EDT-09 EDT-21 '!B:B,MATCH(A30,'FanDuel-NFL-2025 EDT-09 EDT-21 '!D:D,0),1)</f>
        <v>TE</v>
      </c>
      <c r="C30" t="s">
        <v>23</v>
      </c>
      <c r="D30">
        <v>0</v>
      </c>
      <c r="E30">
        <v>0</v>
      </c>
      <c r="F30" t="str">
        <f t="shared" si="0"/>
        <v>TE:KC</v>
      </c>
      <c r="G30">
        <f t="shared" si="1"/>
        <v>0</v>
      </c>
      <c r="H30">
        <f t="shared" si="2"/>
        <v>0</v>
      </c>
    </row>
    <row r="31" spans="1:8" x14ac:dyDescent="0.45">
      <c r="A31" t="s">
        <v>175</v>
      </c>
      <c r="B31" t="str">
        <f>INDEX('FanDuel-NFL-2025 EDT-09 EDT-21 '!B:B,MATCH(A31,'FanDuel-NFL-2025 EDT-09 EDT-21 '!D:D,0),1)</f>
        <v>QB</v>
      </c>
      <c r="C31" t="s">
        <v>22</v>
      </c>
      <c r="D31" t="s">
        <v>256</v>
      </c>
      <c r="E31">
        <v>-0.3</v>
      </c>
      <c r="F31" t="str">
        <f t="shared" si="0"/>
        <v>QB:NYG</v>
      </c>
      <c r="G31">
        <f t="shared" si="1"/>
        <v>-0.3</v>
      </c>
      <c r="H31">
        <f t="shared" si="2"/>
        <v>-0.3</v>
      </c>
    </row>
    <row r="32" spans="1:8" x14ac:dyDescent="0.45">
      <c r="A32" t="s">
        <v>132</v>
      </c>
      <c r="B32" t="str">
        <f>INDEX('FanDuel-NFL-2025 EDT-09 EDT-21 '!B:B,MATCH(A32,'FanDuel-NFL-2025 EDT-09 EDT-21 '!D:D,0),1)</f>
        <v>WR</v>
      </c>
      <c r="C32" t="s">
        <v>22</v>
      </c>
      <c r="D32">
        <v>-2</v>
      </c>
      <c r="E32" t="s">
        <v>256</v>
      </c>
      <c r="F32" t="str">
        <f t="shared" si="0"/>
        <v>WR:NYG</v>
      </c>
      <c r="G32">
        <f t="shared" si="1"/>
        <v>-2</v>
      </c>
      <c r="H32">
        <f t="shared" si="2"/>
        <v>-2</v>
      </c>
    </row>
    <row r="33" spans="1:8" x14ac:dyDescent="0.45">
      <c r="A33" t="s">
        <v>136</v>
      </c>
      <c r="F33" t="s">
        <v>257</v>
      </c>
      <c r="G33">
        <v>0</v>
      </c>
      <c r="H33">
        <v>0.92727270993319399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FanDuel-NFL-2025 EDT-09 EDT-21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2025-09-19T15:23:25Z</dcterms:created>
  <dcterms:modified xsi:type="dcterms:W3CDTF">2025-10-28T23:04:37Z</dcterms:modified>
</cp:coreProperties>
</file>