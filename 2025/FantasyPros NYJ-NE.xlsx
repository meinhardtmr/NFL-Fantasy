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FL-Fantasy\2025\"/>
    </mc:Choice>
  </mc:AlternateContent>
  <xr:revisionPtr revIDLastSave="0" documentId="13_ncr:1_{ED6B5223-E850-4E1B-9DE5-525F8FBF5756}" xr6:coauthVersionLast="47" xr6:coauthVersionMax="47" xr10:uidLastSave="{00000000-0000-0000-0000-000000000000}"/>
  <bookViews>
    <workbookView xWindow="43080" yWindow="-120" windowWidth="29040" windowHeight="15720" xr2:uid="{D9CF84F4-DD42-40F8-BCAC-C4E4602F3F04}"/>
  </bookViews>
  <sheets>
    <sheet name="Sheet1" sheetId="1" r:id="rId1"/>
    <sheet name="Sheet2" sheetId="2" r:id="rId2"/>
    <sheet name="Sheet3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46" i="1" l="1"/>
  <c r="N46" i="1"/>
  <c r="X46" i="1" s="1"/>
  <c r="L46" i="1"/>
  <c r="K46" i="1"/>
  <c r="J46" i="1"/>
  <c r="I46" i="1"/>
  <c r="H46" i="1"/>
  <c r="G46" i="1"/>
  <c r="F46" i="1"/>
  <c r="E46" i="1"/>
  <c r="AA45" i="1"/>
  <c r="Z45" i="1"/>
  <c r="Y45" i="1"/>
  <c r="AA44" i="1"/>
  <c r="Z44" i="1"/>
  <c r="Y44" i="1"/>
  <c r="AA43" i="1"/>
  <c r="Z43" i="1"/>
  <c r="Y43" i="1"/>
  <c r="AA42" i="1"/>
  <c r="Z42" i="1"/>
  <c r="Y42" i="1"/>
  <c r="AA41" i="1"/>
  <c r="Z41" i="1"/>
  <c r="Y41" i="1"/>
  <c r="AA40" i="1"/>
  <c r="Z40" i="1"/>
  <c r="Y40" i="1"/>
  <c r="AA39" i="1"/>
  <c r="Z39" i="1"/>
  <c r="Y39" i="1"/>
  <c r="AA38" i="1"/>
  <c r="Z38" i="1"/>
  <c r="Y38" i="1"/>
  <c r="AA37" i="1"/>
  <c r="Z37" i="1"/>
  <c r="Y37" i="1"/>
  <c r="AA36" i="1"/>
  <c r="Z36" i="1"/>
  <c r="Y36" i="1"/>
  <c r="AA35" i="1"/>
  <c r="Z35" i="1"/>
  <c r="Y35" i="1"/>
  <c r="AA34" i="1"/>
  <c r="Z34" i="1"/>
  <c r="Y34" i="1"/>
  <c r="AA33" i="1"/>
  <c r="Z33" i="1"/>
  <c r="Y33" i="1"/>
  <c r="AA32" i="1"/>
  <c r="Z32" i="1"/>
  <c r="Y32" i="1"/>
  <c r="AA31" i="1"/>
  <c r="Z31" i="1"/>
  <c r="Y31" i="1"/>
  <c r="AA30" i="1"/>
  <c r="Z30" i="1"/>
  <c r="Y30" i="1"/>
  <c r="AA29" i="1"/>
  <c r="Z29" i="1"/>
  <c r="Y29" i="1"/>
  <c r="AA28" i="1"/>
  <c r="Z28" i="1"/>
  <c r="Y28" i="1"/>
  <c r="AA27" i="1"/>
  <c r="Z27" i="1"/>
  <c r="Y27" i="1"/>
  <c r="AA26" i="1"/>
  <c r="Z26" i="1"/>
  <c r="Y26" i="1"/>
  <c r="AA25" i="1"/>
  <c r="Z25" i="1"/>
  <c r="Y25" i="1"/>
  <c r="AA24" i="1"/>
  <c r="Z24" i="1"/>
  <c r="Y24" i="1"/>
  <c r="AA23" i="1"/>
  <c r="Z23" i="1"/>
  <c r="Y23" i="1"/>
  <c r="Z21" i="1"/>
  <c r="Y21" i="1"/>
  <c r="X21" i="1"/>
  <c r="N21" i="1"/>
  <c r="M21" i="1"/>
  <c r="AA21" i="1" s="1"/>
  <c r="L21" i="1"/>
  <c r="K21" i="1"/>
  <c r="J21" i="1"/>
  <c r="I21" i="1"/>
  <c r="H21" i="1"/>
  <c r="G21" i="1"/>
  <c r="F21" i="1"/>
  <c r="E21" i="1"/>
  <c r="AA20" i="1"/>
  <c r="Z20" i="1"/>
  <c r="Y20" i="1"/>
  <c r="AA19" i="1"/>
  <c r="Z19" i="1"/>
  <c r="Y19" i="1"/>
  <c r="AA18" i="1"/>
  <c r="Z18" i="1"/>
  <c r="Y18" i="1"/>
  <c r="AA17" i="1"/>
  <c r="Z17" i="1"/>
  <c r="Y17" i="1"/>
  <c r="AA16" i="1"/>
  <c r="Z16" i="1"/>
  <c r="Y16" i="1"/>
  <c r="AA15" i="1"/>
  <c r="Z15" i="1"/>
  <c r="Y15" i="1"/>
  <c r="AA14" i="1"/>
  <c r="Z14" i="1"/>
  <c r="Y14" i="1"/>
  <c r="AA13" i="1"/>
  <c r="Z13" i="1"/>
  <c r="Y13" i="1"/>
  <c r="AA12" i="1"/>
  <c r="Z12" i="1"/>
  <c r="Y12" i="1"/>
  <c r="AA11" i="1"/>
  <c r="Z11" i="1"/>
  <c r="Y11" i="1"/>
  <c r="AA10" i="1"/>
  <c r="Z10" i="1"/>
  <c r="Y10" i="1"/>
  <c r="AA9" i="1"/>
  <c r="Z9" i="1"/>
  <c r="Y9" i="1"/>
  <c r="AA8" i="1"/>
  <c r="Z8" i="1"/>
  <c r="Y8" i="1"/>
  <c r="AA7" i="1"/>
  <c r="Z7" i="1"/>
  <c r="Y7" i="1"/>
  <c r="AA6" i="1"/>
  <c r="Z6" i="1"/>
  <c r="Y6" i="1"/>
  <c r="AA5" i="1"/>
  <c r="Z5" i="1"/>
  <c r="Y5" i="1"/>
  <c r="AA4" i="1"/>
  <c r="Z4" i="1"/>
  <c r="Y4" i="1"/>
  <c r="AA3" i="1"/>
  <c r="Z3" i="1"/>
  <c r="Y3" i="1"/>
  <c r="AA2" i="1"/>
  <c r="Z2" i="1"/>
  <c r="Y2" i="1"/>
  <c r="Z46" i="1" l="1"/>
  <c r="AA46" i="1"/>
  <c r="W21" i="1"/>
  <c r="W46" i="1"/>
</calcChain>
</file>

<file path=xl/sharedStrings.xml><?xml version="1.0" encoding="utf-8"?>
<sst xmlns="http://schemas.openxmlformats.org/spreadsheetml/2006/main" count="159" uniqueCount="82">
  <si>
    <t>#</t>
  </si>
  <si>
    <t>Player</t>
  </si>
  <si>
    <t>Pos</t>
  </si>
  <si>
    <t>Team</t>
  </si>
  <si>
    <t>AVG</t>
  </si>
  <si>
    <t>TTL</t>
  </si>
  <si>
    <t>MIN</t>
  </si>
  <si>
    <t>MEDIAN</t>
  </si>
  <si>
    <t>Drake Maye</t>
  </si>
  <si>
    <t>QB:NE</t>
  </si>
  <si>
    <t>NE</t>
  </si>
  <si>
    <t>Stefon Diggs</t>
  </si>
  <si>
    <t>WR1:NE</t>
  </si>
  <si>
    <t>Kayshon Boutte</t>
  </si>
  <si>
    <t>WR2:NE Q</t>
  </si>
  <si>
    <t>TreVeyon Henderson</t>
  </si>
  <si>
    <t>RB1:NE Q</t>
  </si>
  <si>
    <t>New England Patriots</t>
  </si>
  <si>
    <t>D:NE</t>
  </si>
  <si>
    <t>Hunter Henry</t>
  </si>
  <si>
    <t>TE:NE</t>
  </si>
  <si>
    <t>Andy Borregales</t>
  </si>
  <si>
    <t>K:NE</t>
  </si>
  <si>
    <t>Rhamondre Stevenson</t>
  </si>
  <si>
    <t>RB2:NE Q</t>
  </si>
  <si>
    <t>DeMario Douglas</t>
  </si>
  <si>
    <t>WR5:NE</t>
  </si>
  <si>
    <t>Mack Hollins</t>
  </si>
  <si>
    <t>WR3:NE</t>
  </si>
  <si>
    <t>Austin Hooper</t>
  </si>
  <si>
    <t>TE</t>
  </si>
  <si>
    <t>Antonio Gibson</t>
  </si>
  <si>
    <t>RB</t>
  </si>
  <si>
    <t>Kyle Williams</t>
  </si>
  <si>
    <t>WR4:NE</t>
  </si>
  <si>
    <t>Terrell Jennings</t>
  </si>
  <si>
    <t>RB3:NE Q</t>
  </si>
  <si>
    <t>D'Ernest Johnson</t>
  </si>
  <si>
    <t>RB4:NE</t>
  </si>
  <si>
    <t>Joshua Dobbs</t>
  </si>
  <si>
    <t>QB</t>
  </si>
  <si>
    <t>Jack Westover</t>
  </si>
  <si>
    <t>Efton Chism III</t>
  </si>
  <si>
    <t>WR</t>
  </si>
  <si>
    <t>Jeremiah Webb</t>
  </si>
  <si>
    <t>Justin Fields</t>
  </si>
  <si>
    <t>QB1:NYJ</t>
  </si>
  <si>
    <t>NYJ</t>
  </si>
  <si>
    <t>BYE</t>
  </si>
  <si>
    <t>Breece Hall</t>
  </si>
  <si>
    <t>RB:NYJ</t>
  </si>
  <si>
    <t>Nick Folk</t>
  </si>
  <si>
    <t>K:NYJ</t>
  </si>
  <si>
    <t>Garrett Wilson</t>
  </si>
  <si>
    <t>Mason Taylor</t>
  </si>
  <si>
    <t>TE:NYJ</t>
  </si>
  <si>
    <t>New York Jets</t>
  </si>
  <si>
    <t>D:NYJ</t>
  </si>
  <si>
    <t>Isaiah Davis</t>
  </si>
  <si>
    <t>Tyrod Taylor</t>
  </si>
  <si>
    <t>QB2:NYJ</t>
  </si>
  <si>
    <t>Tyler Johnson</t>
  </si>
  <si>
    <t>WR1:NYJ</t>
  </si>
  <si>
    <t>Jeremy Ruckert</t>
  </si>
  <si>
    <t>Adonai Mitchell</t>
  </si>
  <si>
    <t>WR2:NYJ</t>
  </si>
  <si>
    <t>Josh Reynolds</t>
  </si>
  <si>
    <t>Braelon Allen</t>
  </si>
  <si>
    <t>Allen Lazard</t>
  </si>
  <si>
    <t>Isaiah Williams</t>
  </si>
  <si>
    <t>WR3:NYJ</t>
  </si>
  <si>
    <t>Andrew Beck</t>
  </si>
  <si>
    <t>Arian Smith</t>
  </si>
  <si>
    <t>Kene Nwangwu</t>
  </si>
  <si>
    <t>John Metchie III</t>
  </si>
  <si>
    <t>WR4:NYJ</t>
  </si>
  <si>
    <t>Stone Smartt</t>
  </si>
  <si>
    <t>Brandon Smith</t>
  </si>
  <si>
    <t>Jelani Woods</t>
  </si>
  <si>
    <t>Khalil Herbert</t>
  </si>
  <si>
    <t>Totals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</si>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</sst>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6ABF-8BAA-4F95-8F65-E03FBF05392F}">
  <dimension ref="A1:AA46"/>
  <sheetViews>
    <sheetView tabSelected="1" workbookViewId="0">
      <pane ySplit="1" topLeftCell="A2" activePane="bottomLeft" state="frozen"/>
      <selection pane="bottomLeft" activeCell="Q4" sqref="Q4"/>
    </sheetView>
  </sheetViews>
  <sheetFormatPr defaultRowHeight="14.25" x14ac:dyDescent="0.45"/>
  <cols>
    <col min="1" max="1" width="3.73046875" bestFit="1" customWidth="1"/>
    <col min="2" max="2" width="19.3984375" bestFit="1" customWidth="1"/>
    <col min="3" max="3" width="9" bestFit="1" customWidth="1"/>
    <col min="4" max="4" width="5.9296875" bestFit="1" customWidth="1"/>
    <col min="5" max="6" width="5.73046875" bestFit="1" customWidth="1"/>
    <col min="7" max="7" width="4.73046875" bestFit="1" customWidth="1"/>
    <col min="8" max="8" width="5.73046875" bestFit="1" customWidth="1"/>
    <col min="9" max="10" width="4.73046875" bestFit="1" customWidth="1"/>
    <col min="11" max="12" width="5.73046875" bestFit="1" customWidth="1"/>
    <col min="13" max="14" width="4.73046875" bestFit="1" customWidth="1"/>
    <col min="15" max="22" width="2.73046875" bestFit="1" customWidth="1"/>
    <col min="23" max="24" width="5.73046875" bestFit="1" customWidth="1"/>
    <col min="25" max="25" width="4.73046875" bestFit="1" customWidth="1"/>
    <col min="26" max="26" width="5.73046875" bestFit="1" customWidth="1"/>
    <col min="27" max="27" width="7.6640625" bestFit="1" customWidth="1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 t="s">
        <v>4</v>
      </c>
      <c r="X1" s="1" t="s">
        <v>5</v>
      </c>
      <c r="Y1" s="1" t="s">
        <v>6</v>
      </c>
      <c r="Z1" s="1" t="s">
        <v>81</v>
      </c>
      <c r="AA1" s="1" t="s">
        <v>7</v>
      </c>
    </row>
    <row r="2" spans="1:27" x14ac:dyDescent="0.45">
      <c r="A2">
        <v>3</v>
      </c>
      <c r="B2" t="s">
        <v>8</v>
      </c>
      <c r="C2" t="s">
        <v>9</v>
      </c>
      <c r="D2" t="s">
        <v>10</v>
      </c>
      <c r="E2">
        <v>16.3</v>
      </c>
      <c r="F2">
        <v>26.3</v>
      </c>
      <c r="G2">
        <v>20.2</v>
      </c>
      <c r="H2">
        <v>23.2</v>
      </c>
      <c r="I2">
        <v>12.1</v>
      </c>
      <c r="J2">
        <v>27.2</v>
      </c>
      <c r="K2">
        <v>23.1</v>
      </c>
      <c r="L2">
        <v>27.3</v>
      </c>
      <c r="M2">
        <v>17.399999999999999</v>
      </c>
      <c r="N2">
        <v>19.100000000000001</v>
      </c>
      <c r="W2">
        <v>21.2</v>
      </c>
      <c r="X2">
        <v>212.2</v>
      </c>
      <c r="Y2">
        <f t="shared" ref="Y2:Y20" si="0">MIN(E2:N2)</f>
        <v>12.1</v>
      </c>
      <c r="Z2">
        <f t="shared" ref="Z2:Z20" si="1">MAX(E2:N2)</f>
        <v>27.3</v>
      </c>
      <c r="AA2">
        <f t="shared" ref="AA2:AA20" si="2">MEDIAN(E2:N2)</f>
        <v>21.65</v>
      </c>
    </row>
    <row r="3" spans="1:27" x14ac:dyDescent="0.45">
      <c r="A3">
        <v>74</v>
      </c>
      <c r="B3" t="s">
        <v>11</v>
      </c>
      <c r="C3" t="s">
        <v>12</v>
      </c>
      <c r="D3" t="s">
        <v>10</v>
      </c>
      <c r="E3">
        <v>8.6999999999999993</v>
      </c>
      <c r="F3">
        <v>5.2</v>
      </c>
      <c r="G3">
        <v>3.8</v>
      </c>
      <c r="H3">
        <v>13.1</v>
      </c>
      <c r="I3">
        <v>19.600000000000001</v>
      </c>
      <c r="J3">
        <v>4.3</v>
      </c>
      <c r="K3">
        <v>10.4</v>
      </c>
      <c r="L3">
        <v>8.9</v>
      </c>
      <c r="M3">
        <v>11.3</v>
      </c>
      <c r="N3">
        <v>13.1</v>
      </c>
      <c r="W3">
        <v>9.8000000000000007</v>
      </c>
      <c r="X3">
        <v>98.4</v>
      </c>
      <c r="Y3">
        <f t="shared" si="0"/>
        <v>3.8</v>
      </c>
      <c r="Z3">
        <f t="shared" si="1"/>
        <v>19.600000000000001</v>
      </c>
      <c r="AA3">
        <f t="shared" si="2"/>
        <v>9.65</v>
      </c>
    </row>
    <row r="4" spans="1:27" x14ac:dyDescent="0.45">
      <c r="A4">
        <v>105</v>
      </c>
      <c r="B4" t="s">
        <v>13</v>
      </c>
      <c r="C4" t="s">
        <v>14</v>
      </c>
      <c r="D4" t="s">
        <v>10</v>
      </c>
      <c r="E4">
        <v>13.3</v>
      </c>
      <c r="F4">
        <v>8.1</v>
      </c>
      <c r="G4">
        <v>3.8</v>
      </c>
      <c r="H4">
        <v>2.2999999999999998</v>
      </c>
      <c r="I4">
        <v>5.8</v>
      </c>
      <c r="J4">
        <v>23.8</v>
      </c>
      <c r="K4">
        <v>12.5</v>
      </c>
      <c r="L4">
        <v>15</v>
      </c>
      <c r="M4">
        <v>0</v>
      </c>
      <c r="W4">
        <v>9.4</v>
      </c>
      <c r="X4">
        <v>84.6</v>
      </c>
      <c r="Y4">
        <f t="shared" si="0"/>
        <v>0</v>
      </c>
      <c r="Z4">
        <f t="shared" si="1"/>
        <v>23.8</v>
      </c>
      <c r="AA4">
        <f t="shared" si="2"/>
        <v>8.1</v>
      </c>
    </row>
    <row r="5" spans="1:27" x14ac:dyDescent="0.45">
      <c r="A5">
        <v>109</v>
      </c>
      <c r="B5" t="s">
        <v>15</v>
      </c>
      <c r="C5" t="s">
        <v>16</v>
      </c>
      <c r="D5" t="s">
        <v>10</v>
      </c>
      <c r="E5">
        <v>8.1</v>
      </c>
      <c r="F5">
        <v>5</v>
      </c>
      <c r="G5">
        <v>6.2</v>
      </c>
      <c r="H5">
        <v>11.6</v>
      </c>
      <c r="I5">
        <v>3.7</v>
      </c>
      <c r="J5">
        <v>4.0999999999999996</v>
      </c>
      <c r="K5">
        <v>0.5</v>
      </c>
      <c r="L5">
        <v>5.5</v>
      </c>
      <c r="M5">
        <v>10.7</v>
      </c>
      <c r="N5">
        <v>27.5</v>
      </c>
      <c r="W5">
        <v>8.3000000000000007</v>
      </c>
      <c r="X5">
        <v>82.9</v>
      </c>
      <c r="Y5">
        <f t="shared" si="0"/>
        <v>0.5</v>
      </c>
      <c r="Z5">
        <f t="shared" si="1"/>
        <v>27.5</v>
      </c>
      <c r="AA5">
        <f t="shared" si="2"/>
        <v>5.85</v>
      </c>
    </row>
    <row r="6" spans="1:27" x14ac:dyDescent="0.45">
      <c r="A6">
        <v>117</v>
      </c>
      <c r="B6" t="s">
        <v>17</v>
      </c>
      <c r="C6" t="s">
        <v>18</v>
      </c>
      <c r="D6" t="s">
        <v>10</v>
      </c>
      <c r="E6">
        <v>7</v>
      </c>
      <c r="F6">
        <v>13</v>
      </c>
      <c r="G6">
        <v>2</v>
      </c>
      <c r="H6">
        <v>11</v>
      </c>
      <c r="I6">
        <v>8</v>
      </c>
      <c r="J6">
        <v>5</v>
      </c>
      <c r="K6">
        <v>19</v>
      </c>
      <c r="L6">
        <v>11</v>
      </c>
      <c r="M6">
        <v>1</v>
      </c>
      <c r="N6">
        <v>2</v>
      </c>
      <c r="W6">
        <v>7.9</v>
      </c>
      <c r="X6">
        <v>79</v>
      </c>
      <c r="Y6">
        <f t="shared" si="0"/>
        <v>1</v>
      </c>
      <c r="Z6">
        <f t="shared" si="1"/>
        <v>19</v>
      </c>
      <c r="AA6">
        <f t="shared" si="2"/>
        <v>7.5</v>
      </c>
    </row>
    <row r="7" spans="1:27" x14ac:dyDescent="0.45">
      <c r="A7">
        <v>129</v>
      </c>
      <c r="B7" t="s">
        <v>19</v>
      </c>
      <c r="C7" t="s">
        <v>20</v>
      </c>
      <c r="D7" t="s">
        <v>10</v>
      </c>
      <c r="E7">
        <v>8.6</v>
      </c>
      <c r="F7">
        <v>1.4</v>
      </c>
      <c r="G7">
        <v>25</v>
      </c>
      <c r="H7">
        <v>10.9</v>
      </c>
      <c r="I7">
        <v>5.6</v>
      </c>
      <c r="J7">
        <v>4.2</v>
      </c>
      <c r="K7">
        <v>5.3</v>
      </c>
      <c r="L7">
        <v>7.2</v>
      </c>
      <c r="M7">
        <v>7.1</v>
      </c>
      <c r="N7">
        <v>1.4</v>
      </c>
      <c r="W7">
        <v>7.7</v>
      </c>
      <c r="X7">
        <v>76.7</v>
      </c>
      <c r="Y7">
        <f t="shared" si="0"/>
        <v>1.4</v>
      </c>
      <c r="Z7">
        <f t="shared" si="1"/>
        <v>25</v>
      </c>
      <c r="AA7">
        <f t="shared" si="2"/>
        <v>6.35</v>
      </c>
    </row>
    <row r="8" spans="1:27" x14ac:dyDescent="0.45">
      <c r="A8">
        <v>141</v>
      </c>
      <c r="B8" t="s">
        <v>21</v>
      </c>
      <c r="C8" t="s">
        <v>22</v>
      </c>
      <c r="D8" t="s">
        <v>10</v>
      </c>
      <c r="E8">
        <v>8</v>
      </c>
      <c r="F8">
        <v>9</v>
      </c>
      <c r="G8">
        <v>2</v>
      </c>
      <c r="H8">
        <v>6</v>
      </c>
      <c r="I8">
        <v>13</v>
      </c>
      <c r="J8">
        <v>5</v>
      </c>
      <c r="K8">
        <v>7</v>
      </c>
      <c r="L8">
        <v>13</v>
      </c>
      <c r="M8">
        <v>6</v>
      </c>
      <c r="N8">
        <v>4</v>
      </c>
      <c r="W8">
        <v>7.3</v>
      </c>
      <c r="X8">
        <v>73</v>
      </c>
      <c r="Y8">
        <f t="shared" si="0"/>
        <v>2</v>
      </c>
      <c r="Z8">
        <f t="shared" si="1"/>
        <v>13</v>
      </c>
      <c r="AA8">
        <f t="shared" si="2"/>
        <v>6.5</v>
      </c>
    </row>
    <row r="9" spans="1:27" x14ac:dyDescent="0.45">
      <c r="A9">
        <v>162</v>
      </c>
      <c r="B9" t="s">
        <v>23</v>
      </c>
      <c r="C9" t="s">
        <v>24</v>
      </c>
      <c r="D9" t="s">
        <v>10</v>
      </c>
      <c r="E9">
        <v>3.7</v>
      </c>
      <c r="F9">
        <v>18.7</v>
      </c>
      <c r="G9">
        <v>3.1</v>
      </c>
      <c r="H9">
        <v>4.5999999999999996</v>
      </c>
      <c r="I9">
        <v>13.7</v>
      </c>
      <c r="J9">
        <v>1.8</v>
      </c>
      <c r="K9">
        <v>15.8</v>
      </c>
      <c r="L9">
        <v>5.4</v>
      </c>
      <c r="W9">
        <v>8.4</v>
      </c>
      <c r="X9">
        <v>66.8</v>
      </c>
      <c r="Y9">
        <f t="shared" si="0"/>
        <v>1.8</v>
      </c>
      <c r="Z9">
        <f t="shared" si="1"/>
        <v>18.7</v>
      </c>
      <c r="AA9">
        <f t="shared" si="2"/>
        <v>5</v>
      </c>
    </row>
    <row r="10" spans="1:27" x14ac:dyDescent="0.45">
      <c r="A10">
        <v>190</v>
      </c>
      <c r="B10" t="s">
        <v>25</v>
      </c>
      <c r="C10" t="s">
        <v>26</v>
      </c>
      <c r="D10" t="s">
        <v>10</v>
      </c>
      <c r="E10">
        <v>7.2</v>
      </c>
      <c r="F10">
        <v>1.3</v>
      </c>
      <c r="G10">
        <v>1.7</v>
      </c>
      <c r="H10">
        <v>0</v>
      </c>
      <c r="I10">
        <v>2.7</v>
      </c>
      <c r="J10">
        <v>14.6</v>
      </c>
      <c r="K10">
        <v>3.2</v>
      </c>
      <c r="L10">
        <v>5.2</v>
      </c>
      <c r="M10">
        <v>18</v>
      </c>
      <c r="N10">
        <v>4.4000000000000004</v>
      </c>
      <c r="W10">
        <v>5.8</v>
      </c>
      <c r="X10">
        <v>58.3</v>
      </c>
      <c r="Y10">
        <f t="shared" si="0"/>
        <v>0</v>
      </c>
      <c r="Z10">
        <f t="shared" si="1"/>
        <v>18</v>
      </c>
      <c r="AA10">
        <f t="shared" si="2"/>
        <v>3.8000000000000003</v>
      </c>
    </row>
    <row r="11" spans="1:27" x14ac:dyDescent="0.45">
      <c r="A11">
        <v>194</v>
      </c>
      <c r="B11" t="s">
        <v>27</v>
      </c>
      <c r="C11" t="s">
        <v>28</v>
      </c>
      <c r="D11" t="s">
        <v>10</v>
      </c>
      <c r="E11">
        <v>0.8</v>
      </c>
      <c r="F11">
        <v>7.3</v>
      </c>
      <c r="G11">
        <v>4.7</v>
      </c>
      <c r="H11">
        <v>6.9</v>
      </c>
      <c r="I11">
        <v>0</v>
      </c>
      <c r="J11">
        <v>3.8</v>
      </c>
      <c r="K11">
        <v>6.3</v>
      </c>
      <c r="L11">
        <v>12.4</v>
      </c>
      <c r="M11">
        <v>1.9</v>
      </c>
      <c r="N11">
        <v>13.6</v>
      </c>
      <c r="W11">
        <v>5.8</v>
      </c>
      <c r="X11">
        <v>57.7</v>
      </c>
      <c r="Y11">
        <f t="shared" si="0"/>
        <v>0</v>
      </c>
      <c r="Z11">
        <f t="shared" si="1"/>
        <v>13.6</v>
      </c>
      <c r="AA11">
        <f t="shared" si="2"/>
        <v>5.5</v>
      </c>
    </row>
    <row r="12" spans="1:27" x14ac:dyDescent="0.45">
      <c r="A12">
        <v>294</v>
      </c>
      <c r="B12" t="s">
        <v>29</v>
      </c>
      <c r="C12" t="s">
        <v>30</v>
      </c>
      <c r="D12" t="s">
        <v>10</v>
      </c>
      <c r="E12">
        <v>1.5</v>
      </c>
      <c r="F12">
        <v>5.3</v>
      </c>
      <c r="G12">
        <v>3.8</v>
      </c>
      <c r="H12">
        <v>2.9</v>
      </c>
      <c r="I12">
        <v>0</v>
      </c>
      <c r="J12">
        <v>1</v>
      </c>
      <c r="K12">
        <v>8.1</v>
      </c>
      <c r="L12">
        <v>4.8</v>
      </c>
      <c r="M12">
        <v>2.5</v>
      </c>
      <c r="N12">
        <v>0</v>
      </c>
      <c r="W12">
        <v>3</v>
      </c>
      <c r="X12">
        <v>29.9</v>
      </c>
      <c r="Y12">
        <f t="shared" si="0"/>
        <v>0</v>
      </c>
      <c r="Z12">
        <f t="shared" si="1"/>
        <v>8.1</v>
      </c>
      <c r="AA12">
        <f t="shared" si="2"/>
        <v>2.7</v>
      </c>
    </row>
    <row r="13" spans="1:27" x14ac:dyDescent="0.45">
      <c r="A13">
        <v>340</v>
      </c>
      <c r="B13" t="s">
        <v>31</v>
      </c>
      <c r="C13" t="s">
        <v>32</v>
      </c>
      <c r="D13" t="s">
        <v>10</v>
      </c>
      <c r="E13">
        <v>0.3</v>
      </c>
      <c r="F13">
        <v>9.3000000000000007</v>
      </c>
      <c r="G13">
        <v>0.8</v>
      </c>
      <c r="H13">
        <v>8.6999999999999993</v>
      </c>
      <c r="I13">
        <v>3.1</v>
      </c>
      <c r="W13">
        <v>4.4000000000000004</v>
      </c>
      <c r="X13">
        <v>22.2</v>
      </c>
      <c r="Y13">
        <f t="shared" si="0"/>
        <v>0.3</v>
      </c>
      <c r="Z13">
        <f t="shared" si="1"/>
        <v>9.3000000000000007</v>
      </c>
      <c r="AA13">
        <f t="shared" si="2"/>
        <v>3.1</v>
      </c>
    </row>
    <row r="14" spans="1:27" x14ac:dyDescent="0.45">
      <c r="A14">
        <v>361</v>
      </c>
      <c r="B14" t="s">
        <v>33</v>
      </c>
      <c r="C14" t="s">
        <v>34</v>
      </c>
      <c r="D14" t="s">
        <v>10</v>
      </c>
      <c r="E14">
        <v>1.7</v>
      </c>
      <c r="F14">
        <v>0</v>
      </c>
      <c r="G14">
        <v>1.3</v>
      </c>
      <c r="H14">
        <v>-0.2</v>
      </c>
      <c r="I14">
        <v>0</v>
      </c>
      <c r="J14">
        <v>0</v>
      </c>
      <c r="K14">
        <v>0</v>
      </c>
      <c r="L14">
        <v>0</v>
      </c>
      <c r="M14">
        <v>0</v>
      </c>
      <c r="N14">
        <v>13.7</v>
      </c>
      <c r="W14">
        <v>1.7</v>
      </c>
      <c r="X14">
        <v>16.5</v>
      </c>
      <c r="Y14">
        <f t="shared" si="0"/>
        <v>-0.2</v>
      </c>
      <c r="Z14">
        <f t="shared" si="1"/>
        <v>13.7</v>
      </c>
      <c r="AA14">
        <f t="shared" si="2"/>
        <v>0</v>
      </c>
    </row>
    <row r="15" spans="1:27" x14ac:dyDescent="0.45">
      <c r="A15">
        <v>372</v>
      </c>
      <c r="B15" t="s">
        <v>35</v>
      </c>
      <c r="C15" t="s">
        <v>36</v>
      </c>
      <c r="D15" t="s">
        <v>10</v>
      </c>
      <c r="K15">
        <v>1.8</v>
      </c>
      <c r="L15">
        <v>1.5</v>
      </c>
      <c r="M15">
        <v>10.9</v>
      </c>
      <c r="N15">
        <v>0.5</v>
      </c>
      <c r="W15">
        <v>3.7</v>
      </c>
      <c r="X15">
        <v>14.7</v>
      </c>
      <c r="Y15">
        <f t="shared" si="0"/>
        <v>0.5</v>
      </c>
      <c r="Z15">
        <f t="shared" si="1"/>
        <v>10.9</v>
      </c>
      <c r="AA15">
        <f t="shared" si="2"/>
        <v>1.65</v>
      </c>
    </row>
    <row r="16" spans="1:27" x14ac:dyDescent="0.45">
      <c r="A16">
        <v>538</v>
      </c>
      <c r="B16" t="s">
        <v>37</v>
      </c>
      <c r="C16" t="s">
        <v>38</v>
      </c>
      <c r="D16" t="s">
        <v>10</v>
      </c>
      <c r="K16">
        <v>0</v>
      </c>
      <c r="N16">
        <v>0.1</v>
      </c>
      <c r="W16">
        <v>0.1</v>
      </c>
      <c r="X16">
        <v>0.1</v>
      </c>
      <c r="Y16">
        <f t="shared" si="0"/>
        <v>0</v>
      </c>
      <c r="Z16">
        <f t="shared" si="1"/>
        <v>0.1</v>
      </c>
      <c r="AA16">
        <f t="shared" si="2"/>
        <v>0.05</v>
      </c>
    </row>
    <row r="17" spans="1:27" x14ac:dyDescent="0.45">
      <c r="A17">
        <v>542</v>
      </c>
      <c r="B17" t="s">
        <v>39</v>
      </c>
      <c r="C17" t="s">
        <v>40</v>
      </c>
      <c r="D17" t="s">
        <v>10</v>
      </c>
      <c r="H17">
        <v>-0.2</v>
      </c>
      <c r="K17">
        <v>0.3</v>
      </c>
      <c r="W17">
        <v>0</v>
      </c>
      <c r="X17">
        <v>0.1</v>
      </c>
      <c r="Y17">
        <f t="shared" si="0"/>
        <v>-0.2</v>
      </c>
      <c r="Z17">
        <f t="shared" si="1"/>
        <v>0.3</v>
      </c>
      <c r="AA17">
        <f t="shared" si="2"/>
        <v>4.9999999999999989E-2</v>
      </c>
    </row>
    <row r="18" spans="1:27" x14ac:dyDescent="0.45">
      <c r="A18">
        <v>543</v>
      </c>
      <c r="B18" t="s">
        <v>41</v>
      </c>
      <c r="C18" t="s">
        <v>30</v>
      </c>
      <c r="D18" t="s">
        <v>10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W18">
        <v>0</v>
      </c>
      <c r="X18">
        <v>0</v>
      </c>
      <c r="Y18">
        <f t="shared" si="0"/>
        <v>0</v>
      </c>
      <c r="Z18">
        <f t="shared" si="1"/>
        <v>0</v>
      </c>
      <c r="AA18">
        <f t="shared" si="2"/>
        <v>0</v>
      </c>
    </row>
    <row r="19" spans="1:27" x14ac:dyDescent="0.45">
      <c r="A19">
        <v>543</v>
      </c>
      <c r="B19" t="s">
        <v>42</v>
      </c>
      <c r="C19" t="s">
        <v>43</v>
      </c>
      <c r="D19" t="s">
        <v>10</v>
      </c>
      <c r="J19">
        <v>0</v>
      </c>
      <c r="K19">
        <v>0</v>
      </c>
      <c r="M19">
        <v>0</v>
      </c>
      <c r="N19">
        <v>0</v>
      </c>
      <c r="W19">
        <v>0</v>
      </c>
      <c r="X19">
        <v>0</v>
      </c>
      <c r="Y19">
        <f t="shared" si="0"/>
        <v>0</v>
      </c>
      <c r="Z19">
        <f t="shared" si="1"/>
        <v>0</v>
      </c>
      <c r="AA19">
        <f t="shared" si="2"/>
        <v>0</v>
      </c>
    </row>
    <row r="20" spans="1:27" x14ac:dyDescent="0.45">
      <c r="A20">
        <v>543</v>
      </c>
      <c r="B20" t="s">
        <v>44</v>
      </c>
      <c r="C20" t="s">
        <v>43</v>
      </c>
      <c r="D20" t="s">
        <v>10</v>
      </c>
      <c r="E20">
        <v>0</v>
      </c>
      <c r="W20">
        <v>0</v>
      </c>
      <c r="X20">
        <v>0</v>
      </c>
      <c r="Y20">
        <f t="shared" si="0"/>
        <v>0</v>
      </c>
      <c r="Z20">
        <f t="shared" si="1"/>
        <v>0</v>
      </c>
      <c r="AA20">
        <f t="shared" si="2"/>
        <v>0</v>
      </c>
    </row>
    <row r="21" spans="1:27" x14ac:dyDescent="0.45">
      <c r="D21" s="1" t="s">
        <v>80</v>
      </c>
      <c r="E21" s="1">
        <f>SUM(E2:E20)</f>
        <v>85.2</v>
      </c>
      <c r="F21" s="1">
        <f t="shared" ref="F21:N21" si="3">SUM(F2:F20)</f>
        <v>109.89999999999999</v>
      </c>
      <c r="G21" s="1">
        <f t="shared" si="3"/>
        <v>78.399999999999991</v>
      </c>
      <c r="H21" s="1">
        <f t="shared" si="3"/>
        <v>100.8</v>
      </c>
      <c r="I21" s="1">
        <f t="shared" si="3"/>
        <v>87.300000000000011</v>
      </c>
      <c r="J21" s="1">
        <f t="shared" si="3"/>
        <v>94.8</v>
      </c>
      <c r="K21" s="1">
        <f t="shared" si="3"/>
        <v>113.29999999999998</v>
      </c>
      <c r="L21" s="1">
        <f t="shared" si="3"/>
        <v>117.20000000000002</v>
      </c>
      <c r="M21" s="1">
        <f t="shared" si="3"/>
        <v>86.800000000000011</v>
      </c>
      <c r="N21" s="1">
        <f t="shared" si="3"/>
        <v>99.399999999999991</v>
      </c>
      <c r="O21" s="1"/>
      <c r="P21" s="1"/>
      <c r="Q21" s="1"/>
      <c r="R21" s="1"/>
      <c r="S21" s="1"/>
      <c r="T21" s="1"/>
      <c r="U21" s="1"/>
      <c r="V21" s="1"/>
      <c r="W21" s="1">
        <f>AVERAGE(E21:N21)</f>
        <v>97.31</v>
      </c>
      <c r="X21" s="1">
        <f>SUM(E21:N21)</f>
        <v>973.1</v>
      </c>
      <c r="Y21" s="1">
        <f>MIN(E21:N21)</f>
        <v>78.399999999999991</v>
      </c>
      <c r="Z21" s="1">
        <f>MAX(E21:N21)</f>
        <v>117.20000000000002</v>
      </c>
      <c r="AA21" s="1">
        <f>MEDIAN(E21:N21)</f>
        <v>97.1</v>
      </c>
    </row>
    <row r="23" spans="1:27" x14ac:dyDescent="0.45">
      <c r="A23">
        <v>43</v>
      </c>
      <c r="B23" t="s">
        <v>45</v>
      </c>
      <c r="C23" t="s">
        <v>46</v>
      </c>
      <c r="D23" t="s">
        <v>47</v>
      </c>
      <c r="E23">
        <v>29.5</v>
      </c>
      <c r="F23">
        <v>4</v>
      </c>
      <c r="H23">
        <v>27.1</v>
      </c>
      <c r="I23">
        <v>25.9</v>
      </c>
      <c r="J23">
        <v>4.9000000000000004</v>
      </c>
      <c r="K23">
        <v>4</v>
      </c>
      <c r="L23">
        <v>20.9</v>
      </c>
      <c r="M23" t="s">
        <v>48</v>
      </c>
      <c r="N23">
        <v>8</v>
      </c>
      <c r="W23">
        <v>15.5</v>
      </c>
      <c r="X23">
        <v>124.3</v>
      </c>
      <c r="Y23">
        <f t="shared" ref="Y23:Y45" si="4">MIN(E23:N23)</f>
        <v>4</v>
      </c>
      <c r="Z23">
        <f t="shared" ref="Z23:Z45" si="5">MAX(E23:N23)</f>
        <v>29.5</v>
      </c>
      <c r="AA23">
        <f t="shared" ref="AA23:AA45" si="6">MEDIAN(E23:N23)</f>
        <v>14.45</v>
      </c>
    </row>
    <row r="24" spans="1:27" x14ac:dyDescent="0.45">
      <c r="A24">
        <v>47</v>
      </c>
      <c r="B24" t="s">
        <v>49</v>
      </c>
      <c r="C24" t="s">
        <v>50</v>
      </c>
      <c r="D24" t="s">
        <v>47</v>
      </c>
      <c r="E24">
        <v>15.5</v>
      </c>
      <c r="F24">
        <v>4.8</v>
      </c>
      <c r="G24">
        <v>7.2</v>
      </c>
      <c r="H24">
        <v>13.6</v>
      </c>
      <c r="I24">
        <v>15.5</v>
      </c>
      <c r="J24">
        <v>5.9</v>
      </c>
      <c r="K24">
        <v>6.2</v>
      </c>
      <c r="L24">
        <v>31.9</v>
      </c>
      <c r="M24" t="s">
        <v>48</v>
      </c>
      <c r="N24">
        <v>19</v>
      </c>
      <c r="W24">
        <v>13.3</v>
      </c>
      <c r="X24">
        <v>119.6</v>
      </c>
      <c r="Y24">
        <f t="shared" si="4"/>
        <v>4.8</v>
      </c>
      <c r="Z24">
        <f t="shared" si="5"/>
        <v>31.9</v>
      </c>
      <c r="AA24">
        <f t="shared" si="6"/>
        <v>13.6</v>
      </c>
    </row>
    <row r="25" spans="1:27" x14ac:dyDescent="0.45">
      <c r="A25">
        <v>106</v>
      </c>
      <c r="B25" t="s">
        <v>51</v>
      </c>
      <c r="C25" t="s">
        <v>52</v>
      </c>
      <c r="D25" t="s">
        <v>47</v>
      </c>
      <c r="E25">
        <v>10</v>
      </c>
      <c r="F25">
        <v>6</v>
      </c>
      <c r="G25">
        <v>10</v>
      </c>
      <c r="H25">
        <v>11</v>
      </c>
      <c r="I25">
        <v>7</v>
      </c>
      <c r="J25">
        <v>12</v>
      </c>
      <c r="K25">
        <v>7</v>
      </c>
      <c r="L25">
        <v>12</v>
      </c>
      <c r="M25" t="s">
        <v>48</v>
      </c>
      <c r="N25">
        <v>9</v>
      </c>
      <c r="W25">
        <v>9.3000000000000007</v>
      </c>
      <c r="X25">
        <v>84</v>
      </c>
      <c r="Y25">
        <f t="shared" si="4"/>
        <v>6</v>
      </c>
      <c r="Z25">
        <f t="shared" si="5"/>
        <v>12</v>
      </c>
      <c r="AA25">
        <f t="shared" si="6"/>
        <v>10</v>
      </c>
    </row>
    <row r="26" spans="1:27" x14ac:dyDescent="0.45">
      <c r="A26">
        <v>112</v>
      </c>
      <c r="B26" t="s">
        <v>53</v>
      </c>
      <c r="C26" t="s">
        <v>43</v>
      </c>
      <c r="D26" t="s">
        <v>47</v>
      </c>
      <c r="E26">
        <v>19</v>
      </c>
      <c r="F26">
        <v>7</v>
      </c>
      <c r="G26">
        <v>19.399999999999999</v>
      </c>
      <c r="H26">
        <v>17.2</v>
      </c>
      <c r="I26">
        <v>16.100000000000001</v>
      </c>
      <c r="J26">
        <v>2.8</v>
      </c>
      <c r="M26" t="s">
        <v>48</v>
      </c>
      <c r="N26">
        <v>0</v>
      </c>
      <c r="W26">
        <v>11.6</v>
      </c>
      <c r="X26">
        <v>81.5</v>
      </c>
      <c r="Y26">
        <f t="shared" si="4"/>
        <v>0</v>
      </c>
      <c r="Z26">
        <f t="shared" si="5"/>
        <v>19.399999999999999</v>
      </c>
      <c r="AA26">
        <f t="shared" si="6"/>
        <v>16.100000000000001</v>
      </c>
    </row>
    <row r="27" spans="1:27" x14ac:dyDescent="0.45">
      <c r="A27">
        <v>230</v>
      </c>
      <c r="B27" t="s">
        <v>54</v>
      </c>
      <c r="C27" t="s">
        <v>55</v>
      </c>
      <c r="D27" t="s">
        <v>47</v>
      </c>
      <c r="E27">
        <v>2.5</v>
      </c>
      <c r="F27">
        <v>1</v>
      </c>
      <c r="G27">
        <v>3.8</v>
      </c>
      <c r="H27">
        <v>9</v>
      </c>
      <c r="I27">
        <v>13.2</v>
      </c>
      <c r="J27">
        <v>0.7</v>
      </c>
      <c r="K27">
        <v>4.5999999999999996</v>
      </c>
      <c r="L27">
        <v>11.9</v>
      </c>
      <c r="M27" t="s">
        <v>48</v>
      </c>
      <c r="N27">
        <v>0.9</v>
      </c>
      <c r="W27">
        <v>5.3</v>
      </c>
      <c r="X27">
        <v>47.6</v>
      </c>
      <c r="Y27">
        <f t="shared" si="4"/>
        <v>0.7</v>
      </c>
      <c r="Z27">
        <f t="shared" si="5"/>
        <v>13.2</v>
      </c>
      <c r="AA27">
        <f t="shared" si="6"/>
        <v>3.8</v>
      </c>
    </row>
    <row r="28" spans="1:27" x14ac:dyDescent="0.45">
      <c r="A28">
        <v>256</v>
      </c>
      <c r="B28" t="s">
        <v>56</v>
      </c>
      <c r="C28" t="s">
        <v>57</v>
      </c>
      <c r="D28" t="s">
        <v>47</v>
      </c>
      <c r="E28">
        <v>3</v>
      </c>
      <c r="F28">
        <v>0</v>
      </c>
      <c r="G28">
        <v>9</v>
      </c>
      <c r="H28">
        <v>0</v>
      </c>
      <c r="I28">
        <v>-3</v>
      </c>
      <c r="J28">
        <v>9</v>
      </c>
      <c r="K28">
        <v>6</v>
      </c>
      <c r="L28">
        <v>-3</v>
      </c>
      <c r="M28" t="s">
        <v>48</v>
      </c>
      <c r="N28">
        <v>19</v>
      </c>
      <c r="W28">
        <v>4.4000000000000004</v>
      </c>
      <c r="X28">
        <v>40</v>
      </c>
      <c r="Y28">
        <f t="shared" si="4"/>
        <v>-3</v>
      </c>
      <c r="Z28">
        <f t="shared" si="5"/>
        <v>19</v>
      </c>
      <c r="AA28">
        <f t="shared" si="6"/>
        <v>3</v>
      </c>
    </row>
    <row r="29" spans="1:27" x14ac:dyDescent="0.45">
      <c r="A29">
        <v>282</v>
      </c>
      <c r="B29" t="s">
        <v>58</v>
      </c>
      <c r="C29" t="s">
        <v>32</v>
      </c>
      <c r="D29" t="s">
        <v>47</v>
      </c>
      <c r="E29">
        <v>1.8</v>
      </c>
      <c r="F29">
        <v>1.1000000000000001</v>
      </c>
      <c r="G29">
        <v>0</v>
      </c>
      <c r="H29">
        <v>3.7</v>
      </c>
      <c r="I29">
        <v>4.8</v>
      </c>
      <c r="J29">
        <v>0.6</v>
      </c>
      <c r="K29">
        <v>4.2</v>
      </c>
      <c r="L29">
        <v>15.4</v>
      </c>
      <c r="M29" t="s">
        <v>48</v>
      </c>
      <c r="N29">
        <v>1.6</v>
      </c>
      <c r="W29">
        <v>3.7</v>
      </c>
      <c r="X29">
        <v>33.200000000000003</v>
      </c>
      <c r="Y29">
        <f t="shared" si="4"/>
        <v>0</v>
      </c>
      <c r="Z29">
        <f t="shared" si="5"/>
        <v>15.4</v>
      </c>
      <c r="AA29">
        <f t="shared" si="6"/>
        <v>1.8</v>
      </c>
    </row>
    <row r="30" spans="1:27" x14ac:dyDescent="0.45">
      <c r="A30">
        <v>293</v>
      </c>
      <c r="B30" t="s">
        <v>59</v>
      </c>
      <c r="C30" t="s">
        <v>60</v>
      </c>
      <c r="D30" t="s">
        <v>47</v>
      </c>
      <c r="F30">
        <v>8.3000000000000007</v>
      </c>
      <c r="G30">
        <v>17.7</v>
      </c>
      <c r="K30">
        <v>4.0999999999999996</v>
      </c>
      <c r="M30" t="s">
        <v>48</v>
      </c>
      <c r="W30">
        <v>10.1</v>
      </c>
      <c r="X30">
        <v>30.2</v>
      </c>
      <c r="Y30">
        <f t="shared" si="4"/>
        <v>4.0999999999999996</v>
      </c>
      <c r="Z30">
        <f t="shared" si="5"/>
        <v>17.7</v>
      </c>
      <c r="AA30">
        <f t="shared" si="6"/>
        <v>8.3000000000000007</v>
      </c>
    </row>
    <row r="31" spans="1:27" x14ac:dyDescent="0.45">
      <c r="A31">
        <v>296</v>
      </c>
      <c r="B31" t="s">
        <v>61</v>
      </c>
      <c r="C31" t="s">
        <v>62</v>
      </c>
      <c r="D31" t="s">
        <v>47</v>
      </c>
      <c r="E31">
        <v>4.0999999999999996</v>
      </c>
      <c r="F31">
        <v>0</v>
      </c>
      <c r="G31">
        <v>4.2</v>
      </c>
      <c r="I31">
        <v>0</v>
      </c>
      <c r="J31">
        <v>0</v>
      </c>
      <c r="K31">
        <v>7.5</v>
      </c>
      <c r="L31">
        <v>13.9</v>
      </c>
      <c r="M31" t="s">
        <v>48</v>
      </c>
      <c r="N31">
        <v>0</v>
      </c>
      <c r="W31">
        <v>3.7</v>
      </c>
      <c r="X31">
        <v>29.7</v>
      </c>
      <c r="Y31">
        <f t="shared" si="4"/>
        <v>0</v>
      </c>
      <c r="Z31">
        <f t="shared" si="5"/>
        <v>13.9</v>
      </c>
      <c r="AA31">
        <f t="shared" si="6"/>
        <v>2.0499999999999998</v>
      </c>
    </row>
    <row r="32" spans="1:27" x14ac:dyDescent="0.45">
      <c r="A32">
        <v>349</v>
      </c>
      <c r="B32" t="s">
        <v>63</v>
      </c>
      <c r="C32" t="s">
        <v>30</v>
      </c>
      <c r="D32" t="s">
        <v>47</v>
      </c>
      <c r="E32">
        <v>2.6</v>
      </c>
      <c r="F32">
        <v>7</v>
      </c>
      <c r="G32">
        <v>0</v>
      </c>
      <c r="H32">
        <v>2.8</v>
      </c>
      <c r="I32">
        <v>4.8</v>
      </c>
      <c r="J32">
        <v>0</v>
      </c>
      <c r="K32">
        <v>0</v>
      </c>
      <c r="L32">
        <v>2.9</v>
      </c>
      <c r="M32" t="s">
        <v>48</v>
      </c>
      <c r="N32">
        <v>0.5</v>
      </c>
      <c r="W32">
        <v>2.2999999999999998</v>
      </c>
      <c r="X32">
        <v>20.6</v>
      </c>
      <c r="Y32">
        <f t="shared" si="4"/>
        <v>0</v>
      </c>
      <c r="Z32">
        <f t="shared" si="5"/>
        <v>7</v>
      </c>
      <c r="AA32">
        <f t="shared" si="6"/>
        <v>2.6</v>
      </c>
    </row>
    <row r="33" spans="1:27" x14ac:dyDescent="0.45">
      <c r="A33">
        <v>356</v>
      </c>
      <c r="B33" t="s">
        <v>64</v>
      </c>
      <c r="C33" t="s">
        <v>65</v>
      </c>
      <c r="D33" t="s">
        <v>47</v>
      </c>
      <c r="E33">
        <v>3.1</v>
      </c>
      <c r="F33">
        <v>3</v>
      </c>
      <c r="G33">
        <v>0</v>
      </c>
      <c r="H33">
        <v>9.1</v>
      </c>
      <c r="I33">
        <v>0</v>
      </c>
      <c r="K33">
        <v>1.3</v>
      </c>
      <c r="L33">
        <v>0</v>
      </c>
      <c r="M33">
        <v>1.2</v>
      </c>
      <c r="W33">
        <v>2.2000000000000002</v>
      </c>
      <c r="X33">
        <v>17.7</v>
      </c>
      <c r="Y33">
        <f t="shared" si="4"/>
        <v>0</v>
      </c>
      <c r="Z33">
        <f t="shared" si="5"/>
        <v>9.1</v>
      </c>
      <c r="AA33">
        <f t="shared" si="6"/>
        <v>1.25</v>
      </c>
    </row>
    <row r="34" spans="1:27" x14ac:dyDescent="0.45">
      <c r="A34">
        <v>357</v>
      </c>
      <c r="B34" t="s">
        <v>66</v>
      </c>
      <c r="C34" t="s">
        <v>43</v>
      </c>
      <c r="D34" t="s">
        <v>47</v>
      </c>
      <c r="E34">
        <v>2.8</v>
      </c>
      <c r="H34">
        <v>0</v>
      </c>
      <c r="I34">
        <v>6.4</v>
      </c>
      <c r="J34">
        <v>4</v>
      </c>
      <c r="K34">
        <v>4.4000000000000004</v>
      </c>
      <c r="M34" t="s">
        <v>48</v>
      </c>
      <c r="W34">
        <v>3.5</v>
      </c>
      <c r="X34">
        <v>17.600000000000001</v>
      </c>
      <c r="Y34">
        <f t="shared" si="4"/>
        <v>0</v>
      </c>
      <c r="Z34">
        <f t="shared" si="5"/>
        <v>6.4</v>
      </c>
      <c r="AA34">
        <f t="shared" si="6"/>
        <v>4</v>
      </c>
    </row>
    <row r="35" spans="1:27" x14ac:dyDescent="0.45">
      <c r="A35">
        <v>379</v>
      </c>
      <c r="B35" t="s">
        <v>67</v>
      </c>
      <c r="C35" t="s">
        <v>32</v>
      </c>
      <c r="D35" t="s">
        <v>47</v>
      </c>
      <c r="E35">
        <v>6.9</v>
      </c>
      <c r="F35">
        <v>1.1000000000000001</v>
      </c>
      <c r="G35">
        <v>5.7</v>
      </c>
      <c r="H35">
        <v>0.6</v>
      </c>
      <c r="M35" t="s">
        <v>48</v>
      </c>
      <c r="W35">
        <v>3.6</v>
      </c>
      <c r="X35">
        <v>14.3</v>
      </c>
      <c r="Y35">
        <f t="shared" si="4"/>
        <v>0.6</v>
      </c>
      <c r="Z35">
        <f t="shared" si="5"/>
        <v>6.9</v>
      </c>
      <c r="AA35">
        <f t="shared" si="6"/>
        <v>3.4</v>
      </c>
    </row>
    <row r="36" spans="1:27" x14ac:dyDescent="0.45">
      <c r="A36">
        <v>382</v>
      </c>
      <c r="B36" t="s">
        <v>68</v>
      </c>
      <c r="C36" t="s">
        <v>43</v>
      </c>
      <c r="D36" t="s">
        <v>47</v>
      </c>
      <c r="F36">
        <v>0</v>
      </c>
      <c r="G36">
        <v>8.3000000000000007</v>
      </c>
      <c r="H36">
        <v>1.3</v>
      </c>
      <c r="I36">
        <v>0.8</v>
      </c>
      <c r="K36">
        <v>2.6</v>
      </c>
      <c r="L36">
        <v>1</v>
      </c>
      <c r="M36" t="s">
        <v>48</v>
      </c>
      <c r="W36">
        <v>2.2999999999999998</v>
      </c>
      <c r="X36">
        <v>14</v>
      </c>
      <c r="Y36">
        <f t="shared" si="4"/>
        <v>0</v>
      </c>
      <c r="Z36">
        <f t="shared" si="5"/>
        <v>8.3000000000000007</v>
      </c>
      <c r="AA36">
        <f t="shared" si="6"/>
        <v>1.1499999999999999</v>
      </c>
    </row>
    <row r="37" spans="1:27" x14ac:dyDescent="0.45">
      <c r="A37">
        <v>394</v>
      </c>
      <c r="B37" t="s">
        <v>69</v>
      </c>
      <c r="C37" t="s">
        <v>70</v>
      </c>
      <c r="D37" t="s">
        <v>47</v>
      </c>
      <c r="F37">
        <v>0</v>
      </c>
      <c r="G37">
        <v>0</v>
      </c>
      <c r="H37">
        <v>-2</v>
      </c>
      <c r="J37">
        <v>0</v>
      </c>
      <c r="K37">
        <v>0</v>
      </c>
      <c r="L37">
        <v>7.1</v>
      </c>
      <c r="M37" t="s">
        <v>48</v>
      </c>
      <c r="N37">
        <v>6.9</v>
      </c>
      <c r="W37">
        <v>1.7</v>
      </c>
      <c r="X37">
        <v>12</v>
      </c>
      <c r="Y37">
        <f t="shared" si="4"/>
        <v>-2</v>
      </c>
      <c r="Z37">
        <f t="shared" si="5"/>
        <v>7.1</v>
      </c>
      <c r="AA37">
        <f t="shared" si="6"/>
        <v>0</v>
      </c>
    </row>
    <row r="38" spans="1:27" x14ac:dyDescent="0.45">
      <c r="A38">
        <v>426</v>
      </c>
      <c r="B38" t="s">
        <v>71</v>
      </c>
      <c r="C38" t="s">
        <v>30</v>
      </c>
      <c r="D38" t="s">
        <v>47</v>
      </c>
      <c r="E38">
        <v>0</v>
      </c>
      <c r="F38">
        <v>0</v>
      </c>
      <c r="G38">
        <v>0</v>
      </c>
      <c r="H38">
        <v>0</v>
      </c>
      <c r="I38">
        <v>6.6</v>
      </c>
      <c r="J38">
        <v>1.1000000000000001</v>
      </c>
      <c r="K38">
        <v>0</v>
      </c>
      <c r="L38">
        <v>1.4</v>
      </c>
      <c r="M38" t="s">
        <v>48</v>
      </c>
      <c r="N38">
        <v>0</v>
      </c>
      <c r="W38">
        <v>1</v>
      </c>
      <c r="X38">
        <v>9.1</v>
      </c>
      <c r="Y38">
        <f t="shared" si="4"/>
        <v>0</v>
      </c>
      <c r="Z38">
        <f t="shared" si="5"/>
        <v>6.6</v>
      </c>
      <c r="AA38">
        <f t="shared" si="6"/>
        <v>0</v>
      </c>
    </row>
    <row r="39" spans="1:27" x14ac:dyDescent="0.45">
      <c r="A39">
        <v>435</v>
      </c>
      <c r="B39" t="s">
        <v>72</v>
      </c>
      <c r="C39" t="s">
        <v>43</v>
      </c>
      <c r="D39" t="s">
        <v>47</v>
      </c>
      <c r="E39">
        <v>0</v>
      </c>
      <c r="F39">
        <v>0.3</v>
      </c>
      <c r="G39">
        <v>1.2</v>
      </c>
      <c r="H39">
        <v>0</v>
      </c>
      <c r="I39">
        <v>1.9</v>
      </c>
      <c r="J39">
        <v>0</v>
      </c>
      <c r="K39">
        <v>0.5</v>
      </c>
      <c r="L39">
        <v>2.8</v>
      </c>
      <c r="M39" t="s">
        <v>48</v>
      </c>
      <c r="N39">
        <v>1.3</v>
      </c>
      <c r="W39">
        <v>0.9</v>
      </c>
      <c r="X39">
        <v>8</v>
      </c>
      <c r="Y39">
        <f t="shared" si="4"/>
        <v>0</v>
      </c>
      <c r="Z39">
        <f t="shared" si="5"/>
        <v>2.8</v>
      </c>
      <c r="AA39">
        <f t="shared" si="6"/>
        <v>0.5</v>
      </c>
    </row>
    <row r="40" spans="1:27" x14ac:dyDescent="0.45">
      <c r="A40">
        <v>453</v>
      </c>
      <c r="B40" t="s">
        <v>73</v>
      </c>
      <c r="C40" t="s">
        <v>32</v>
      </c>
      <c r="D40" t="s">
        <v>47</v>
      </c>
      <c r="E40">
        <v>0</v>
      </c>
      <c r="J40">
        <v>0</v>
      </c>
      <c r="K40">
        <v>0</v>
      </c>
      <c r="M40" t="s">
        <v>48</v>
      </c>
      <c r="N40">
        <v>6</v>
      </c>
      <c r="W40">
        <v>1.5</v>
      </c>
      <c r="X40">
        <v>6</v>
      </c>
      <c r="Y40">
        <f t="shared" si="4"/>
        <v>0</v>
      </c>
      <c r="Z40">
        <f t="shared" si="5"/>
        <v>6</v>
      </c>
      <c r="AA40">
        <f t="shared" si="6"/>
        <v>0</v>
      </c>
    </row>
    <row r="41" spans="1:27" x14ac:dyDescent="0.45">
      <c r="A41">
        <v>476</v>
      </c>
      <c r="B41" t="s">
        <v>74</v>
      </c>
      <c r="C41" t="s">
        <v>75</v>
      </c>
      <c r="D41" t="s">
        <v>47</v>
      </c>
      <c r="E41">
        <v>0</v>
      </c>
      <c r="F41">
        <v>0.5</v>
      </c>
      <c r="G41">
        <v>1.3</v>
      </c>
      <c r="H41">
        <v>2</v>
      </c>
      <c r="I41">
        <v>0</v>
      </c>
      <c r="J41">
        <v>0</v>
      </c>
      <c r="L41">
        <v>0</v>
      </c>
      <c r="M41" t="s">
        <v>48</v>
      </c>
      <c r="N41">
        <v>0.1</v>
      </c>
      <c r="W41">
        <v>0.5</v>
      </c>
      <c r="X41">
        <v>3.9</v>
      </c>
      <c r="Y41">
        <f t="shared" si="4"/>
        <v>0</v>
      </c>
      <c r="Z41">
        <f t="shared" si="5"/>
        <v>2</v>
      </c>
      <c r="AA41">
        <f t="shared" si="6"/>
        <v>0.05</v>
      </c>
    </row>
    <row r="42" spans="1:27" x14ac:dyDescent="0.45">
      <c r="A42">
        <v>543</v>
      </c>
      <c r="B42" t="s">
        <v>76</v>
      </c>
      <c r="C42" t="s">
        <v>30</v>
      </c>
      <c r="D42" t="s">
        <v>47</v>
      </c>
      <c r="H42">
        <v>0</v>
      </c>
      <c r="J42">
        <v>0</v>
      </c>
      <c r="M42" t="s">
        <v>48</v>
      </c>
      <c r="N42">
        <v>0</v>
      </c>
      <c r="W42">
        <v>0</v>
      </c>
      <c r="X42">
        <v>0</v>
      </c>
      <c r="Y42">
        <f t="shared" si="4"/>
        <v>0</v>
      </c>
      <c r="Z42">
        <f t="shared" si="5"/>
        <v>0</v>
      </c>
      <c r="AA42">
        <f t="shared" si="6"/>
        <v>0</v>
      </c>
    </row>
    <row r="43" spans="1:27" x14ac:dyDescent="0.45">
      <c r="A43">
        <v>543</v>
      </c>
      <c r="B43" t="s">
        <v>77</v>
      </c>
      <c r="C43" t="s">
        <v>43</v>
      </c>
      <c r="D43" t="s">
        <v>47</v>
      </c>
      <c r="L43">
        <v>0</v>
      </c>
      <c r="M43" t="s">
        <v>48</v>
      </c>
      <c r="W43">
        <v>0</v>
      </c>
      <c r="X43">
        <v>0</v>
      </c>
      <c r="Y43">
        <f t="shared" si="4"/>
        <v>0</v>
      </c>
      <c r="Z43">
        <f t="shared" si="5"/>
        <v>0</v>
      </c>
      <c r="AA43">
        <f t="shared" si="6"/>
        <v>0</v>
      </c>
    </row>
    <row r="44" spans="1:27" x14ac:dyDescent="0.45">
      <c r="A44">
        <v>543</v>
      </c>
      <c r="B44" t="s">
        <v>78</v>
      </c>
      <c r="C44" t="s">
        <v>30</v>
      </c>
      <c r="D44" t="s">
        <v>47</v>
      </c>
      <c r="F44">
        <v>0</v>
      </c>
      <c r="L44">
        <v>0</v>
      </c>
      <c r="M44" t="s">
        <v>48</v>
      </c>
      <c r="W44">
        <v>0</v>
      </c>
      <c r="X44">
        <v>0</v>
      </c>
      <c r="Y44">
        <f t="shared" si="4"/>
        <v>0</v>
      </c>
      <c r="Z44">
        <f t="shared" si="5"/>
        <v>0</v>
      </c>
      <c r="AA44">
        <f t="shared" si="6"/>
        <v>0</v>
      </c>
    </row>
    <row r="45" spans="1:27" x14ac:dyDescent="0.45">
      <c r="A45">
        <v>543</v>
      </c>
      <c r="B45" t="s">
        <v>79</v>
      </c>
      <c r="C45" t="s">
        <v>32</v>
      </c>
      <c r="D45" t="s">
        <v>47</v>
      </c>
      <c r="I45">
        <v>0</v>
      </c>
      <c r="M45" t="s">
        <v>48</v>
      </c>
      <c r="W45">
        <v>0</v>
      </c>
      <c r="X45">
        <v>0</v>
      </c>
      <c r="Y45">
        <f t="shared" si="4"/>
        <v>0</v>
      </c>
      <c r="Z45">
        <f t="shared" si="5"/>
        <v>0</v>
      </c>
      <c r="AA45">
        <f t="shared" si="6"/>
        <v>0</v>
      </c>
    </row>
    <row r="46" spans="1:27" x14ac:dyDescent="0.45">
      <c r="D46" s="1" t="s">
        <v>80</v>
      </c>
      <c r="E46" s="1">
        <f>SUM(E23:E45)</f>
        <v>100.79999999999998</v>
      </c>
      <c r="F46" s="1">
        <f t="shared" ref="F46:N46" si="7">SUM(F23:F45)</f>
        <v>44.1</v>
      </c>
      <c r="G46" s="1">
        <f t="shared" si="7"/>
        <v>87.8</v>
      </c>
      <c r="H46" s="1">
        <f t="shared" si="7"/>
        <v>95.399999999999991</v>
      </c>
      <c r="I46" s="1">
        <f t="shared" si="7"/>
        <v>100</v>
      </c>
      <c r="J46" s="1">
        <f t="shared" si="7"/>
        <v>41</v>
      </c>
      <c r="K46" s="1">
        <f t="shared" si="7"/>
        <v>52.399999999999991</v>
      </c>
      <c r="L46" s="1">
        <f t="shared" si="7"/>
        <v>118.20000000000002</v>
      </c>
      <c r="M46" s="1"/>
      <c r="N46" s="1">
        <f t="shared" si="7"/>
        <v>72.3</v>
      </c>
      <c r="O46" s="1"/>
      <c r="P46" s="1"/>
      <c r="Q46" s="1"/>
      <c r="R46" s="1"/>
      <c r="S46" s="1"/>
      <c r="T46" s="1"/>
      <c r="U46" s="1"/>
      <c r="V46" s="1"/>
      <c r="W46" s="1">
        <f>ROUND(AVERAGE(E46:N46),2)</f>
        <v>79.11</v>
      </c>
      <c r="X46" s="1">
        <f>SUM(E46:N46)</f>
        <v>712</v>
      </c>
      <c r="Y46" s="1">
        <f>MIN(E46:N46)</f>
        <v>41</v>
      </c>
      <c r="Z46" s="1">
        <f>MAX(E46:N46)</f>
        <v>118.20000000000002</v>
      </c>
      <c r="AA46" s="1">
        <f>MEDIAN(E46:N46)</f>
        <v>87.8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CE21-F608-4C76-B556-B127CE13B50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5B75-A132-438D-8C80-A839DB4936D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Meinhardt</dc:creator>
  <cp:lastModifiedBy>Mark Meinhardt</cp:lastModifiedBy>
  <dcterms:created xsi:type="dcterms:W3CDTF">2025-11-12T18:03:43Z</dcterms:created>
  <dcterms:modified xsi:type="dcterms:W3CDTF">2025-11-12T19:12:57Z</dcterms:modified>
</cp:coreProperties>
</file>