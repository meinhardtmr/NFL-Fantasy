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35" windowWidth="20115" windowHeight="7755" activeTab="1"/>
  </bookViews>
  <sheets>
    <sheet name="BAL - Projections" sheetId="3" r:id="rId1"/>
    <sheet name="BUF - Projections" sheetId="6" r:id="rId2"/>
    <sheet name="Point Matrix" sheetId="1" r:id="rId3"/>
    <sheet name="Headers" sheetId="2" r:id="rId4"/>
  </sheets>
  <definedNames>
    <definedName name="CODE">'Point Matrix'!$A$2:$A$41</definedName>
    <definedName name="FPTS">'Point Matrix'!$B$2:$B$41</definedName>
    <definedName name="GPTS">'Point Matrix'!$C$2:$C$40</definedName>
  </definedNames>
  <calcPr calcId="145621"/>
</workbook>
</file>

<file path=xl/calcChain.xml><?xml version="1.0" encoding="utf-8"?>
<calcChain xmlns="http://schemas.openxmlformats.org/spreadsheetml/2006/main">
  <c r="R2" i="6" l="1"/>
  <c r="R7" i="6"/>
  <c r="R6" i="6"/>
  <c r="R5" i="6"/>
  <c r="R4" i="6"/>
  <c r="R3" i="6"/>
  <c r="R13" i="6" l="1"/>
  <c r="R13" i="3"/>
  <c r="O2" i="3" l="1"/>
  <c r="P2" i="3"/>
  <c r="N3" i="3"/>
  <c r="O3" i="3"/>
  <c r="P3" i="3"/>
  <c r="N4" i="3"/>
  <c r="O4" i="3"/>
  <c r="P4" i="3"/>
  <c r="N5" i="3"/>
  <c r="O5" i="3"/>
  <c r="P5" i="3"/>
  <c r="N6" i="3"/>
  <c r="O6" i="3"/>
  <c r="P6" i="3"/>
  <c r="R6" i="3" s="1"/>
  <c r="N7" i="3"/>
  <c r="O7" i="3"/>
  <c r="P7" i="3"/>
  <c r="R7" i="3" s="1"/>
  <c r="Q13" i="6"/>
  <c r="Q7" i="6"/>
  <c r="Q6" i="6"/>
  <c r="Q5" i="6"/>
  <c r="Q4" i="6"/>
  <c r="Q3" i="6"/>
  <c r="Q2" i="6"/>
  <c r="Q13" i="3"/>
  <c r="Q10" i="3"/>
  <c r="Q3" i="3"/>
  <c r="Q4" i="3"/>
  <c r="Q5" i="3"/>
  <c r="Q6" i="3"/>
  <c r="Q7" i="3"/>
  <c r="Q2" i="3"/>
  <c r="R4" i="3" l="1"/>
  <c r="R5" i="3"/>
  <c r="R3" i="3"/>
  <c r="Q15" i="6"/>
  <c r="N2" i="3"/>
  <c r="R2" i="3" s="1"/>
  <c r="Q10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 l="1"/>
  <c r="Q15" i="3"/>
  <c r="N10" i="3" l="1"/>
  <c r="J10" i="3"/>
  <c r="M10" i="3"/>
  <c r="I10" i="3"/>
  <c r="R10" i="3" s="1"/>
  <c r="L10" i="3"/>
  <c r="K10" i="3"/>
  <c r="N10" i="6"/>
  <c r="R15" i="3" l="1"/>
  <c r="M10" i="6"/>
  <c r="I10" i="6"/>
  <c r="L10" i="6"/>
  <c r="K10" i="6"/>
  <c r="J10" i="6"/>
  <c r="R10" i="6" l="1"/>
  <c r="R15" i="6" s="1"/>
</calcChain>
</file>

<file path=xl/sharedStrings.xml><?xml version="1.0" encoding="utf-8"?>
<sst xmlns="http://schemas.openxmlformats.org/spreadsheetml/2006/main" count="264" uniqueCount="120">
  <si>
    <t>RuY</t>
  </si>
  <si>
    <t>RuTD</t>
  </si>
  <si>
    <t>S</t>
  </si>
  <si>
    <t>ReY</t>
  </si>
  <si>
    <t>I</t>
  </si>
  <si>
    <t>ReTD</t>
  </si>
  <si>
    <t>FR</t>
  </si>
  <si>
    <t>Re</t>
  </si>
  <si>
    <t>DE/XPR</t>
  </si>
  <si>
    <t>PaY</t>
  </si>
  <si>
    <t>DE/SF</t>
  </si>
  <si>
    <t>PaTD</t>
  </si>
  <si>
    <t>DE/RTD</t>
  </si>
  <si>
    <t>PR/TD</t>
  </si>
  <si>
    <t>DE/PA35+</t>
  </si>
  <si>
    <t>KR/TD</t>
  </si>
  <si>
    <t>DE/PA28-34</t>
  </si>
  <si>
    <t>DE/PA14-20</t>
  </si>
  <si>
    <t>FU/TD</t>
  </si>
  <si>
    <t>DE/PA7-13</t>
  </si>
  <si>
    <t>FU/L</t>
  </si>
  <si>
    <t>DE/PA1-6</t>
  </si>
  <si>
    <t>300+ PaY Gm</t>
  </si>
  <si>
    <t>DE/PA0</t>
  </si>
  <si>
    <t>2PC/S</t>
  </si>
  <si>
    <t>DE/FRTD</t>
  </si>
  <si>
    <t>2PC/P</t>
  </si>
  <si>
    <t>DE/BRTD</t>
  </si>
  <si>
    <t>100+ RuY GM</t>
  </si>
  <si>
    <t>DE/B</t>
  </si>
  <si>
    <t>100+ ReY GM</t>
  </si>
  <si>
    <t>FGo50</t>
  </si>
  <si>
    <t>FGu30</t>
  </si>
  <si>
    <t>DE/I</t>
  </si>
  <si>
    <t>XP</t>
  </si>
  <si>
    <t>K</t>
  </si>
  <si>
    <t>FLEX</t>
  </si>
  <si>
    <t>D</t>
  </si>
  <si>
    <t>RB:PHI</t>
  </si>
  <si>
    <t>QB:PHI</t>
  </si>
  <si>
    <t>WR1:DAL</t>
  </si>
  <si>
    <t>WR1:PHI</t>
  </si>
  <si>
    <t>QB:DAL</t>
  </si>
  <si>
    <t>WR2:PHI</t>
  </si>
  <si>
    <t>WR2:DAL</t>
  </si>
  <si>
    <t>D:PHI</t>
  </si>
  <si>
    <t>TE:PHI</t>
  </si>
  <si>
    <t>RB:DAL</t>
  </si>
  <si>
    <t>K:DAL</t>
  </si>
  <si>
    <t>K:PHI</t>
  </si>
  <si>
    <t>D:DAL</t>
  </si>
  <si>
    <t>WR3:DAL</t>
  </si>
  <si>
    <t>TE:DAL</t>
  </si>
  <si>
    <t>WR3:PHI</t>
  </si>
  <si>
    <t>Game Points</t>
  </si>
  <si>
    <t>Fantasy Points</t>
  </si>
  <si>
    <t>TOTALS</t>
  </si>
  <si>
    <t>100+ Receiving Yds</t>
  </si>
  <si>
    <t>100+ Rushing Yards</t>
  </si>
  <si>
    <t>Two-point Conversion Passes</t>
  </si>
  <si>
    <t>Two-point Conversion Scored</t>
  </si>
  <si>
    <t>300+ Passing Yards</t>
  </si>
  <si>
    <t>Blocked Punts/Kicks</t>
  </si>
  <si>
    <t>Blocked Kick Return TDs</t>
  </si>
  <si>
    <t>0 Points Allowed</t>
  </si>
  <si>
    <t>1-6 Points Allowed</t>
  </si>
  <si>
    <t>14-20 Points Allowed</t>
  </si>
  <si>
    <t>28-34 Points Allowed</t>
  </si>
  <si>
    <t>35+ Points Allowed</t>
  </si>
  <si>
    <t>7-13 Points Allowed</t>
  </si>
  <si>
    <t>Safeties</t>
  </si>
  <si>
    <t>Extra Point Return</t>
  </si>
  <si>
    <t>50+ Yards</t>
  </si>
  <si>
    <t>0-19 Yards</t>
  </si>
  <si>
    <t>20-29 Yards</t>
  </si>
  <si>
    <t>30-39 Yards</t>
  </si>
  <si>
    <t>40-49 Yards</t>
  </si>
  <si>
    <t>Fumbles Recovered</t>
  </si>
  <si>
    <t>Fumbles Lost</t>
  </si>
  <si>
    <t>Own Fumbles Recovered TDs</t>
  </si>
  <si>
    <t>Interceptions</t>
  </si>
  <si>
    <t>Kickoff Return TDs</t>
  </si>
  <si>
    <t>Passing TDs</t>
  </si>
  <si>
    <t>Passing Yards</t>
  </si>
  <si>
    <t>Receptions</t>
  </si>
  <si>
    <t>Receiving TDs</t>
  </si>
  <si>
    <t>Receiving Yards</t>
  </si>
  <si>
    <t>Rushing TDs</t>
  </si>
  <si>
    <t>Rushing Yds</t>
  </si>
  <si>
    <t>Sacks</t>
  </si>
  <si>
    <t>Extra-point Conversions</t>
  </si>
  <si>
    <t>FGu40</t>
  </si>
  <si>
    <t>FGu50</t>
  </si>
  <si>
    <t>FGu20</t>
  </si>
  <si>
    <t>Fumble Return TDs</t>
  </si>
  <si>
    <t>Return TDs</t>
  </si>
  <si>
    <t>TD</t>
  </si>
  <si>
    <t>CODE</t>
  </si>
  <si>
    <t>FPTS</t>
  </si>
  <si>
    <t>GPTS</t>
  </si>
  <si>
    <t>DESCRIPTION</t>
  </si>
  <si>
    <t>INT</t>
  </si>
  <si>
    <t>Punt Return TDs</t>
  </si>
  <si>
    <t>Touch Down</t>
  </si>
  <si>
    <t>QB:BUF</t>
  </si>
  <si>
    <t>RB:BUF</t>
  </si>
  <si>
    <t>TE:BUF</t>
  </si>
  <si>
    <t>WR1:BUF</t>
  </si>
  <si>
    <t>WR2:BUF</t>
  </si>
  <si>
    <t>WR3:BUF</t>
  </si>
  <si>
    <t>D:BUF</t>
  </si>
  <si>
    <t>K:BUF</t>
  </si>
  <si>
    <t>QB:BAL</t>
  </si>
  <si>
    <t>RB:BAL</t>
  </si>
  <si>
    <t>TE:BAL</t>
  </si>
  <si>
    <t>WR1:BAL</t>
  </si>
  <si>
    <t>WR2:BAL</t>
  </si>
  <si>
    <t>WR3:BAL</t>
  </si>
  <si>
    <t>D:BAL</t>
  </si>
  <si>
    <t>K:BAL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</si>
</sst>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5"/>
  <sheetViews>
    <sheetView workbookViewId="0">
      <pane xSplit="1" topLeftCell="B1" activePane="topRight" state="frozen"/>
      <selection pane="topRight" activeCell="A2" sqref="A2"/>
    </sheetView>
  </sheetViews>
  <sheetFormatPr defaultColWidth="8.85546875" defaultRowHeight="15" x14ac:dyDescent="0.25"/>
  <cols>
    <col min="1" max="1" width="9" style="7" bestFit="1" customWidth="1"/>
    <col min="2" max="2" width="7.5703125" style="7" bestFit="1" customWidth="1"/>
    <col min="3" max="3" width="6.5703125" style="7" bestFit="1" customWidth="1"/>
    <col min="4" max="4" width="7.5703125" style="7" bestFit="1" customWidth="1"/>
    <col min="5" max="6" width="6.5703125" style="7" bestFit="1" customWidth="1"/>
    <col min="7" max="7" width="3.28515625" style="7" bestFit="1" customWidth="1"/>
    <col min="8" max="8" width="6.140625" style="7" bestFit="1" customWidth="1"/>
    <col min="9" max="9" width="7.5703125" style="7" bestFit="1" customWidth="1"/>
    <col min="10" max="10" width="9.28515625" style="7" bestFit="1" customWidth="1"/>
    <col min="11" max="11" width="10.28515625" style="7" bestFit="1" customWidth="1"/>
    <col min="12" max="13" width="11.28515625" style="7" bestFit="1" customWidth="1"/>
    <col min="14" max="14" width="12.28515625" style="7" bestFit="1" customWidth="1"/>
    <col min="15" max="16" width="12.5703125" style="7" bestFit="1" customWidth="1"/>
    <col min="17" max="17" width="12.28515625" style="7" bestFit="1" customWidth="1"/>
    <col min="18" max="18" width="13.85546875" style="7" bestFit="1" customWidth="1"/>
    <col min="19" max="16384" width="8.85546875" style="7"/>
  </cols>
  <sheetData>
    <row r="1" spans="1:18" x14ac:dyDescent="0.25">
      <c r="A1" s="8" t="s">
        <v>36</v>
      </c>
      <c r="B1" s="8" t="s">
        <v>1</v>
      </c>
      <c r="C1" s="8" t="s">
        <v>5</v>
      </c>
      <c r="D1" s="8" t="s">
        <v>24</v>
      </c>
      <c r="E1" s="8" t="s">
        <v>11</v>
      </c>
      <c r="F1" s="8" t="s">
        <v>0</v>
      </c>
      <c r="G1" s="8" t="s">
        <v>7</v>
      </c>
      <c r="H1" s="8" t="s">
        <v>3</v>
      </c>
      <c r="I1" s="8" t="s">
        <v>26</v>
      </c>
      <c r="J1" s="8" t="s">
        <v>101</v>
      </c>
      <c r="K1" s="8" t="s">
        <v>20</v>
      </c>
      <c r="L1" s="8" t="s">
        <v>6</v>
      </c>
      <c r="M1" s="8" t="s">
        <v>9</v>
      </c>
      <c r="N1" s="8" t="s">
        <v>22</v>
      </c>
      <c r="O1" s="8" t="s">
        <v>28</v>
      </c>
      <c r="P1" s="8" t="s">
        <v>30</v>
      </c>
      <c r="Q1" s="8" t="s">
        <v>54</v>
      </c>
      <c r="R1" s="8" t="s">
        <v>55</v>
      </c>
    </row>
    <row r="2" spans="1:18" x14ac:dyDescent="0.25">
      <c r="A2" s="9" t="s">
        <v>112</v>
      </c>
      <c r="B2" s="9"/>
      <c r="N2" s="10">
        <f>IF(M2&gt;=300,1,0)</f>
        <v>0</v>
      </c>
      <c r="O2" s="10">
        <f>IF(F2&gt;=100,1,0)</f>
        <v>0</v>
      </c>
      <c r="P2" s="10">
        <f>IF(H2&gt;=100,1,0)</f>
        <v>0</v>
      </c>
      <c r="Q2" s="7">
        <f t="shared" ref="Q2:Q7" si="0">SUM(B2*INDEX(GPTS,MATCH($B$1,CODE,0)),C2*INDEX(GPTS,MATCH($C$1,CODE,0)),D2*INDEX(GPTS,MATCH($D$1,CODE,0)))</f>
        <v>0</v>
      </c>
      <c r="R2" s="7">
        <f t="shared" ref="R2:R7" si="1">SUM(B2*INDEX(FPTS,MATCH($B$1,CODE,0)),C2*INDEX(FPTS,MATCH($C$1,CODE,0)),D2*INDEX(FPTS,MATCH($D$1,CODE,0)),E2*INDEX(FPTS,MATCH($E$1,CODE,0)),F2*INDEX(FPTS,MATCH($F$1,CODE,0)),G2*INDEX(FPTS,MATCH($G$1,CODE,0)),H2*INDEX(FPTS,MATCH($H$1,CODE,0)),I2*INDEX(FPTS,MATCH($I$1,CODE,0)),J2*INDEX(FPTS,MATCH($J$1,CODE,0)),K2*INDEX(FPTS,MATCH($K$1,CODE,0)),L2*INDEX(FPTS,MATCH($L$1,CODE,0)),M2*INDEX(FPTS,MATCH($M$1,CODE,0)),N2*INDEX(FPTS,MATCH($N$1,CODE,0)),O2*INDEX(FPTS,MATCH($P$1,CODE,0)),P2*INDEX(FPTS,MATCH($O$1,CODE,0)))</f>
        <v>0</v>
      </c>
    </row>
    <row r="3" spans="1:18" x14ac:dyDescent="0.25">
      <c r="A3" s="9" t="s">
        <v>113</v>
      </c>
      <c r="B3" s="9"/>
      <c r="N3" s="10">
        <f t="shared" ref="N3:N7" si="2">IF(M3&gt;=300,1,0)</f>
        <v>0</v>
      </c>
      <c r="O3" s="10">
        <f t="shared" ref="O3:O7" si="3">IF(F3&gt;=100,1,0)</f>
        <v>0</v>
      </c>
      <c r="P3" s="10">
        <f t="shared" ref="P3:P7" si="4">IF(H3&gt;=100,1,0)</f>
        <v>0</v>
      </c>
      <c r="Q3" s="7">
        <f t="shared" si="0"/>
        <v>0</v>
      </c>
      <c r="R3" s="7">
        <f t="shared" si="1"/>
        <v>0</v>
      </c>
    </row>
    <row r="4" spans="1:18" x14ac:dyDescent="0.25">
      <c r="A4" s="9" t="s">
        <v>114</v>
      </c>
      <c r="B4" s="9"/>
      <c r="N4" s="10">
        <f t="shared" si="2"/>
        <v>0</v>
      </c>
      <c r="O4" s="10">
        <f t="shared" si="3"/>
        <v>0</v>
      </c>
      <c r="P4" s="10">
        <f t="shared" si="4"/>
        <v>0</v>
      </c>
      <c r="Q4" s="7">
        <f t="shared" si="0"/>
        <v>0</v>
      </c>
      <c r="R4" s="7">
        <f t="shared" si="1"/>
        <v>0</v>
      </c>
    </row>
    <row r="5" spans="1:18" x14ac:dyDescent="0.25">
      <c r="A5" s="9" t="s">
        <v>115</v>
      </c>
      <c r="B5" s="9"/>
      <c r="N5" s="10">
        <f t="shared" si="2"/>
        <v>0</v>
      </c>
      <c r="O5" s="10">
        <f t="shared" si="3"/>
        <v>0</v>
      </c>
      <c r="P5" s="10">
        <f t="shared" si="4"/>
        <v>0</v>
      </c>
      <c r="Q5" s="7">
        <f t="shared" si="0"/>
        <v>0</v>
      </c>
      <c r="R5" s="7">
        <f t="shared" si="1"/>
        <v>0</v>
      </c>
    </row>
    <row r="6" spans="1:18" x14ac:dyDescent="0.25">
      <c r="A6" s="9" t="s">
        <v>116</v>
      </c>
      <c r="B6" s="9"/>
      <c r="N6" s="10">
        <f t="shared" si="2"/>
        <v>0</v>
      </c>
      <c r="O6" s="10">
        <f t="shared" si="3"/>
        <v>0</v>
      </c>
      <c r="P6" s="10">
        <f t="shared" si="4"/>
        <v>0</v>
      </c>
      <c r="Q6" s="7">
        <f t="shared" si="0"/>
        <v>0</v>
      </c>
      <c r="R6" s="7">
        <f t="shared" si="1"/>
        <v>0</v>
      </c>
    </row>
    <row r="7" spans="1:18" x14ac:dyDescent="0.25">
      <c r="A7" s="4" t="s">
        <v>117</v>
      </c>
      <c r="B7" s="4"/>
      <c r="N7" s="10">
        <f t="shared" si="2"/>
        <v>0</v>
      </c>
      <c r="O7" s="10">
        <f t="shared" si="3"/>
        <v>0</v>
      </c>
      <c r="P7" s="10">
        <f t="shared" si="4"/>
        <v>0</v>
      </c>
      <c r="Q7" s="7">
        <f t="shared" si="0"/>
        <v>0</v>
      </c>
      <c r="R7" s="7">
        <f t="shared" si="1"/>
        <v>0</v>
      </c>
    </row>
    <row r="8" spans="1:18" x14ac:dyDescent="0.25">
      <c r="A8" s="4"/>
      <c r="B8" s="4"/>
    </row>
    <row r="9" spans="1:18" x14ac:dyDescent="0.25">
      <c r="A9" s="8" t="s">
        <v>37</v>
      </c>
      <c r="B9" s="8" t="s">
        <v>12</v>
      </c>
      <c r="C9" s="8" t="s">
        <v>10</v>
      </c>
      <c r="D9" s="8" t="s">
        <v>8</v>
      </c>
      <c r="E9" s="8" t="s">
        <v>6</v>
      </c>
      <c r="F9" s="8" t="s">
        <v>33</v>
      </c>
      <c r="G9" s="8" t="s">
        <v>2</v>
      </c>
      <c r="H9" s="8" t="s">
        <v>29</v>
      </c>
      <c r="I9" s="8" t="s">
        <v>23</v>
      </c>
      <c r="J9" s="8" t="s">
        <v>21</v>
      </c>
      <c r="K9" s="8" t="s">
        <v>19</v>
      </c>
      <c r="L9" s="8" t="s">
        <v>17</v>
      </c>
      <c r="M9" s="8" t="s">
        <v>16</v>
      </c>
      <c r="N9" s="8" t="s">
        <v>14</v>
      </c>
    </row>
    <row r="10" spans="1:18" x14ac:dyDescent="0.25">
      <c r="A10" s="7" t="s">
        <v>118</v>
      </c>
      <c r="I10" s="10">
        <f>IF('BUF - Projections'!Q15=0,1,0)</f>
        <v>1</v>
      </c>
      <c r="J10" s="10">
        <f>IF(AND('BUF - Projections'!Q15&gt;0,'BUF - Projections'!Q15&lt;7),1,0)</f>
        <v>0</v>
      </c>
      <c r="K10" s="10">
        <f>IF(AND('BUF - Projections'!Q15&gt;6,'BUF - Projections'!Q15&lt;14),1,0)</f>
        <v>0</v>
      </c>
      <c r="L10" s="10">
        <f>IF(AND('BUF - Projections'!Q15&gt;13,'BUF - Projections'!Q15&lt;21),1,0)</f>
        <v>0</v>
      </c>
      <c r="M10" s="10">
        <f>IF(AND('BUF - Projections'!Q15&gt;27,'BUF - Projections'!Q15&lt;35),1,0)</f>
        <v>0</v>
      </c>
      <c r="N10" s="10">
        <f>IF('BUF - Projections'!Q15&gt;35,1,0)</f>
        <v>0</v>
      </c>
      <c r="Q10" s="7">
        <f>SUM(B10*INDEX(GPTS,MATCH($B$9,CODE,0)),C10*INDEX(GPTS,MATCH($C$9,CODE,0)),D10*INDEX(GPTS,MATCH($D$9,CODE,0)))</f>
        <v>0</v>
      </c>
      <c r="R10" s="7">
        <f>SUM(B10*INDEX(FPTS,MATCH($B$9,CODE,0)),C10*INDEX(FPTS,MATCH($C$9,CODE,0)),D10*INDEX(FPTS,MATCH($D$9,CODE,0)),E10*INDEX(FPTS,MATCH($E$9,CODE,0)),F10*INDEX(FPTS,MATCH($F$9,CODE,0)),G10*INDEX(FPTS,MATCH($G$9,CODE,0)),H10*INDEX(FPTS,MATCH($H$9,CODE,0)),I10*INDEX(FPTS,MATCH($I$9,CODE,0)),J10*INDEX(FPTS,MATCH($J$9,CODE,0)),K10*INDEX(FPTS,MATCH($K$9,CODE,0)),L10*INDEX(FPTS,MATCH($L$9,CODE,0)),M10*INDEX(FPTS,MATCH($M$9,CODE,0)),N10*INDEX(FPTS,MATCH($N$9,CODE,0)))</f>
        <v>10</v>
      </c>
    </row>
    <row r="11" spans="1:18" x14ac:dyDescent="0.25">
      <c r="R11" s="11"/>
    </row>
    <row r="12" spans="1:18" x14ac:dyDescent="0.25">
      <c r="A12" s="8" t="s">
        <v>35</v>
      </c>
      <c r="B12" s="8" t="s">
        <v>93</v>
      </c>
      <c r="C12" s="8" t="s">
        <v>32</v>
      </c>
      <c r="D12" s="8" t="s">
        <v>91</v>
      </c>
      <c r="E12" s="8" t="s">
        <v>92</v>
      </c>
      <c r="F12" s="8" t="s">
        <v>31</v>
      </c>
      <c r="G12" s="8" t="s">
        <v>34</v>
      </c>
      <c r="H12" s="8" t="s">
        <v>24</v>
      </c>
      <c r="I12" s="8" t="s">
        <v>26</v>
      </c>
      <c r="J12" s="8" t="s">
        <v>20</v>
      </c>
      <c r="R12" s="11"/>
    </row>
    <row r="13" spans="1:18" x14ac:dyDescent="0.25">
      <c r="A13" s="7" t="s">
        <v>119</v>
      </c>
      <c r="Q13" s="7">
        <f>SUM(B13*INDEX(GPTS,MATCH($B$12,CODE,0)),C13*INDEX(GPTS,MATCH($C$12,CODE,0)),D13*INDEX(GPTS,MATCH($D$12,CODE,0)),E13*INDEX(GPTS,MATCH($E$12,CODE,0)),F13*INDEX(GPTS,MATCH($F$12,CODE,0)),G13*INDEX(GPTS,MATCH($G$12,CODE,0)),H13*INDEX(GPTS,MATCH($H$12,CODE,0)),I13*INDEX(GPTS,MATCH($I$12,CODE,0)),J13*INDEX(GPTS,MATCH($J$12,CODE,0)))</f>
        <v>0</v>
      </c>
      <c r="R13" s="7">
        <f>SUM(B13*INDEX(FPTS,MATCH($B$12,CODE,0)),C13*INDEX(FPTS,MATCH($C$12,CODE,0)),D13*INDEX(FPTS,MATCH($D$12,CODE,0)),E13*INDEX(FPTS,MATCH($E$12,CODE,0)),F13*INDEX(FPTS,MATCH($F$12,CODE,0)),G13*INDEX(FPTS,MATCH($G$12,CODE,0)),H13*INDEX(FPTS,MATCH($H$12,CODE,0)),I13*INDEX(FPTS,MATCH($I$12,CODE,0)),J13*INDEX(FPTS,MATCH($J$12,CODE,0)))</f>
        <v>0</v>
      </c>
    </row>
    <row r="15" spans="1:18" x14ac:dyDescent="0.25">
      <c r="A15" s="8" t="s">
        <v>56</v>
      </c>
      <c r="B15" s="8"/>
      <c r="Q15" s="12">
        <f>SUM(Q1:Q13)</f>
        <v>0</v>
      </c>
      <c r="R15" s="12">
        <f>SUM(R1:R13)</f>
        <v>10</v>
      </c>
    </row>
  </sheetData>
  <sortState ref="A10:A25">
    <sortCondition ref="A10:A25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15"/>
  <sheetViews>
    <sheetView tabSelected="1" workbookViewId="0">
      <pane xSplit="1" topLeftCell="B1" activePane="topRight" state="frozen"/>
      <selection pane="topRight" activeCell="R2" sqref="R2"/>
    </sheetView>
  </sheetViews>
  <sheetFormatPr defaultColWidth="8.85546875" defaultRowHeight="15" x14ac:dyDescent="0.25"/>
  <cols>
    <col min="1" max="1" width="8.5703125" style="7" bestFit="1" customWidth="1"/>
    <col min="2" max="2" width="7.5703125" style="7" bestFit="1" customWidth="1"/>
    <col min="3" max="3" width="6.5703125" style="7" bestFit="1" customWidth="1"/>
    <col min="4" max="4" width="7.5703125" style="7" bestFit="1" customWidth="1"/>
    <col min="5" max="6" width="6.5703125" style="7" bestFit="1" customWidth="1"/>
    <col min="7" max="7" width="3.28515625" style="7" bestFit="1" customWidth="1"/>
    <col min="8" max="8" width="6.140625" style="7" bestFit="1" customWidth="1"/>
    <col min="9" max="9" width="7.5703125" style="7" bestFit="1" customWidth="1"/>
    <col min="10" max="10" width="9.28515625" style="7" bestFit="1" customWidth="1"/>
    <col min="11" max="11" width="10.28515625" style="7" bestFit="1" customWidth="1"/>
    <col min="12" max="13" width="11.28515625" style="7" bestFit="1" customWidth="1"/>
    <col min="14" max="14" width="12.28515625" style="7" bestFit="1" customWidth="1"/>
    <col min="15" max="16" width="12.5703125" style="7" bestFit="1" customWidth="1"/>
    <col min="17" max="17" width="12.28515625" style="7" bestFit="1" customWidth="1"/>
    <col min="18" max="18" width="13.85546875" style="7" bestFit="1" customWidth="1"/>
    <col min="19" max="16384" width="8.85546875" style="7"/>
  </cols>
  <sheetData>
    <row r="1" spans="1:18" x14ac:dyDescent="0.25">
      <c r="A1" s="8" t="s">
        <v>36</v>
      </c>
      <c r="B1" s="8" t="s">
        <v>1</v>
      </c>
      <c r="C1" s="8" t="s">
        <v>5</v>
      </c>
      <c r="D1" s="8" t="s">
        <v>24</v>
      </c>
      <c r="E1" s="8" t="s">
        <v>11</v>
      </c>
      <c r="F1" s="8" t="s">
        <v>0</v>
      </c>
      <c r="G1" s="8" t="s">
        <v>7</v>
      </c>
      <c r="H1" s="8" t="s">
        <v>3</v>
      </c>
      <c r="I1" s="8" t="s">
        <v>26</v>
      </c>
      <c r="J1" s="8" t="s">
        <v>101</v>
      </c>
      <c r="K1" s="8" t="s">
        <v>20</v>
      </c>
      <c r="L1" s="8" t="s">
        <v>6</v>
      </c>
      <c r="M1" s="8" t="s">
        <v>9</v>
      </c>
      <c r="N1" s="8" t="s">
        <v>22</v>
      </c>
      <c r="O1" s="8" t="s">
        <v>28</v>
      </c>
      <c r="P1" s="8" t="s">
        <v>30</v>
      </c>
      <c r="Q1" s="8" t="s">
        <v>54</v>
      </c>
      <c r="R1" s="8" t="s">
        <v>55</v>
      </c>
    </row>
    <row r="2" spans="1:18" x14ac:dyDescent="0.25">
      <c r="A2" s="9" t="s">
        <v>104</v>
      </c>
      <c r="N2" s="10">
        <f>IF(M2&gt;=300,1,0)</f>
        <v>0</v>
      </c>
      <c r="O2" s="10">
        <f t="shared" ref="O2:O7" si="0">IF(F2&gt;=100,1,0)</f>
        <v>0</v>
      </c>
      <c r="P2" s="10">
        <f t="shared" ref="P2:P7" si="1">IF(H2&gt;=100,1,0)</f>
        <v>0</v>
      </c>
      <c r="Q2" s="7">
        <f t="shared" ref="Q2:Q7" si="2">SUM(B2*INDEX(GPTS,MATCH($B$1,CODE,0)),C2*INDEX(GPTS,MATCH($C$1,CODE,0)),D2*INDEX(GPTS,MATCH($D$1,CODE,0)))</f>
        <v>0</v>
      </c>
      <c r="R2" s="7">
        <f>SUM(B2*INDEX(FPTS,MATCH($B$1,CODE,0)),C2*INDEX(FPTS,MATCH($C$1,CODE,0)),D2*INDEX(FPTS,MATCH($D$1,CODE,0)),E2*INDEX(FPTS,MATCH($E$1,CODE,0)),F2*INDEX(FPTS,MATCH($F$1,CODE,0)),G2*INDEX(FPTS,MATCH($G$1,CODE,0)),H2*INDEX(FPTS,MATCH($H$1,CODE,0)),I2*INDEX(FPTS,MATCH($I$1,CODE,0)),J2*INDEX(FPTS,MATCH($J$1,CODE,0)),K2*INDEX(FPTS,MATCH($K$1,CODE,0)),L2*INDEX(FPTS,MATCH($L$1,CODE,0)),M2*INDEX(FPTS,MATCH($M$1,CODE,0)),N2*INDEX(FPTS,MATCH($N$1,CODE,0)),O2*INDEX(FPTS,MATCH($O$1,CODE,0)),P2*INDEX(FPTS,MATCH($P$1,CODE,0)))</f>
        <v>0</v>
      </c>
    </row>
    <row r="3" spans="1:18" x14ac:dyDescent="0.25">
      <c r="A3" s="9" t="s">
        <v>105</v>
      </c>
      <c r="N3" s="10">
        <f>IF(E3&gt;=300,1,0)</f>
        <v>0</v>
      </c>
      <c r="O3" s="10">
        <f t="shared" si="0"/>
        <v>0</v>
      </c>
      <c r="P3" s="10">
        <f t="shared" si="1"/>
        <v>0</v>
      </c>
      <c r="Q3" s="7">
        <f t="shared" si="2"/>
        <v>0</v>
      </c>
      <c r="R3" s="7">
        <f>SUM(B3*INDEX(FPTS,MATCH($B$1,CODE,0)),C3*INDEX(FPTS,MATCH($C$1,CODE,0)),D3*INDEX(FPTS,MATCH($D$1,CODE,0)),E3*INDEX(FPTS,MATCH($E$1,CODE,0)),F3*INDEX(FPTS,MATCH($F$1,CODE,0)),G3*INDEX(FPTS,MATCH($G$1,CODE,0)),H3*INDEX(FPTS,MATCH($H$1,CODE,0)),I3*INDEX(FPTS,MATCH($I$1,CODE,0)),J3*INDEX(FPTS,MATCH($J$1,CODE,0)),K3*INDEX(FPTS,MATCH($K$1,CODE,0)),L3*INDEX(FPTS,MATCH($L$1,CODE,0)),M3*INDEX(FPTS,MATCH($M$1,CODE,0)),N3*INDEX(FPTS,MATCH($N$1,CODE,0)),O3*INDEX(FPTS,MATCH($O$1,CODE,0)),P3*INDEX(FPTS,MATCH($P$1,CODE,0)))</f>
        <v>0</v>
      </c>
    </row>
    <row r="4" spans="1:18" x14ac:dyDescent="0.25">
      <c r="A4" s="9" t="s">
        <v>106</v>
      </c>
      <c r="N4" s="10">
        <f>IF(E4&gt;=300,1,0)</f>
        <v>0</v>
      </c>
      <c r="O4" s="10">
        <f t="shared" si="0"/>
        <v>0</v>
      </c>
      <c r="P4" s="10">
        <f t="shared" si="1"/>
        <v>0</v>
      </c>
      <c r="Q4" s="7">
        <f t="shared" si="2"/>
        <v>0</v>
      </c>
      <c r="R4" s="7">
        <f>SUM(B4*INDEX(FPTS,MATCH($B$1,CODE,0)),C4*INDEX(FPTS,MATCH($C$1,CODE,0)),D4*INDEX(FPTS,MATCH($D$1,CODE,0)),E4*INDEX(FPTS,MATCH($E$1,CODE,0)),F4*INDEX(FPTS,MATCH($F$1,CODE,0)),G4*INDEX(FPTS,MATCH($G$1,CODE,0)),H4*INDEX(FPTS,MATCH($H$1,CODE,0)),I4*INDEX(FPTS,MATCH($I$1,CODE,0)),J4*INDEX(FPTS,MATCH($J$1,CODE,0)),K4*INDEX(FPTS,MATCH($K$1,CODE,0)),L4*INDEX(FPTS,MATCH($L$1,CODE,0)),M4*INDEX(FPTS,MATCH($M$1,CODE,0)),N4*INDEX(FPTS,MATCH($N$1,CODE,0)),O4*INDEX(FPTS,MATCH($O$1,CODE,0)),P4*INDEX(FPTS,MATCH($P$1,CODE,0)))</f>
        <v>0</v>
      </c>
    </row>
    <row r="5" spans="1:18" x14ac:dyDescent="0.25">
      <c r="A5" s="9" t="s">
        <v>107</v>
      </c>
      <c r="N5" s="10">
        <f>IF(E5&gt;=300,1,0)</f>
        <v>0</v>
      </c>
      <c r="O5" s="10">
        <f t="shared" si="0"/>
        <v>0</v>
      </c>
      <c r="P5" s="10">
        <f t="shared" si="1"/>
        <v>0</v>
      </c>
      <c r="Q5" s="7">
        <f t="shared" si="2"/>
        <v>0</v>
      </c>
      <c r="R5" s="7">
        <f>SUM(B5*INDEX(FPTS,MATCH($B$1,CODE,0)),C5*INDEX(FPTS,MATCH($C$1,CODE,0)),D5*INDEX(FPTS,MATCH($D$1,CODE,0)),E5*INDEX(FPTS,MATCH($E$1,CODE,0)),F5*INDEX(FPTS,MATCH($F$1,CODE,0)),G5*INDEX(FPTS,MATCH($G$1,CODE,0)),H5*INDEX(FPTS,MATCH($H$1,CODE,0)),I5*INDEX(FPTS,MATCH($I$1,CODE,0)),J5*INDEX(FPTS,MATCH($J$1,CODE,0)),K5*INDEX(FPTS,MATCH($K$1,CODE,0)),L5*INDEX(FPTS,MATCH($L$1,CODE,0)),M5*INDEX(FPTS,MATCH($M$1,CODE,0)),N5*INDEX(FPTS,MATCH($N$1,CODE,0)),O5*INDEX(FPTS,MATCH($O$1,CODE,0)),P5*INDEX(FPTS,MATCH($P$1,CODE,0)))</f>
        <v>0</v>
      </c>
    </row>
    <row r="6" spans="1:18" x14ac:dyDescent="0.25">
      <c r="A6" s="9" t="s">
        <v>108</v>
      </c>
      <c r="N6" s="10">
        <f>IF(E6&gt;=300,1,0)</f>
        <v>0</v>
      </c>
      <c r="O6" s="10">
        <f t="shared" si="0"/>
        <v>0</v>
      </c>
      <c r="P6" s="10">
        <f t="shared" si="1"/>
        <v>0</v>
      </c>
      <c r="Q6" s="7">
        <f t="shared" si="2"/>
        <v>0</v>
      </c>
      <c r="R6" s="7">
        <f>SUM(B6*INDEX(FPTS,MATCH($B$1,CODE,0)),C6*INDEX(FPTS,MATCH($C$1,CODE,0)),D6*INDEX(FPTS,MATCH($D$1,CODE,0)),E6*INDEX(FPTS,MATCH($E$1,CODE,0)),F6*INDEX(FPTS,MATCH($F$1,CODE,0)),G6*INDEX(FPTS,MATCH($G$1,CODE,0)),H6*INDEX(FPTS,MATCH($H$1,CODE,0)),I6*INDEX(FPTS,MATCH($I$1,CODE,0)),J6*INDEX(FPTS,MATCH($J$1,CODE,0)),K6*INDEX(FPTS,MATCH($K$1,CODE,0)),L6*INDEX(FPTS,MATCH($L$1,CODE,0)),M6*INDEX(FPTS,MATCH($M$1,CODE,0)),N6*INDEX(FPTS,MATCH($N$1,CODE,0)),O6*INDEX(FPTS,MATCH($O$1,CODE,0)),P6*INDEX(FPTS,MATCH($P$1,CODE,0)))</f>
        <v>0</v>
      </c>
    </row>
    <row r="7" spans="1:18" x14ac:dyDescent="0.25">
      <c r="A7" s="4" t="s">
        <v>109</v>
      </c>
      <c r="N7" s="10">
        <f>IF(E7&gt;=300,1,0)</f>
        <v>0</v>
      </c>
      <c r="O7" s="10">
        <f t="shared" si="0"/>
        <v>0</v>
      </c>
      <c r="P7" s="10">
        <f t="shared" si="1"/>
        <v>0</v>
      </c>
      <c r="Q7" s="7">
        <f t="shared" si="2"/>
        <v>0</v>
      </c>
      <c r="R7" s="7">
        <f>SUM(B7*INDEX(FPTS,MATCH($B$1,CODE,0)),C7*INDEX(FPTS,MATCH($C$1,CODE,0)),D7*INDEX(FPTS,MATCH($D$1,CODE,0)),E7*INDEX(FPTS,MATCH($E$1,CODE,0)),F7*INDEX(FPTS,MATCH($F$1,CODE,0)),G7*INDEX(FPTS,MATCH($G$1,CODE,0)),H7*INDEX(FPTS,MATCH($H$1,CODE,0)),I7*INDEX(FPTS,MATCH($I$1,CODE,0)),J7*INDEX(FPTS,MATCH($J$1,CODE,0)),K7*INDEX(FPTS,MATCH($K$1,CODE,0)),L7*INDEX(FPTS,MATCH($L$1,CODE,0)),M7*INDEX(FPTS,MATCH($M$1,CODE,0)),N7*INDEX(FPTS,MATCH($N$1,CODE,0)),O7*INDEX(FPTS,MATCH($O$1,CODE,0)),P7*INDEX(FPTS,MATCH($P$1,CODE,0)))</f>
        <v>0</v>
      </c>
    </row>
    <row r="8" spans="1:18" x14ac:dyDescent="0.25">
      <c r="Q8" s="3"/>
    </row>
    <row r="9" spans="1:18" x14ac:dyDescent="0.25">
      <c r="A9" s="8" t="s">
        <v>37</v>
      </c>
      <c r="B9" s="8" t="s">
        <v>12</v>
      </c>
      <c r="C9" s="8" t="s">
        <v>10</v>
      </c>
      <c r="D9" s="8" t="s">
        <v>8</v>
      </c>
      <c r="E9" s="8" t="s">
        <v>6</v>
      </c>
      <c r="F9" s="8" t="s">
        <v>33</v>
      </c>
      <c r="G9" s="8" t="s">
        <v>2</v>
      </c>
      <c r="H9" s="8" t="s">
        <v>29</v>
      </c>
      <c r="I9" s="8" t="s">
        <v>23</v>
      </c>
      <c r="J9" s="8" t="s">
        <v>21</v>
      </c>
      <c r="K9" s="8" t="s">
        <v>19</v>
      </c>
      <c r="L9" s="8" t="s">
        <v>17</v>
      </c>
      <c r="M9" s="8" t="s">
        <v>16</v>
      </c>
      <c r="N9" s="8" t="s">
        <v>14</v>
      </c>
    </row>
    <row r="10" spans="1:18" x14ac:dyDescent="0.25">
      <c r="A10" s="7" t="s">
        <v>110</v>
      </c>
      <c r="I10" s="10">
        <f>IF('BAL - Projections'!Q15=0,1,0)</f>
        <v>1</v>
      </c>
      <c r="J10" s="10">
        <f>IF(AND('BAL - Projections'!Q15&gt;0,'BAL - Projections'!Q15&lt;7),1,0)</f>
        <v>0</v>
      </c>
      <c r="K10" s="10">
        <f>IF(AND('BAL - Projections'!Q15&gt;6,'BAL - Projections'!Q15&lt;14),1,0)</f>
        <v>0</v>
      </c>
      <c r="L10" s="10">
        <f>IF(AND('BAL - Projections'!Q15&gt;13,'BAL - Projections'!Q15&lt;21),1,0)</f>
        <v>0</v>
      </c>
      <c r="M10" s="10">
        <f>IF(AND('BAL - Projections'!Q15&gt;27,'BAL - Projections'!Q15&lt;35),1,0)</f>
        <v>0</v>
      </c>
      <c r="N10" s="10">
        <f>IF('BAL - Projections'!Q15&gt;35,1,0)</f>
        <v>0</v>
      </c>
      <c r="Q10" s="7">
        <f>SUM(B10*INDEX(GPTS,MATCH($B$9,CODE,0)),C10*INDEX(GPTS,MATCH($C$9,CODE,0)),D10*INDEX(GPTS,MATCH($D$9,CODE,0)))</f>
        <v>0</v>
      </c>
      <c r="R10" s="7">
        <f>SUM(B10*INDEX(FPTS,MATCH($B$9,CODE,0)),C10*INDEX(FPTS,MATCH($C$9,CODE,0)),D10*INDEX(FPTS,MATCH($D$9,CODE,0)),E10*INDEX(FPTS,MATCH($E$9,CODE,0)),F10*INDEX(FPTS,MATCH($F$9,CODE,0)),G10*INDEX(FPTS,MATCH($G$9,CODE,0)),H10*INDEX(FPTS,MATCH($H$9,CODE,0)),I10*INDEX(FPTS,MATCH($I$9,CODE,0)),J10*INDEX(FPTS,MATCH($J$9,CODE,0)),K10*INDEX(FPTS,MATCH($K$9,CODE,0)),L10*INDEX(FPTS,MATCH($L$9,CODE,0)),M10*INDEX(FPTS,MATCH($M$9,CODE,0)),N10*INDEX(FPTS,MATCH($N$9,CODE,0)))</f>
        <v>10</v>
      </c>
    </row>
    <row r="11" spans="1:18" x14ac:dyDescent="0.25">
      <c r="Q11" s="11"/>
    </row>
    <row r="12" spans="1:18" x14ac:dyDescent="0.25">
      <c r="A12" s="8" t="s">
        <v>35</v>
      </c>
      <c r="B12" s="8" t="s">
        <v>93</v>
      </c>
      <c r="C12" s="8" t="s">
        <v>32</v>
      </c>
      <c r="D12" s="8" t="s">
        <v>91</v>
      </c>
      <c r="E12" s="8" t="s">
        <v>92</v>
      </c>
      <c r="F12" s="8" t="s">
        <v>31</v>
      </c>
      <c r="G12" s="8" t="s">
        <v>34</v>
      </c>
      <c r="H12" s="8" t="s">
        <v>24</v>
      </c>
      <c r="I12" s="8" t="s">
        <v>26</v>
      </c>
      <c r="J12" s="8" t="s">
        <v>20</v>
      </c>
      <c r="Q12" s="11"/>
    </row>
    <row r="13" spans="1:18" x14ac:dyDescent="0.25">
      <c r="A13" s="7" t="s">
        <v>111</v>
      </c>
      <c r="Q13" s="7">
        <f>SUM(B13*INDEX(GPTS,MATCH($B$12,CODE,0)),C13*INDEX(GPTS,MATCH($C$12,CODE,0)),D13*INDEX(GPTS,MATCH($D$12,CODE,0)),E13*INDEX(GPTS,MATCH($E$12,CODE,0)),F13*INDEX(GPTS,MATCH($F$12,CODE,0)),G13*INDEX(GPTS,MATCH($G$12,CODE,0)),H13*INDEX(GPTS,MATCH($H$12,CODE,0)),I13*INDEX(GPTS,MATCH($I$12,CODE,0)),J13*INDEX(GPTS,MATCH($J$12,CODE,0)))</f>
        <v>0</v>
      </c>
      <c r="R13" s="7">
        <f>SUM(B13*INDEX(FPTS,MATCH($B$12,CODE,0)),C13*INDEX(FPTS,MATCH($C$12,CODE,0)),D13*INDEX(FPTS,MATCH($D$12,CODE,0)),E13*INDEX(FPTS,MATCH($E$12,CODE,0)),F13*INDEX(FPTS,MATCH($F$12,CODE,0)),G13*INDEX(FPTS,MATCH($G$12,CODE,0)),H13*INDEX(FPTS,MATCH($H$12,CODE,0)),I13*INDEX(FPTS,MATCH($I$12,CODE,0)),J13*INDEX(FPTS,MATCH($J$12,CODE,0)))</f>
        <v>0</v>
      </c>
    </row>
    <row r="15" spans="1:18" x14ac:dyDescent="0.25">
      <c r="A15" s="5" t="s">
        <v>56</v>
      </c>
      <c r="Q15" s="12">
        <f>SUM(Q1:Q13)</f>
        <v>0</v>
      </c>
      <c r="R15" s="12">
        <f>SUM(R1:R13)</f>
        <v>10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4"/>
  <sheetViews>
    <sheetView zoomScaleNormal="100" workbookViewId="0"/>
  </sheetViews>
  <sheetFormatPr defaultColWidth="9.28515625" defaultRowHeight="15" x14ac:dyDescent="0.25"/>
  <cols>
    <col min="1" max="1" width="12.140625" style="1" bestFit="1" customWidth="1"/>
    <col min="2" max="2" width="5" bestFit="1" customWidth="1"/>
    <col min="3" max="3" width="4.7109375" bestFit="1" customWidth="1"/>
    <col min="4" max="5" width="27.5703125" style="1" bestFit="1" customWidth="1"/>
    <col min="8" max="8" width="27.5703125" style="1" bestFit="1" customWidth="1"/>
    <col min="9" max="9" width="12.140625" style="1" bestFit="1" customWidth="1"/>
    <col min="10" max="10" width="27.5703125" bestFit="1" customWidth="1"/>
  </cols>
  <sheetData>
    <row r="1" spans="1:10" s="1" customFormat="1" x14ac:dyDescent="0.25">
      <c r="A1" s="7" t="s">
        <v>97</v>
      </c>
      <c r="B1" s="7" t="s">
        <v>98</v>
      </c>
      <c r="C1" s="7" t="s">
        <v>99</v>
      </c>
      <c r="D1" s="7" t="s">
        <v>100</v>
      </c>
    </row>
    <row r="2" spans="1:10" x14ac:dyDescent="0.25">
      <c r="A2" s="7" t="s">
        <v>10</v>
      </c>
      <c r="B2" s="7">
        <v>2</v>
      </c>
      <c r="C2" s="7">
        <v>2</v>
      </c>
      <c r="D2" s="7" t="s">
        <v>70</v>
      </c>
      <c r="J2" s="1"/>
    </row>
    <row r="3" spans="1:10" x14ac:dyDescent="0.25">
      <c r="A3" s="7" t="s">
        <v>12</v>
      </c>
      <c r="B3" s="7">
        <v>6</v>
      </c>
      <c r="C3" s="7">
        <v>6</v>
      </c>
      <c r="D3" s="7" t="s">
        <v>95</v>
      </c>
      <c r="J3" s="1"/>
    </row>
    <row r="4" spans="1:10" x14ac:dyDescent="0.25">
      <c r="A4" s="7" t="s">
        <v>25</v>
      </c>
      <c r="B4" s="7">
        <v>6</v>
      </c>
      <c r="C4" s="7">
        <v>6</v>
      </c>
      <c r="D4" s="7" t="s">
        <v>94</v>
      </c>
      <c r="J4" s="1"/>
    </row>
    <row r="5" spans="1:10" x14ac:dyDescent="0.25">
      <c r="A5" s="7" t="s">
        <v>27</v>
      </c>
      <c r="B5" s="7">
        <v>6</v>
      </c>
      <c r="C5" s="7">
        <v>6</v>
      </c>
      <c r="D5" s="7" t="s">
        <v>63</v>
      </c>
      <c r="J5" s="1"/>
    </row>
    <row r="6" spans="1:10" x14ac:dyDescent="0.25">
      <c r="A6" s="7" t="s">
        <v>8</v>
      </c>
      <c r="B6" s="7">
        <v>2</v>
      </c>
      <c r="C6" s="7">
        <v>2</v>
      </c>
      <c r="D6" s="7" t="s">
        <v>71</v>
      </c>
      <c r="J6" s="1"/>
    </row>
    <row r="7" spans="1:10" x14ac:dyDescent="0.25">
      <c r="A7" s="7" t="s">
        <v>23</v>
      </c>
      <c r="B7" s="7">
        <v>10</v>
      </c>
      <c r="C7" s="7"/>
      <c r="D7" s="7" t="s">
        <v>64</v>
      </c>
      <c r="J7" s="1"/>
    </row>
    <row r="8" spans="1:10" x14ac:dyDescent="0.25">
      <c r="A8" s="7" t="s">
        <v>21</v>
      </c>
      <c r="B8" s="7">
        <v>7</v>
      </c>
      <c r="C8" s="7"/>
      <c r="D8" s="7" t="s">
        <v>65</v>
      </c>
      <c r="J8" s="1"/>
    </row>
    <row r="9" spans="1:10" x14ac:dyDescent="0.25">
      <c r="A9" s="7" t="s">
        <v>19</v>
      </c>
      <c r="B9" s="7">
        <v>4</v>
      </c>
      <c r="C9" s="7"/>
      <c r="D9" s="7" t="s">
        <v>69</v>
      </c>
      <c r="J9" s="1"/>
    </row>
    <row r="10" spans="1:10" x14ac:dyDescent="0.25">
      <c r="A10" s="7" t="s">
        <v>17</v>
      </c>
      <c r="B10" s="7">
        <v>1</v>
      </c>
      <c r="C10" s="7"/>
      <c r="D10" s="7" t="s">
        <v>66</v>
      </c>
      <c r="J10" s="1"/>
    </row>
    <row r="11" spans="1:10" x14ac:dyDescent="0.25">
      <c r="A11" s="7" t="s">
        <v>16</v>
      </c>
      <c r="B11" s="7">
        <v>-1</v>
      </c>
      <c r="C11" s="7"/>
      <c r="D11" s="7" t="s">
        <v>67</v>
      </c>
      <c r="J11" s="1"/>
    </row>
    <row r="12" spans="1:10" x14ac:dyDescent="0.25">
      <c r="A12" s="7" t="s">
        <v>14</v>
      </c>
      <c r="B12" s="7">
        <v>-4</v>
      </c>
      <c r="C12" s="7"/>
      <c r="D12" s="7" t="s">
        <v>68</v>
      </c>
      <c r="J12" s="1"/>
    </row>
    <row r="13" spans="1:10" x14ac:dyDescent="0.25">
      <c r="A13" s="7" t="s">
        <v>33</v>
      </c>
      <c r="B13" s="7">
        <v>2</v>
      </c>
      <c r="C13" s="7"/>
      <c r="D13" s="7" t="s">
        <v>80</v>
      </c>
      <c r="J13" s="1"/>
    </row>
    <row r="14" spans="1:10" x14ac:dyDescent="0.25">
      <c r="A14" s="7" t="s">
        <v>2</v>
      </c>
      <c r="B14" s="7">
        <v>1</v>
      </c>
      <c r="C14" s="7"/>
      <c r="D14" s="7" t="s">
        <v>89</v>
      </c>
      <c r="J14" s="1"/>
    </row>
    <row r="15" spans="1:10" x14ac:dyDescent="0.25">
      <c r="A15" s="7" t="s">
        <v>29</v>
      </c>
      <c r="B15" s="7">
        <v>2</v>
      </c>
      <c r="C15" s="7"/>
      <c r="D15" s="7" t="s">
        <v>62</v>
      </c>
      <c r="J15" s="1"/>
    </row>
    <row r="16" spans="1:10" s="1" customFormat="1" x14ac:dyDescent="0.25">
      <c r="A16" s="7" t="s">
        <v>93</v>
      </c>
      <c r="B16" s="7">
        <v>3</v>
      </c>
      <c r="C16" s="7">
        <v>3</v>
      </c>
      <c r="D16" s="7" t="s">
        <v>73</v>
      </c>
    </row>
    <row r="17" spans="1:10" x14ac:dyDescent="0.25">
      <c r="A17" s="7" t="s">
        <v>32</v>
      </c>
      <c r="B17" s="7">
        <v>3</v>
      </c>
      <c r="C17" s="7">
        <v>3</v>
      </c>
      <c r="D17" s="7" t="s">
        <v>74</v>
      </c>
    </row>
    <row r="18" spans="1:10" s="1" customFormat="1" x14ac:dyDescent="0.25">
      <c r="A18" s="7" t="s">
        <v>91</v>
      </c>
      <c r="B18" s="7">
        <v>3</v>
      </c>
      <c r="C18" s="7">
        <v>3</v>
      </c>
      <c r="D18" s="7" t="s">
        <v>75</v>
      </c>
    </row>
    <row r="19" spans="1:10" s="1" customFormat="1" x14ac:dyDescent="0.25">
      <c r="A19" s="7" t="s">
        <v>92</v>
      </c>
      <c r="B19" s="7">
        <v>4</v>
      </c>
      <c r="C19" s="7">
        <v>3</v>
      </c>
      <c r="D19" s="7" t="s">
        <v>76</v>
      </c>
    </row>
    <row r="20" spans="1:10" s="1" customFormat="1" x14ac:dyDescent="0.25">
      <c r="A20" s="7" t="s">
        <v>31</v>
      </c>
      <c r="B20" s="7">
        <v>5</v>
      </c>
      <c r="C20" s="7">
        <v>3</v>
      </c>
      <c r="D20" s="7" t="s">
        <v>72</v>
      </c>
    </row>
    <row r="21" spans="1:10" s="1" customFormat="1" x14ac:dyDescent="0.25">
      <c r="A21" s="7" t="s">
        <v>34</v>
      </c>
      <c r="B21" s="7">
        <v>1</v>
      </c>
      <c r="C21" s="7">
        <v>1</v>
      </c>
      <c r="D21" s="7" t="s">
        <v>90</v>
      </c>
    </row>
    <row r="22" spans="1:10" x14ac:dyDescent="0.25">
      <c r="A22" s="7" t="s">
        <v>1</v>
      </c>
      <c r="B22" s="7">
        <v>6</v>
      </c>
      <c r="C22" s="7">
        <v>6</v>
      </c>
      <c r="D22" s="7" t="s">
        <v>87</v>
      </c>
      <c r="J22" s="1"/>
    </row>
    <row r="23" spans="1:10" x14ac:dyDescent="0.25">
      <c r="A23" s="7" t="s">
        <v>5</v>
      </c>
      <c r="B23" s="7">
        <v>6</v>
      </c>
      <c r="C23" s="7">
        <v>6</v>
      </c>
      <c r="D23" s="7" t="s">
        <v>85</v>
      </c>
      <c r="J23" s="1"/>
    </row>
    <row r="24" spans="1:10" x14ac:dyDescent="0.25">
      <c r="A24" s="7" t="s">
        <v>18</v>
      </c>
      <c r="B24" s="7">
        <v>6</v>
      </c>
      <c r="C24" s="7">
        <v>6</v>
      </c>
      <c r="D24" s="7" t="s">
        <v>79</v>
      </c>
      <c r="J24" s="1"/>
    </row>
    <row r="25" spans="1:10" x14ac:dyDescent="0.25">
      <c r="A25" s="7" t="s">
        <v>15</v>
      </c>
      <c r="B25" s="7">
        <v>6</v>
      </c>
      <c r="C25" s="7">
        <v>6</v>
      </c>
      <c r="D25" s="7" t="s">
        <v>81</v>
      </c>
      <c r="J25" s="1"/>
    </row>
    <row r="26" spans="1:10" x14ac:dyDescent="0.25">
      <c r="A26" s="7" t="s">
        <v>13</v>
      </c>
      <c r="B26" s="7">
        <v>6</v>
      </c>
      <c r="C26" s="7">
        <v>6</v>
      </c>
      <c r="D26" s="7" t="s">
        <v>102</v>
      </c>
      <c r="J26" s="1"/>
    </row>
    <row r="27" spans="1:10" x14ac:dyDescent="0.25">
      <c r="A27" s="7" t="s">
        <v>24</v>
      </c>
      <c r="B27" s="7">
        <v>2</v>
      </c>
      <c r="C27" s="7">
        <v>2</v>
      </c>
      <c r="D27" s="7" t="s">
        <v>60</v>
      </c>
      <c r="J27" s="1"/>
    </row>
    <row r="28" spans="1:10" x14ac:dyDescent="0.25">
      <c r="A28" s="7" t="s">
        <v>9</v>
      </c>
      <c r="B28" s="7">
        <v>0.04</v>
      </c>
      <c r="C28" s="7"/>
      <c r="D28" s="7" t="s">
        <v>83</v>
      </c>
      <c r="J28" s="1"/>
    </row>
    <row r="29" spans="1:10" x14ac:dyDescent="0.25">
      <c r="A29" s="7" t="s">
        <v>11</v>
      </c>
      <c r="B29" s="7">
        <v>4</v>
      </c>
      <c r="C29" s="7"/>
      <c r="D29" s="7" t="s">
        <v>82</v>
      </c>
      <c r="J29" s="1"/>
    </row>
    <row r="30" spans="1:10" x14ac:dyDescent="0.25">
      <c r="A30" s="7" t="s">
        <v>22</v>
      </c>
      <c r="B30" s="7">
        <v>3</v>
      </c>
      <c r="C30" s="7"/>
      <c r="D30" s="7" t="s">
        <v>61</v>
      </c>
      <c r="J30" s="1"/>
    </row>
    <row r="31" spans="1:10" x14ac:dyDescent="0.25">
      <c r="A31" s="7" t="s">
        <v>4</v>
      </c>
      <c r="B31" s="7">
        <v>-1</v>
      </c>
      <c r="C31" s="7"/>
      <c r="D31" s="7" t="s">
        <v>80</v>
      </c>
      <c r="J31" s="1"/>
    </row>
    <row r="32" spans="1:10" x14ac:dyDescent="0.25">
      <c r="A32" s="7" t="s">
        <v>0</v>
      </c>
      <c r="B32" s="7">
        <v>0.1</v>
      </c>
      <c r="C32" s="7"/>
      <c r="D32" s="7" t="s">
        <v>88</v>
      </c>
    </row>
    <row r="33" spans="1:10" x14ac:dyDescent="0.25">
      <c r="A33" s="7" t="s">
        <v>28</v>
      </c>
      <c r="B33" s="7">
        <v>3</v>
      </c>
      <c r="C33" s="7"/>
      <c r="D33" s="7" t="s">
        <v>58</v>
      </c>
      <c r="J33" s="1"/>
    </row>
    <row r="34" spans="1:10" x14ac:dyDescent="0.25">
      <c r="A34" s="7" t="s">
        <v>7</v>
      </c>
      <c r="B34" s="7">
        <v>0.5</v>
      </c>
      <c r="C34" s="7"/>
      <c r="D34" s="7" t="s">
        <v>84</v>
      </c>
      <c r="J34" s="1"/>
    </row>
    <row r="35" spans="1:10" x14ac:dyDescent="0.25">
      <c r="A35" s="7" t="s">
        <v>3</v>
      </c>
      <c r="B35" s="7">
        <v>0.1</v>
      </c>
      <c r="C35" s="7"/>
      <c r="D35" s="7" t="s">
        <v>86</v>
      </c>
      <c r="J35" s="1"/>
    </row>
    <row r="36" spans="1:10" x14ac:dyDescent="0.25">
      <c r="A36" s="7" t="s">
        <v>30</v>
      </c>
      <c r="B36" s="7">
        <v>3</v>
      </c>
      <c r="C36" s="7"/>
      <c r="D36" s="7" t="s">
        <v>57</v>
      </c>
      <c r="J36" s="1"/>
    </row>
    <row r="37" spans="1:10" x14ac:dyDescent="0.25">
      <c r="A37" s="7" t="s">
        <v>26</v>
      </c>
      <c r="B37" s="7">
        <v>2</v>
      </c>
      <c r="C37" s="7"/>
      <c r="D37" s="7" t="s">
        <v>59</v>
      </c>
      <c r="J37" s="1"/>
    </row>
    <row r="38" spans="1:10" x14ac:dyDescent="0.25">
      <c r="A38" s="7" t="s">
        <v>6</v>
      </c>
      <c r="B38" s="7">
        <v>2</v>
      </c>
      <c r="C38" s="7"/>
      <c r="D38" s="7" t="s">
        <v>77</v>
      </c>
      <c r="J38" s="1"/>
    </row>
    <row r="39" spans="1:10" x14ac:dyDescent="0.25">
      <c r="A39" s="7" t="s">
        <v>20</v>
      </c>
      <c r="B39" s="7">
        <v>-2</v>
      </c>
      <c r="C39" s="7"/>
      <c r="D39" s="7" t="s">
        <v>78</v>
      </c>
      <c r="J39" s="1"/>
    </row>
    <row r="40" spans="1:10" x14ac:dyDescent="0.25">
      <c r="A40" s="1" t="s">
        <v>96</v>
      </c>
      <c r="B40" s="1">
        <v>6</v>
      </c>
      <c r="C40">
        <v>6</v>
      </c>
      <c r="D40" s="1" t="s">
        <v>103</v>
      </c>
      <c r="J40" s="1"/>
    </row>
    <row r="41" spans="1:10" x14ac:dyDescent="0.25">
      <c r="A41" s="1" t="s">
        <v>101</v>
      </c>
      <c r="B41" s="7">
        <v>-1</v>
      </c>
      <c r="C41" s="7"/>
      <c r="D41" s="7" t="s">
        <v>80</v>
      </c>
      <c r="J41" s="1"/>
    </row>
    <row r="42" spans="1:10" x14ac:dyDescent="0.25">
      <c r="B42" s="1"/>
      <c r="J42" s="1"/>
    </row>
    <row r="43" spans="1:10" x14ac:dyDescent="0.25">
      <c r="B43" s="1"/>
      <c r="J43" s="1"/>
    </row>
    <row r="44" spans="1:10" x14ac:dyDescent="0.25">
      <c r="B44" s="1"/>
      <c r="J44" s="1"/>
    </row>
  </sheetData>
  <sortState ref="B1:C40">
    <sortCondition ref="B1:B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N19"/>
  <sheetViews>
    <sheetView workbookViewId="0"/>
  </sheetViews>
  <sheetFormatPr defaultColWidth="5.140625" defaultRowHeight="15" x14ac:dyDescent="0.25"/>
  <cols>
    <col min="1" max="1" width="12.5703125" bestFit="1" customWidth="1"/>
    <col min="2" max="2" width="7.5703125" bestFit="1" customWidth="1"/>
    <col min="3" max="3" width="7.28515625" bestFit="1" customWidth="1"/>
    <col min="4" max="4" width="7" bestFit="1" customWidth="1"/>
    <col min="5" max="7" width="9.140625" bestFit="1" customWidth="1"/>
    <col min="8" max="8" width="6.5703125" style="1" bestFit="1" customWidth="1"/>
    <col min="9" max="9" width="6.140625" style="1" bestFit="1" customWidth="1"/>
    <col min="10" max="10" width="11.28515625" style="1" bestFit="1" customWidth="1"/>
    <col min="11" max="11" width="6.28515625" style="1" bestFit="1" customWidth="1"/>
    <col min="12" max="13" width="9.140625" style="1" customWidth="1"/>
    <col min="14" max="14" width="7.140625" bestFit="1" customWidth="1"/>
    <col min="15" max="15" width="6.85546875" bestFit="1" customWidth="1"/>
    <col min="16" max="16" width="6.5703125" bestFit="1" customWidth="1"/>
    <col min="17" max="19" width="8.7109375" bestFit="1" customWidth="1"/>
    <col min="20" max="20" width="8.7109375" style="1" customWidth="1"/>
    <col min="21" max="21" width="6.5703125" style="1" bestFit="1" customWidth="1"/>
    <col min="22" max="22" width="5.7109375" bestFit="1" customWidth="1"/>
    <col min="23" max="23" width="5.7109375" style="1" customWidth="1"/>
    <col min="24" max="24" width="11.28515625" style="1" bestFit="1" customWidth="1"/>
    <col min="25" max="25" width="5.85546875" bestFit="1" customWidth="1"/>
    <col min="26" max="26" width="4.7109375" bestFit="1" customWidth="1"/>
    <col min="27" max="27" width="2" bestFit="1" customWidth="1"/>
    <col min="28" max="28" width="5.28515625" bestFit="1" customWidth="1"/>
    <col min="29" max="29" width="3.140625" bestFit="1" customWidth="1"/>
    <col min="30" max="30" width="5" bestFit="1" customWidth="1"/>
    <col min="31" max="31" width="12" bestFit="1" customWidth="1"/>
    <col min="32" max="32" width="3.42578125" bestFit="1" customWidth="1"/>
    <col min="33" max="33" width="4.28515625" bestFit="1" customWidth="1"/>
    <col min="34" max="34" width="12.140625" bestFit="1" customWidth="1"/>
    <col min="35" max="35" width="3.28515625" bestFit="1" customWidth="1"/>
    <col min="36" max="36" width="4.28515625" bestFit="1" customWidth="1"/>
    <col min="37" max="37" width="12.140625" bestFit="1" customWidth="1"/>
    <col min="38" max="38" width="6.28515625" bestFit="1" customWidth="1"/>
    <col min="39" max="39" width="3.140625" bestFit="1" customWidth="1"/>
    <col min="40" max="40" width="5" bestFit="1" customWidth="1"/>
    <col min="41" max="41" width="4.28515625" bestFit="1" customWidth="1"/>
    <col min="42" max="42" width="12.140625" bestFit="1" customWidth="1"/>
    <col min="43" max="43" width="6.28515625" bestFit="1" customWidth="1"/>
    <col min="44" max="44" width="3.140625" bestFit="1" customWidth="1"/>
    <col min="45" max="45" width="5" bestFit="1" customWidth="1"/>
  </cols>
  <sheetData>
    <row r="1" spans="1:40" x14ac:dyDescent="0.25">
      <c r="A1" s="2"/>
      <c r="B1" s="2" t="s">
        <v>42</v>
      </c>
      <c r="C1" s="2" t="s">
        <v>47</v>
      </c>
      <c r="D1" s="2" t="s">
        <v>52</v>
      </c>
      <c r="E1" s="2" t="s">
        <v>40</v>
      </c>
      <c r="F1" s="2" t="s">
        <v>44</v>
      </c>
      <c r="G1" s="5" t="s">
        <v>51</v>
      </c>
      <c r="H1" s="5"/>
      <c r="I1" s="6" t="s">
        <v>48</v>
      </c>
      <c r="J1" s="6"/>
      <c r="K1" s="6" t="s">
        <v>50</v>
      </c>
      <c r="L1" s="5"/>
      <c r="M1" s="5"/>
      <c r="N1" s="2" t="s">
        <v>39</v>
      </c>
      <c r="O1" s="2" t="s">
        <v>38</v>
      </c>
      <c r="P1" s="2" t="s">
        <v>46</v>
      </c>
      <c r="Q1" s="2" t="s">
        <v>41</v>
      </c>
      <c r="R1" s="2" t="s">
        <v>43</v>
      </c>
      <c r="S1" s="5" t="s">
        <v>53</v>
      </c>
      <c r="T1" s="5"/>
      <c r="U1" s="5"/>
      <c r="V1" s="6" t="s">
        <v>49</v>
      </c>
      <c r="W1" s="6"/>
      <c r="X1" s="6"/>
      <c r="Y1" s="6" t="s">
        <v>45</v>
      </c>
    </row>
    <row r="2" spans="1:40" x14ac:dyDescent="0.25">
      <c r="A2" s="2" t="s">
        <v>96</v>
      </c>
      <c r="H2" s="2" t="s">
        <v>93</v>
      </c>
      <c r="J2" s="2" t="s">
        <v>10</v>
      </c>
      <c r="M2" s="2" t="s">
        <v>96</v>
      </c>
      <c r="U2" s="2" t="s">
        <v>93</v>
      </c>
      <c r="X2" s="2" t="s">
        <v>10</v>
      </c>
    </row>
    <row r="3" spans="1:40" x14ac:dyDescent="0.25">
      <c r="A3" s="2" t="s">
        <v>24</v>
      </c>
      <c r="H3" s="2" t="s">
        <v>32</v>
      </c>
      <c r="J3" s="2" t="s">
        <v>8</v>
      </c>
      <c r="M3" s="2" t="s">
        <v>24</v>
      </c>
      <c r="U3" s="2" t="s">
        <v>32</v>
      </c>
      <c r="X3" s="2" t="s">
        <v>8</v>
      </c>
    </row>
    <row r="4" spans="1:40" x14ac:dyDescent="0.25">
      <c r="A4" s="2" t="s">
        <v>11</v>
      </c>
      <c r="H4" s="2" t="s">
        <v>91</v>
      </c>
      <c r="J4" s="2" t="s">
        <v>6</v>
      </c>
      <c r="M4" s="2" t="s">
        <v>11</v>
      </c>
      <c r="U4" s="2" t="s">
        <v>91</v>
      </c>
      <c r="X4" s="2" t="s">
        <v>6</v>
      </c>
    </row>
    <row r="5" spans="1:40" x14ac:dyDescent="0.25">
      <c r="A5" s="2" t="s">
        <v>9</v>
      </c>
      <c r="H5" s="2" t="s">
        <v>92</v>
      </c>
      <c r="J5" s="2" t="s">
        <v>20</v>
      </c>
      <c r="M5" s="2" t="s">
        <v>9</v>
      </c>
      <c r="U5" s="2" t="s">
        <v>92</v>
      </c>
      <c r="X5" s="2" t="s">
        <v>20</v>
      </c>
    </row>
    <row r="6" spans="1:40" x14ac:dyDescent="0.25">
      <c r="A6" s="2" t="s">
        <v>22</v>
      </c>
      <c r="H6" s="2" t="s">
        <v>31</v>
      </c>
      <c r="J6" s="2" t="s">
        <v>23</v>
      </c>
      <c r="M6" s="2" t="s">
        <v>22</v>
      </c>
      <c r="U6" s="2" t="s">
        <v>31</v>
      </c>
      <c r="X6" s="2" t="s">
        <v>23</v>
      </c>
    </row>
    <row r="7" spans="1:40" x14ac:dyDescent="0.25">
      <c r="A7" s="2" t="s">
        <v>4</v>
      </c>
      <c r="H7" s="2" t="s">
        <v>34</v>
      </c>
      <c r="J7" s="2" t="s">
        <v>21</v>
      </c>
      <c r="M7" s="2" t="s">
        <v>4</v>
      </c>
      <c r="U7" s="2" t="s">
        <v>34</v>
      </c>
      <c r="X7" s="2" t="s">
        <v>21</v>
      </c>
    </row>
    <row r="8" spans="1:40" x14ac:dyDescent="0.25">
      <c r="A8" s="2" t="s">
        <v>0</v>
      </c>
      <c r="J8" s="2" t="s">
        <v>19</v>
      </c>
      <c r="M8" s="2" t="s">
        <v>0</v>
      </c>
      <c r="X8" s="2" t="s">
        <v>19</v>
      </c>
    </row>
    <row r="9" spans="1:40" x14ac:dyDescent="0.25">
      <c r="A9" s="2" t="s">
        <v>28</v>
      </c>
      <c r="J9" s="2" t="s">
        <v>17</v>
      </c>
      <c r="M9" s="2" t="s">
        <v>28</v>
      </c>
      <c r="X9" s="2" t="s">
        <v>17</v>
      </c>
    </row>
    <row r="10" spans="1:40" x14ac:dyDescent="0.25">
      <c r="A10" s="2" t="s">
        <v>7</v>
      </c>
      <c r="J10" s="2" t="s">
        <v>16</v>
      </c>
      <c r="M10" s="2" t="s">
        <v>7</v>
      </c>
      <c r="X10" s="2" t="s">
        <v>16</v>
      </c>
    </row>
    <row r="11" spans="1:40" x14ac:dyDescent="0.25">
      <c r="A11" s="2" t="s">
        <v>3</v>
      </c>
      <c r="J11" s="2" t="s">
        <v>14</v>
      </c>
      <c r="M11" s="2" t="s">
        <v>3</v>
      </c>
      <c r="X11" s="2" t="s">
        <v>14</v>
      </c>
    </row>
    <row r="12" spans="1:40" x14ac:dyDescent="0.25">
      <c r="A12" s="2" t="s">
        <v>30</v>
      </c>
      <c r="J12" s="2" t="s">
        <v>33</v>
      </c>
      <c r="M12" s="2" t="s">
        <v>30</v>
      </c>
      <c r="X12" s="2" t="s">
        <v>33</v>
      </c>
    </row>
    <row r="13" spans="1:40" x14ac:dyDescent="0.25">
      <c r="A13" s="2" t="s">
        <v>26</v>
      </c>
      <c r="J13" s="2" t="s">
        <v>2</v>
      </c>
      <c r="M13" s="2" t="s">
        <v>26</v>
      </c>
      <c r="X13" s="2" t="s">
        <v>2</v>
      </c>
    </row>
    <row r="14" spans="1:40" x14ac:dyDescent="0.25">
      <c r="J14" s="2" t="s">
        <v>29</v>
      </c>
      <c r="X14" s="2" t="s">
        <v>29</v>
      </c>
    </row>
    <row r="15" spans="1:40" x14ac:dyDescent="0.25">
      <c r="P15" s="1"/>
      <c r="Y15" s="1"/>
      <c r="Z15" s="1"/>
      <c r="AA15" s="1"/>
      <c r="AB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8" spans="2:2" x14ac:dyDescent="0.25">
      <c r="B18" s="1"/>
    </row>
    <row r="19" spans="2:2" x14ac:dyDescent="0.25"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BAL - Projections</vt:lpstr>
      <vt:lpstr>BUF - Projections</vt:lpstr>
      <vt:lpstr>Point Matrix</vt:lpstr>
      <vt:lpstr>Headers</vt:lpstr>
      <vt:lpstr>CODE</vt:lpstr>
      <vt:lpstr>FPTS</vt:lpstr>
      <vt:lpstr>GPTS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2025-08-21T14:59:09Z</dcterms:created>
  <dcterms:modified xsi:type="dcterms:W3CDTF">2025-09-12T15:18:18Z</dcterms:modified>
</cp:coreProperties>
</file>