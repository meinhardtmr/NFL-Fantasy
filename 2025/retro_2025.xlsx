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NFL-Fantasy\2025\"/>
    </mc:Choice>
  </mc:AlternateContent>
  <xr:revisionPtr revIDLastSave="0" documentId="13_ncr:1_{F423A871-7854-4308-9AE6-9FD537F37E37}" xr6:coauthVersionLast="47" xr6:coauthVersionMax="47" xr10:uidLastSave="{00000000-0000-0000-0000-000000000000}"/>
  <bookViews>
    <workbookView xWindow="43080" yWindow="-120" windowWidth="29040" windowHeight="15720" tabRatio="651" firstSheet="5" activeTab="6" xr2:uid="{00000000-000D-0000-FFFF-FFFF00000000}"/>
  </bookViews>
  <sheets>
    <sheet name="Sheet2" sheetId="13" state="hidden" r:id="rId1"/>
    <sheet name="Wins by Key" sheetId="7" r:id="rId2"/>
    <sheet name="Wins by Postion" sheetId="6" r:id="rId3"/>
    <sheet name="MVP by Key" sheetId="11" r:id="rId4"/>
    <sheet name="MVP by Player-Position" sheetId="4" r:id="rId5"/>
    <sheet name="Team Count" sheetId="9" r:id="rId6"/>
    <sheet name="Retro" sheetId="1" r:id="rId7"/>
    <sheet name="Position Matrix" sheetId="3" r:id="rId8"/>
    <sheet name="xMVP by Position" sheetId="5" r:id="rId9"/>
  </sheets>
  <definedNames>
    <definedName name="_xlnm._FilterDatabase" localSheetId="4" hidden="1">'xMVP by Position'!$B$32:$B$67</definedName>
    <definedName name="_xlnm._FilterDatabase" localSheetId="6" hidden="1">Retro!$L$2:$L$34</definedName>
    <definedName name="_xlnm._FilterDatabase" localSheetId="2" hidden="1">'Wins by Postion'!$M$2:$M$12</definedName>
    <definedName name="_xlnm._FilterDatabase" localSheetId="8" hidden="1">'xMVP by Position'!$K$2:$K$11</definedName>
    <definedName name="_xlcn.WorksheetConnection_retro_2025.xlsxtretro11" hidden="1">Retro!$A$1:$AF$33</definedName>
    <definedName name="ExternalData_1" localSheetId="0" hidden="1">Sheet2!$A$3:$AB$9</definedName>
    <definedName name="MVPbyPlayer">'MVP by Player-Position'!$U$2:INDEX(!$R:$R,COUNTA('MVP by Player-Position'!$R:$R))</definedName>
    <definedName name="WinsByPosition">'Position Matrix'!$A$82:$C$91</definedName>
  </definedNames>
  <calcPr calcId="191029"/>
  <pivotCaches>
    <pivotCache cacheId="0" r:id="rId10"/>
    <pivotCache cacheId="18" r:id="rId11"/>
  </pivotCaches>
  <extLst>
    <ext xmlns:x15="http://schemas.microsoft.com/office/spreadsheetml/2010/11/main" uri="{FCE2AD5D-F65C-4FA6-A056-5C36A1767C68}">
      <x15:dataModel>
        <x15:modelTables>
          <x15:modelTable id="tretro 1" name="tretro 1" connection="WorksheetConnection_retro_2025.xlsx!tretro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1" l="1"/>
  <c r="I34" i="1"/>
  <c r="E34" i="1" s="1"/>
  <c r="H33" i="1"/>
  <c r="I33" i="1"/>
  <c r="E33" i="1" s="1"/>
  <c r="H32" i="1"/>
  <c r="I32" i="1"/>
  <c r="E32" i="1" s="1"/>
  <c r="I2" i="1"/>
  <c r="I3" i="1"/>
  <c r="E3" i="1" s="1"/>
  <c r="I4" i="1"/>
  <c r="E4" i="1" s="1"/>
  <c r="I5" i="1"/>
  <c r="E5" i="1" s="1"/>
  <c r="I6" i="1"/>
  <c r="E6" i="1" s="1"/>
  <c r="I7" i="1"/>
  <c r="E7" i="1" s="1"/>
  <c r="I8" i="1"/>
  <c r="E8" i="1" s="1"/>
  <c r="I9" i="1"/>
  <c r="E9" i="1" s="1"/>
  <c r="I10" i="1"/>
  <c r="E10" i="1" s="1"/>
  <c r="I11" i="1"/>
  <c r="E11" i="1" s="1"/>
  <c r="I12" i="1"/>
  <c r="E12" i="1" s="1"/>
  <c r="I13" i="1"/>
  <c r="F13" i="1" s="1"/>
  <c r="I14" i="1"/>
  <c r="E14" i="1" s="1"/>
  <c r="I15" i="1"/>
  <c r="E15" i="1" s="1"/>
  <c r="I16" i="1"/>
  <c r="E16" i="1" s="1"/>
  <c r="I17" i="1"/>
  <c r="E17" i="1" s="1"/>
  <c r="I18" i="1"/>
  <c r="F18" i="1" s="1"/>
  <c r="I19" i="1"/>
  <c r="E19" i="1" s="1"/>
  <c r="I21" i="1"/>
  <c r="E21" i="1" s="1"/>
  <c r="I20" i="1"/>
  <c r="E20" i="1" s="1"/>
  <c r="I22" i="1"/>
  <c r="E22" i="1" s="1"/>
  <c r="I23" i="1"/>
  <c r="E23" i="1" s="1"/>
  <c r="I25" i="1"/>
  <c r="E25" i="1" s="1"/>
  <c r="I26" i="1"/>
  <c r="E26" i="1" s="1"/>
  <c r="I27" i="1"/>
  <c r="E27" i="1" s="1"/>
  <c r="I24" i="1"/>
  <c r="E24" i="1" s="1"/>
  <c r="I28" i="1"/>
  <c r="F28" i="1" s="1"/>
  <c r="I29" i="1"/>
  <c r="E29" i="1" s="1"/>
  <c r="I30" i="1"/>
  <c r="E30" i="1" s="1"/>
  <c r="I31" i="1"/>
  <c r="E31" i="1" s="1"/>
  <c r="H15" i="1"/>
  <c r="H16" i="1"/>
  <c r="H17" i="1"/>
  <c r="H18" i="1"/>
  <c r="H19" i="1"/>
  <c r="H21" i="1"/>
  <c r="H20" i="1"/>
  <c r="H22" i="1"/>
  <c r="H23" i="1"/>
  <c r="H25" i="1"/>
  <c r="H26" i="1"/>
  <c r="H27" i="1"/>
  <c r="H24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A35" i="3"/>
  <c r="P3" i="6" s="1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N12" i="6" s="1"/>
  <c r="G35" i="3"/>
  <c r="F35" i="3"/>
  <c r="E35" i="3"/>
  <c r="D35" i="3"/>
  <c r="C35" i="3"/>
  <c r="B35" i="3"/>
  <c r="F34" i="1" l="1"/>
  <c r="F33" i="1"/>
  <c r="F32" i="1"/>
  <c r="F17" i="1"/>
  <c r="F20" i="1"/>
  <c r="E18" i="1"/>
  <c r="E13" i="1"/>
  <c r="E28" i="1"/>
  <c r="E2" i="1"/>
  <c r="F19" i="1"/>
  <c r="F16" i="1"/>
  <c r="F15" i="1"/>
  <c r="F14" i="1"/>
  <c r="F12" i="1"/>
  <c r="F31" i="1"/>
  <c r="F11" i="1"/>
  <c r="F30" i="1"/>
  <c r="F10" i="1"/>
  <c r="F29" i="1"/>
  <c r="F9" i="1"/>
  <c r="F21" i="1"/>
  <c r="F8" i="1"/>
  <c r="F24" i="1"/>
  <c r="F7" i="1"/>
  <c r="F27" i="1"/>
  <c r="F6" i="1"/>
  <c r="F26" i="1"/>
  <c r="F5" i="1"/>
  <c r="F25" i="1"/>
  <c r="F4" i="1"/>
  <c r="F23" i="1"/>
  <c r="F3" i="1"/>
  <c r="F22" i="1"/>
  <c r="F2" i="1"/>
  <c r="N11" i="6" a="1"/>
  <c r="N11" i="6" s="1"/>
  <c r="N7" i="6" a="1"/>
  <c r="N7" i="6" s="1"/>
  <c r="N4" i="6" a="1"/>
  <c r="N4" i="6" s="1"/>
  <c r="N9" i="6" a="1"/>
  <c r="N9" i="6" s="1"/>
  <c r="N10" i="6" a="1"/>
  <c r="N10" i="6" s="1"/>
  <c r="N6" i="6" a="1"/>
  <c r="N6" i="6" s="1"/>
  <c r="N8" i="6" a="1"/>
  <c r="N8" i="6" s="1"/>
  <c r="N5" i="6" a="1"/>
  <c r="N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CACC5-F682-4E61-85AE-4486F8480F4C}" keepAlive="1" name="ModelConnection_ExternalData_1" description="Data Model" type="5" refreshedVersion="8" minRefreshableVersion="5" saveData="1">
    <dbPr connection="Data Model Connection" command="DRILLTHROUGH MAXROWS 1000 SELECT FROM [Model] WHERE (([Measures].[Count of key],[tRetro].[key].&amp;[13])) RETURN [$tRetro].[Winnings],[$tRetro].[Winners],[$tRetro].[HS_Pos],[$tRetro].[HS_MVP],[$tRetro].[MVP_Rank],[$tRetro].[ID],[$tRetro].[GroupID],[$tRetro].[key],[$tRetro].[mvp_salary_rank],[$tRetro].[l_salary_rank],[$tRetro].[MVP_pos],[$tRetro].[p2_pos],[$tRetro].[p3_pos],[$tRetro].[p4_pos],[$tRetro].[p5_pos],[$tRetro].[p6_pos],[$tRetro].[select],[$tRetro].[team_cnt],[$tRetro].[total_salary],[$tRetro].[total_fppg],[$tRetro].[total_ppts],[$tRetro].[total_pts],[$tRetro].[MVP_name],[$tRetro].[p2_name],[$tRetro].[p3_name],[$tRetro].[p4_name],[$tRetro].[p5_name],[$tRetro].[p6_nam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D16B3E7E-08A8-4B99-9DE6-C18493E0A9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4F9CF86-5F96-4E18-82C3-43B1882A65E9}" name="WorksheetConnection_retro_2025.xlsx!tretro1" type="102" refreshedVersion="8" minRefreshableVersion="5">
    <extLst>
      <ext xmlns:x15="http://schemas.microsoft.com/office/spreadsheetml/2010/11/main" uri="{DE250136-89BD-433C-8126-D09CA5730AF9}">
        <x15:connection id="tretro 1" autoDelete="1">
          <x15:rangePr sourceName="_xlcn.WorksheetConnection_retro_2025.xlsxtretro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<sst xmlns="http://schemas.openxmlformats.org/spreadsheetml/2006/main" count="912" uniqueCount="532">
  <si>
    <t>p2_pos</t>
  </si>
  <si>
    <t>p3_pos</t>
  </si>
  <si>
    <t>p4_pos</t>
  </si>
  <si>
    <t>p5_pos</t>
  </si>
  <si>
    <t>p2_name</t>
  </si>
  <si>
    <t>p3_name</t>
  </si>
  <si>
    <t>p4_name</t>
  </si>
  <si>
    <t>p5_name</t>
  </si>
  <si>
    <t>total_salary</t>
  </si>
  <si>
    <t>total_fppg</t>
  </si>
  <si>
    <t>TE:BAL</t>
  </si>
  <si>
    <t>RB:KC</t>
  </si>
  <si>
    <t>QB:BAL</t>
  </si>
  <si>
    <t>WR1:KC</t>
  </si>
  <si>
    <t>WR2:KC</t>
  </si>
  <si>
    <t>RB:PHI</t>
  </si>
  <si>
    <t>K:GB</t>
  </si>
  <si>
    <t>WR2:DET</t>
  </si>
  <si>
    <t>RB1:DET</t>
  </si>
  <si>
    <t>WR1:LAR</t>
  </si>
  <si>
    <t>RB2:DET</t>
  </si>
  <si>
    <t>QB:LAR</t>
  </si>
  <si>
    <t>K:SF</t>
  </si>
  <si>
    <t>WR1:SF</t>
  </si>
  <si>
    <t>RB:BUF</t>
  </si>
  <si>
    <t>QB:BUF</t>
  </si>
  <si>
    <t>total_ppts</t>
  </si>
  <si>
    <t>MVP</t>
  </si>
  <si>
    <t>QB</t>
  </si>
  <si>
    <t>RB</t>
  </si>
  <si>
    <t>TE</t>
  </si>
  <si>
    <t>WR1</t>
  </si>
  <si>
    <t>WR2</t>
  </si>
  <si>
    <t>WR3</t>
  </si>
  <si>
    <t>D</t>
  </si>
  <si>
    <t>K</t>
  </si>
  <si>
    <t>QB:TB</t>
  </si>
  <si>
    <t>WR1:DET</t>
  </si>
  <si>
    <t>QB:HOU</t>
  </si>
  <si>
    <t>K:CHI</t>
  </si>
  <si>
    <t>D:HOU</t>
  </si>
  <si>
    <t>WR1:ATL</t>
  </si>
  <si>
    <t>K:ATL</t>
  </si>
  <si>
    <t>QB:PHI</t>
  </si>
  <si>
    <t>QB:ATL</t>
  </si>
  <si>
    <t>QB:KC</t>
  </si>
  <si>
    <t>K:KC</t>
  </si>
  <si>
    <t>WR1:CIN</t>
  </si>
  <si>
    <t>QB:CIN</t>
  </si>
  <si>
    <t>QB:WAS</t>
  </si>
  <si>
    <t>RB:DAL</t>
  </si>
  <si>
    <t>WR1:DAL</t>
  </si>
  <si>
    <t>RB:BAL</t>
  </si>
  <si>
    <t>D:BAL</t>
  </si>
  <si>
    <t>RB:SEA</t>
  </si>
  <si>
    <t>QB:DET</t>
  </si>
  <si>
    <t>QB:SEA</t>
  </si>
  <si>
    <t>QB:DAL</t>
  </si>
  <si>
    <t>QB:PIT</t>
  </si>
  <si>
    <t>WR3:KC</t>
  </si>
  <si>
    <t>QB:SF</t>
  </si>
  <si>
    <t>RB:NYG</t>
  </si>
  <si>
    <t>RB:DEN</t>
  </si>
  <si>
    <t>QB:DEN</t>
  </si>
  <si>
    <t>WR3:PIT</t>
  </si>
  <si>
    <t>WR2:BAL</t>
  </si>
  <si>
    <t>RB:SF</t>
  </si>
  <si>
    <t>MVP_pos</t>
  </si>
  <si>
    <t>select</t>
  </si>
  <si>
    <t>team_cnt</t>
  </si>
  <si>
    <t>TE:SEA</t>
  </si>
  <si>
    <t>RB:LAR</t>
  </si>
  <si>
    <t>WR1:MIN</t>
  </si>
  <si>
    <t>RB2:NYG</t>
  </si>
  <si>
    <t>QB:MIN</t>
  </si>
  <si>
    <t>WR2:MIN</t>
  </si>
  <si>
    <t>TE:DET</t>
  </si>
  <si>
    <t>TE:WAS</t>
  </si>
  <si>
    <t>QB:LAC</t>
  </si>
  <si>
    <t>TE:LAC</t>
  </si>
  <si>
    <t>Games</t>
  </si>
  <si>
    <t>WR4</t>
  </si>
  <si>
    <t>TE1:BAL</t>
  </si>
  <si>
    <t>K:LAC</t>
  </si>
  <si>
    <t>RB:GB</t>
  </si>
  <si>
    <t>QB:GB</t>
  </si>
  <si>
    <t>WR1:LV</t>
  </si>
  <si>
    <t>ID</t>
  </si>
  <si>
    <t>WR2:LAC</t>
  </si>
  <si>
    <t>RB1:LAR</t>
  </si>
  <si>
    <t>D:LAR</t>
  </si>
  <si>
    <t>D:ATL</t>
  </si>
  <si>
    <t>RB:ATL</t>
  </si>
  <si>
    <t>RB:MIN</t>
  </si>
  <si>
    <t>WR2:CHI</t>
  </si>
  <si>
    <t>K:MIN</t>
  </si>
  <si>
    <t>WR1:BAL</t>
  </si>
  <si>
    <t>RB1:TB</t>
  </si>
  <si>
    <t>K:DAL</t>
  </si>
  <si>
    <t>D:CHI</t>
  </si>
  <si>
    <t>WR2:WAS</t>
  </si>
  <si>
    <t>K:CIN</t>
  </si>
  <si>
    <t>TE:KC</t>
  </si>
  <si>
    <t>D:KC</t>
  </si>
  <si>
    <t>WR1:BUF</t>
  </si>
  <si>
    <t>TE:BUF</t>
  </si>
  <si>
    <t>WR3:BUF</t>
  </si>
  <si>
    <t>WR:BUF</t>
  </si>
  <si>
    <t>120169-157467:Keon Coleman</t>
  </si>
  <si>
    <t>120169-63115:Lamar Jackson</t>
  </si>
  <si>
    <t>120169-39280:Derrick Henry</t>
  </si>
  <si>
    <t>120169-112295:Zay Flowers</t>
  </si>
  <si>
    <t>120169-62239:Josh Allen</t>
  </si>
  <si>
    <t>120169-200291:Jackson Hawes</t>
  </si>
  <si>
    <t>p6_pos</t>
  </si>
  <si>
    <t>MVP_name</t>
  </si>
  <si>
    <t>p6_name</t>
  </si>
  <si>
    <t>GroupID</t>
  </si>
  <si>
    <t>WR3:PHI</t>
  </si>
  <si>
    <t>119244-93541:Javonte Williams</t>
  </si>
  <si>
    <t>119244-69531:Jalen Hurts</t>
  </si>
  <si>
    <t>119244-86631:CeeDee Lamb</t>
  </si>
  <si>
    <t>119244-64401:Saquon Barkley</t>
  </si>
  <si>
    <t>119244-189471:Brandon Aubrey</t>
  </si>
  <si>
    <t>119244-86229:Jahan Dotson</t>
  </si>
  <si>
    <t>WR3:LAC</t>
  </si>
  <si>
    <t>120114-69189:Justin Herbert</t>
  </si>
  <si>
    <t>120114-57439:Patrick Mahomes</t>
  </si>
  <si>
    <t>120114-29253:Keenan Allen</t>
  </si>
  <si>
    <t>120114-41642:Harrison Butker</t>
  </si>
  <si>
    <t>120114-120639:Quentin Johnston</t>
  </si>
  <si>
    <t>120114-86687:Hollywood Brown</t>
  </si>
  <si>
    <t>QB:CHI</t>
  </si>
  <si>
    <t>WR:CHI</t>
  </si>
  <si>
    <t>120172-152113:Caleb Williams</t>
  </si>
  <si>
    <t>120172-152575:J.J. McCarthy</t>
  </si>
  <si>
    <t>120172-40442:Aaron Jones Sr.</t>
  </si>
  <si>
    <t>120172-120033:Rome Odunze</t>
  </si>
  <si>
    <t>120172-12527:Chicago Bears</t>
  </si>
  <si>
    <t>120172-64496:Olamide Zaccheaus</t>
  </si>
  <si>
    <t>TE:GB</t>
  </si>
  <si>
    <t>120272-160303:Tucker Kraft</t>
  </si>
  <si>
    <t>120272-29780:Zach Ertz</t>
  </si>
  <si>
    <t>120272-72731:Josh Jacobs</t>
  </si>
  <si>
    <t>120272-69017:Jordan Love</t>
  </si>
  <si>
    <t>120272-26247:Brandon McManus</t>
  </si>
  <si>
    <t>120272-102785:Jayden Daniels</t>
  </si>
  <si>
    <t>120469-136855:Bijan Robinson</t>
  </si>
  <si>
    <t>120469-85671:Justin Jefferson</t>
  </si>
  <si>
    <t>120469-102703:Will Reichard</t>
  </si>
  <si>
    <t>120469-88035:John Parker Romo</t>
  </si>
  <si>
    <t>120469-12525:Atlanta Falcons</t>
  </si>
  <si>
    <t>120469-90428:Tyler Allgeier</t>
  </si>
  <si>
    <t>120474-41535:Baker Mayfield</t>
  </si>
  <si>
    <t>120474-152664:Bucky Irving</t>
  </si>
  <si>
    <t>120474-129471:C.J. Stroud</t>
  </si>
  <si>
    <t>120474-53562:Nick Chubb</t>
  </si>
  <si>
    <t>120474-137902:Rachaad White</t>
  </si>
  <si>
    <t>K:LV</t>
  </si>
  <si>
    <t>D:LAC</t>
  </si>
  <si>
    <t>120475-69189:Justin Herbert</t>
  </si>
  <si>
    <t>120475-63634:Jakobi Meyers</t>
  </si>
  <si>
    <t>120475-29253:Keenan Allen</t>
  </si>
  <si>
    <t>120475-120639:Quentin Johnston</t>
  </si>
  <si>
    <t>120475-40856:Daniel Carlson</t>
  </si>
  <si>
    <t>120475-12548:Los Angeles Chargers</t>
  </si>
  <si>
    <t>WR2:MIA</t>
  </si>
  <si>
    <t>RB:MIA</t>
  </si>
  <si>
    <t>120537-91626:James Cook</t>
  </si>
  <si>
    <t>120537-62239:Josh Allen</t>
  </si>
  <si>
    <t>120537-86518:Khalil Shakir</t>
  </si>
  <si>
    <t>120537-90573:Jaylen Waddle</t>
  </si>
  <si>
    <t>120537-145558:Dalton Kincaid</t>
  </si>
  <si>
    <t>120537-166112:Ollie Gordon II</t>
  </si>
  <si>
    <t>RB2:KC</t>
  </si>
  <si>
    <t>120720-183240:Cam Skattebo</t>
  </si>
  <si>
    <t>120720-89220:Tyquan Thornton</t>
  </si>
  <si>
    <t>120720-57439:Patrick Mahomes</t>
  </si>
  <si>
    <t>120720-41642:Harrison Butker</t>
  </si>
  <si>
    <t>120720-12536:Kansas City Chiefs</t>
  </si>
  <si>
    <t>120720-45229:Kareem Hunt</t>
  </si>
  <si>
    <t>120784-73273:David Montgomery</t>
  </si>
  <si>
    <t>120784-63115:Lamar Jackson</t>
  </si>
  <si>
    <t>120784-129368:Jahmyr Gibbs</t>
  </si>
  <si>
    <t>120784-52436:Mark Andrews</t>
  </si>
  <si>
    <t>120784-86997:Amon-Ra St. Brown</t>
  </si>
  <si>
    <t>120784-85845:Rashod Bateman</t>
  </si>
  <si>
    <t>QB:ARI</t>
  </si>
  <si>
    <t>WR1:ARI</t>
  </si>
  <si>
    <t>K:SEA</t>
  </si>
  <si>
    <t>120794-63484:Kyler Murray</t>
  </si>
  <si>
    <t>120794-63589:Sam Darnold</t>
  </si>
  <si>
    <t>120794-152651:Marvin Harrison Jr.</t>
  </si>
  <si>
    <t>120794-60745:Jason Myers</t>
  </si>
  <si>
    <t>120794-103376:Zach Charbonnet</t>
  </si>
  <si>
    <t>120794-137953:AJ Barner</t>
  </si>
  <si>
    <t>WR1:GB</t>
  </si>
  <si>
    <t>120969-31716:Dak Prescott</t>
  </si>
  <si>
    <t>120969-72731:Josh Jacobs</t>
  </si>
  <si>
    <t>120969-110246:George Pickens</t>
  </si>
  <si>
    <t>120969-94370:Romeo Doubs</t>
  </si>
  <si>
    <t>120969-26247:Brandon McManus</t>
  </si>
  <si>
    <t>120969-185861:Emanuel Wilson</t>
  </si>
  <si>
    <t>WR1:DEN</t>
  </si>
  <si>
    <t>WR3Q:DEN</t>
  </si>
  <si>
    <t>120973-102965:Bo Nix</t>
  </si>
  <si>
    <t>120973-60840:Jake Browning</t>
  </si>
  <si>
    <t>120973-57403:Courtland Sutton</t>
  </si>
  <si>
    <t>120973-87787:J.K. Dobbins</t>
  </si>
  <si>
    <t>120973-110484:RJ Harvey</t>
  </si>
  <si>
    <t>120973-120093:Marvin Mims Jr.</t>
  </si>
  <si>
    <t>121030-6654:Matthew Stafford</t>
  </si>
  <si>
    <t>121030-103020:Puka Nacua</t>
  </si>
  <si>
    <t>121030-80289:Kendrick Bourne</t>
  </si>
  <si>
    <t>Winnings</t>
  </si>
  <si>
    <t>Winners</t>
  </si>
  <si>
    <t>WR1:NE</t>
  </si>
  <si>
    <t>RB2:NE</t>
  </si>
  <si>
    <t>K:NE</t>
  </si>
  <si>
    <t>121217-25079:Stefon Diggs</t>
  </si>
  <si>
    <t>121217-62239:Josh Allen</t>
  </si>
  <si>
    <t>121217-145558:Dalton Kincaid</t>
  </si>
  <si>
    <t>121217-111540:Rhamondre Stevenson</t>
  </si>
  <si>
    <t>121217-152260:Andy Borregales</t>
  </si>
  <si>
    <t>121217-52613:Curtis Samuel</t>
  </si>
  <si>
    <t>QB:JAC</t>
  </si>
  <si>
    <t>WR:JAC</t>
  </si>
  <si>
    <t>121293-57439:Patrick Mahomes</t>
  </si>
  <si>
    <t>121293-89951:Trevor Lawrence</t>
  </si>
  <si>
    <t>121293-45229:Kareem Hunt</t>
  </si>
  <si>
    <t>121293-33076:Travis Kelce</t>
  </si>
  <si>
    <t>121293-89220:Tyquan Thornton</t>
  </si>
  <si>
    <t>121293-137516:Parker Washington</t>
  </si>
  <si>
    <t xml:space="preserve">RB:NYG </t>
  </si>
  <si>
    <t xml:space="preserve">TE:PHI </t>
  </si>
  <si>
    <t>QB:NYG Q</t>
  </si>
  <si>
    <t xml:space="preserve">QB:PHI </t>
  </si>
  <si>
    <t xml:space="preserve">WR1:NYG </t>
  </si>
  <si>
    <t xml:space="preserve">WR:NYG </t>
  </si>
  <si>
    <t>121303-183240:Cam Skattebo</t>
  </si>
  <si>
    <t>121303-83074:Dallas Goedert</t>
  </si>
  <si>
    <t>121303-151966:Jaxson Dart</t>
  </si>
  <si>
    <t>121303-69531:Jalen Hurts</t>
  </si>
  <si>
    <t>121303-103539:Wan'Dale Robinson</t>
  </si>
  <si>
    <t xml:space="preserve">RB:ATL </t>
  </si>
  <si>
    <t xml:space="preserve">QB:BUF </t>
  </si>
  <si>
    <t xml:space="preserve">QB:ATL </t>
  </si>
  <si>
    <t xml:space="preserve">WR1:ATL </t>
  </si>
  <si>
    <t xml:space="preserve">RB:BUF </t>
  </si>
  <si>
    <t xml:space="preserve">TE2:BUF </t>
  </si>
  <si>
    <t>121479-136855:Bijan Robinson</t>
  </si>
  <si>
    <t>121479-62239:Josh Allen</t>
  </si>
  <si>
    <t>121479-88797:Michael Penix Jr.</t>
  </si>
  <si>
    <t>121479-112745:Drake London</t>
  </si>
  <si>
    <t>121479-103694:Ray Davis</t>
  </si>
  <si>
    <t>121479-64585:Dawson Knox</t>
  </si>
  <si>
    <t xml:space="preserve">QB:KC </t>
  </si>
  <si>
    <t xml:space="preserve">QB:DET </t>
  </si>
  <si>
    <t xml:space="preserve">TE:KC </t>
  </si>
  <si>
    <t xml:space="preserve">WR2:DET </t>
  </si>
  <si>
    <t xml:space="preserve">TE:DET </t>
  </si>
  <si>
    <t xml:space="preserve">WR2:KC </t>
  </si>
  <si>
    <t>121465-57439:Patrick Mahomes</t>
  </si>
  <si>
    <t>121465-38435:Jared Goff</t>
  </si>
  <si>
    <t>121465-33076:Travis Kelce</t>
  </si>
  <si>
    <t>121465-111631:Jameson Williams</t>
  </si>
  <si>
    <t>121465-105646:Sam LaPorta</t>
  </si>
  <si>
    <t>121465-86687:Hollywood Brown</t>
  </si>
  <si>
    <t xml:space="preserve">RB:CHI </t>
  </si>
  <si>
    <t xml:space="preserve">QB:CHI </t>
  </si>
  <si>
    <t xml:space="preserve">QB:WAS </t>
  </si>
  <si>
    <t xml:space="preserve">K:CHI </t>
  </si>
  <si>
    <t xml:space="preserve">TE:WAS </t>
  </si>
  <si>
    <t xml:space="preserve">WR:WAS </t>
  </si>
  <si>
    <t>121480-91598:D'Andre Swift</t>
  </si>
  <si>
    <t>121480-152113:Caleb Williams</t>
  </si>
  <si>
    <t>121480-102785:Jayden Daniels</t>
  </si>
  <si>
    <t>121480-91372:Jake Moody</t>
  </si>
  <si>
    <t>121480-29780:Zach Ertz</t>
  </si>
  <si>
    <t>121480-33047:Chris Moore</t>
  </si>
  <si>
    <t xml:space="preserve">K:CIN </t>
  </si>
  <si>
    <t xml:space="preserve">QB:PIT </t>
  </si>
  <si>
    <t xml:space="preserve">QB:CIN </t>
  </si>
  <si>
    <t xml:space="preserve">RB1:PIT </t>
  </si>
  <si>
    <t xml:space="preserve">WR1:CIN </t>
  </si>
  <si>
    <t>121556-86244:Pat Freiermuth</t>
  </si>
  <si>
    <t>121556-86092:Evan McPherson</t>
  </si>
  <si>
    <t>121556-6894:Aaron Rodgers</t>
  </si>
  <si>
    <t>121556-6714:Joe Flacco</t>
  </si>
  <si>
    <t>121556-112057:Jaylen Warren</t>
  </si>
  <si>
    <t>121556-85701:Ja'Marr Chase</t>
  </si>
  <si>
    <t xml:space="preserve">TE0:PIT </t>
  </si>
  <si>
    <t xml:space="preserve">RB:SF </t>
  </si>
  <si>
    <t xml:space="preserve">RB1:ATL </t>
  </si>
  <si>
    <t>WR2:ATL Q</t>
  </si>
  <si>
    <t xml:space="preserve">K:SF </t>
  </si>
  <si>
    <t xml:space="preserve">D:SF </t>
  </si>
  <si>
    <t xml:space="preserve">TE:ATL </t>
  </si>
  <si>
    <t>121692-55050:Christian McCaffrey</t>
  </si>
  <si>
    <t>121692-136855:Bijan Robinson</t>
  </si>
  <si>
    <t>121692-69777:Darnell Mooney</t>
  </si>
  <si>
    <t>121692-69307:Eddy Pineiro</t>
  </si>
  <si>
    <t>121692-12549:San Francisco 49ers</t>
  </si>
  <si>
    <t>121692-86080:Kyle Pitts Sr.</t>
  </si>
  <si>
    <t xml:space="preserve">RB1:DET </t>
  </si>
  <si>
    <t xml:space="preserve">WR1:DET </t>
  </si>
  <si>
    <t xml:space="preserve">TE:TB </t>
  </si>
  <si>
    <t xml:space="preserve">D:DET </t>
  </si>
  <si>
    <t xml:space="preserve">K:DET </t>
  </si>
  <si>
    <t xml:space="preserve">WR5:TB </t>
  </si>
  <si>
    <t>121718-129368:Jahmyr Gibbs</t>
  </si>
  <si>
    <t>121718-86997:Amon-Ra St. Brown</t>
  </si>
  <si>
    <t>121718-86811:Cade Otton</t>
  </si>
  <si>
    <t>121718-12532:Detroit Lions</t>
  </si>
  <si>
    <t>121718-140176:Jake Bates</t>
  </si>
  <si>
    <t>121718-128624:Tez Johnson</t>
  </si>
  <si>
    <t xml:space="preserve">WR1:SEA </t>
  </si>
  <si>
    <t xml:space="preserve">QB:HOU </t>
  </si>
  <si>
    <t xml:space="preserve">RB2:SEA </t>
  </si>
  <si>
    <t xml:space="preserve">K:SEA </t>
  </si>
  <si>
    <t xml:space="preserve">D:HOU </t>
  </si>
  <si>
    <t xml:space="preserve">TE:HOU </t>
  </si>
  <si>
    <t>121719-129458:Jaxon Smith-Njigba</t>
  </si>
  <si>
    <t>121719-129471:C.J. Stroud</t>
  </si>
  <si>
    <t>121719-103376:Zach Charbonnet</t>
  </si>
  <si>
    <t>121719-60745:Jason Myers</t>
  </si>
  <si>
    <t>121719-12556:Houston Texans</t>
  </si>
  <si>
    <t>121719-55042:Dalton Schultz</t>
  </si>
  <si>
    <t xml:space="preserve">WR1:LAR </t>
  </si>
  <si>
    <t xml:space="preserve">QB:LAR </t>
  </si>
  <si>
    <t xml:space="preserve">QB:JAC </t>
  </si>
  <si>
    <t xml:space="preserve">WR2:JAC </t>
  </si>
  <si>
    <t xml:space="preserve">D:LAR </t>
  </si>
  <si>
    <t xml:space="preserve">WR:JAC </t>
  </si>
  <si>
    <t>121707-45889:Davante Adams</t>
  </si>
  <si>
    <t>121707-6654:Matthew Stafford</t>
  </si>
  <si>
    <t>121707-89951:Trevor Lawrence</t>
  </si>
  <si>
    <t>121707-184184:Travis Hunter</t>
  </si>
  <si>
    <t>121707-12538:Los Angeles Rams</t>
  </si>
  <si>
    <t>121707-137516:Parker Washington</t>
  </si>
  <si>
    <t>Key</t>
  </si>
  <si>
    <t xml:space="preserve">QB:LAC </t>
  </si>
  <si>
    <t xml:space="preserve">RB:LAC </t>
  </si>
  <si>
    <t xml:space="preserve">WR3:LAC </t>
  </si>
  <si>
    <t xml:space="preserve">TE:LAC </t>
  </si>
  <si>
    <t xml:space="preserve">K:LAC </t>
  </si>
  <si>
    <t xml:space="preserve">WR2:MIN </t>
  </si>
  <si>
    <t>121822-69189:Justin Herbert</t>
  </si>
  <si>
    <t>121822-128633:Kimani Vidal</t>
  </si>
  <si>
    <t>121822-133472:Ladd McConkey</t>
  </si>
  <si>
    <t>121822-158438:Oronde Gadsden II</t>
  </si>
  <si>
    <t>121822-92496:Cameron Dicker</t>
  </si>
  <si>
    <t>121822-129210:Jordan Addison</t>
  </si>
  <si>
    <t>Position</t>
  </si>
  <si>
    <t>RB1:ATL</t>
  </si>
  <si>
    <t>WR1:SEA</t>
  </si>
  <si>
    <t>WR:MIN</t>
  </si>
  <si>
    <t>WR:NYG</t>
  </si>
  <si>
    <t xml:space="preserve">WR1:KC </t>
  </si>
  <si>
    <t xml:space="preserve">RB2:KC </t>
  </si>
  <si>
    <t xml:space="preserve">WR2:WAS </t>
  </si>
  <si>
    <t xml:space="preserve">RB:WAS </t>
  </si>
  <si>
    <t>121993-57439:Patrick Mahomes</t>
  </si>
  <si>
    <t>121993-111311:Rashee Rice</t>
  </si>
  <si>
    <t>121993-33076:Travis Kelce</t>
  </si>
  <si>
    <t>121993-45229:Kareem Hunt</t>
  </si>
  <si>
    <t>121993-56250:Terry McLaurin</t>
  </si>
  <si>
    <t>121993-56648:Jeremy McNichols</t>
  </si>
  <si>
    <t xml:space="preserve">TE:GB </t>
  </si>
  <si>
    <t xml:space="preserve">QB:GB </t>
  </si>
  <si>
    <t xml:space="preserve">K:PIT </t>
  </si>
  <si>
    <t xml:space="preserve">WR3:PIT </t>
  </si>
  <si>
    <t>121989-160303:Tucker Kraft</t>
  </si>
  <si>
    <t>121989-69017:Jordan Love</t>
  </si>
  <si>
    <t>121989-32058:Chris Boswell</t>
  </si>
  <si>
    <t>121989-6894:Aaron Rodgers</t>
  </si>
  <si>
    <t>121989-138037:Roman Wilson</t>
  </si>
  <si>
    <t xml:space="preserve">RB:GB </t>
  </si>
  <si>
    <t>121989-185861:Emanuel Wilson</t>
  </si>
  <si>
    <t xml:space="preserve">RB1:TB </t>
  </si>
  <si>
    <t xml:space="preserve">QB1:HOU </t>
  </si>
  <si>
    <t xml:space="preserve">RB1:HOU </t>
  </si>
  <si>
    <t xml:space="preserve">RB2:TB </t>
  </si>
  <si>
    <t xml:space="preserve">QB2:HOU </t>
  </si>
  <si>
    <t>120474-103591:Graham Mertz</t>
  </si>
  <si>
    <t>RB1:BUF</t>
  </si>
  <si>
    <t>TE1:BUF</t>
  </si>
  <si>
    <t>RB2:MIA</t>
  </si>
  <si>
    <t>RB1:DEN</t>
  </si>
  <si>
    <t>RB2:DEN</t>
  </si>
  <si>
    <t>WR3:DEN Q</t>
  </si>
  <si>
    <t>RB1:GB</t>
  </si>
  <si>
    <t>RB3:GB</t>
  </si>
  <si>
    <t>RB2:SEA</t>
  </si>
  <si>
    <t>TE1:SEA</t>
  </si>
  <si>
    <t>WR2:JAC</t>
  </si>
  <si>
    <t>WR4:BUF</t>
  </si>
  <si>
    <t>QB:SF Q</t>
  </si>
  <si>
    <t>121030-85607:Brock Purdy</t>
  </si>
  <si>
    <t>121030-137967:Blake Corum</t>
  </si>
  <si>
    <t>121030-90562:Brian Robinson Jr.</t>
  </si>
  <si>
    <t>WR2:SF</t>
  </si>
  <si>
    <t>RB1:SF</t>
  </si>
  <si>
    <t>RB2:BUF</t>
  </si>
  <si>
    <t>TE2:BUF</t>
  </si>
  <si>
    <t>RB1:CHI</t>
  </si>
  <si>
    <t>WR4:WAS</t>
  </si>
  <si>
    <t>WR1:NYG</t>
  </si>
  <si>
    <t>121303-114054:Dalen Cambre</t>
  </si>
  <si>
    <t>D:SF</t>
  </si>
  <si>
    <t>TE:ATL</t>
  </si>
  <si>
    <t>TE:HOU</t>
  </si>
  <si>
    <t>TE2:PIT</t>
  </si>
  <si>
    <t>RB1:PIT</t>
  </si>
  <si>
    <t>TE1:TB</t>
  </si>
  <si>
    <t>D:DET</t>
  </si>
  <si>
    <t>K:DET</t>
  </si>
  <si>
    <t>WR5:TB</t>
  </si>
  <si>
    <t>TE1:GB</t>
  </si>
  <si>
    <t>K:PIT</t>
  </si>
  <si>
    <t>RB2:GB</t>
  </si>
  <si>
    <t>RB1:LAC</t>
  </si>
  <si>
    <t>TE1:KC</t>
  </si>
  <si>
    <t>RB3:KC</t>
  </si>
  <si>
    <t>RB3:WAS</t>
  </si>
  <si>
    <t>RB1:MIN</t>
  </si>
  <si>
    <t>WR4:CHI</t>
  </si>
  <si>
    <t>RB2:ATL</t>
  </si>
  <si>
    <t>QB1:HOU</t>
  </si>
  <si>
    <t>RB1:HOU</t>
  </si>
  <si>
    <t>RB2:TB</t>
  </si>
  <si>
    <t>QB2:HOU</t>
  </si>
  <si>
    <t>TE:PHI</t>
  </si>
  <si>
    <t>Grand Total</t>
  </si>
  <si>
    <t>tRetro[Winnings]</t>
  </si>
  <si>
    <t>tRetro[Winners]</t>
  </si>
  <si>
    <t>tRetro[HS_Pos]</t>
  </si>
  <si>
    <t>tRetro[HS_MVP]</t>
  </si>
  <si>
    <t>tRetro[MVP_Rank]</t>
  </si>
  <si>
    <t>tRetro[ID]</t>
  </si>
  <si>
    <t>tRetro[GroupID]</t>
  </si>
  <si>
    <t>tRetro[key]</t>
  </si>
  <si>
    <t>tRetro[mvp_salary_rank]</t>
  </si>
  <si>
    <t>tRetro[l_salary_rank]</t>
  </si>
  <si>
    <t>tRetro[MVP_pos]</t>
  </si>
  <si>
    <t>tRetro[p2_pos]</t>
  </si>
  <si>
    <t>tRetro[p3_pos]</t>
  </si>
  <si>
    <t>tRetro[p4_pos]</t>
  </si>
  <si>
    <t>tRetro[p5_pos]</t>
  </si>
  <si>
    <t>tRetro[p6_pos]</t>
  </si>
  <si>
    <t>tRetro[select]</t>
  </si>
  <si>
    <t>tRetro[team_cnt]</t>
  </si>
  <si>
    <t>tRetro[total_salary]</t>
  </si>
  <si>
    <t>tRetro[total_fppg]</t>
  </si>
  <si>
    <t>tRetro[total_ppts]</t>
  </si>
  <si>
    <t>tRetro[total_pts]</t>
  </si>
  <si>
    <t>tRetro[MVP_name]</t>
  </si>
  <si>
    <t>tRetro[p2_name]</t>
  </si>
  <si>
    <t>tRetro[p3_name]</t>
  </si>
  <si>
    <t>tRetro[p4_name]</t>
  </si>
  <si>
    <t>tRetro[p5_name]</t>
  </si>
  <si>
    <t>tRetro[p6_name]</t>
  </si>
  <si>
    <t>Data returned for Count, 13 (First 1000 rows).</t>
  </si>
  <si>
    <t>D2</t>
  </si>
  <si>
    <t>K2</t>
  </si>
  <si>
    <t>QB2</t>
  </si>
  <si>
    <t>QB1</t>
  </si>
  <si>
    <t>RB1</t>
  </si>
  <si>
    <t>RB2</t>
  </si>
  <si>
    <t>TE2</t>
  </si>
  <si>
    <t>WR12</t>
  </si>
  <si>
    <t>WR22</t>
  </si>
  <si>
    <t>WR32</t>
  </si>
  <si>
    <t>RB1:BAL</t>
  </si>
  <si>
    <t>122149-63115:Lamar Jackson</t>
  </si>
  <si>
    <t>122149-39280:Derrick Henry</t>
  </si>
  <si>
    <t>122149-90573:Jaylen Waddle</t>
  </si>
  <si>
    <t>122149-52436:Mark Andrews</t>
  </si>
  <si>
    <t>122149-12555:Baltimore Ravens</t>
  </si>
  <si>
    <t>122149-85635:Charlie Kolar</t>
  </si>
  <si>
    <t>TE3:BAL</t>
  </si>
  <si>
    <t>Team Count</t>
  </si>
  <si>
    <t>Count</t>
  </si>
  <si>
    <t>Count 1</t>
  </si>
  <si>
    <t>Count 2</t>
  </si>
  <si>
    <t>Count 3</t>
  </si>
  <si>
    <t>TE1</t>
  </si>
  <si>
    <t>MVP Position</t>
  </si>
  <si>
    <t>Pos + Team</t>
  </si>
  <si>
    <t>HS Wins</t>
  </si>
  <si>
    <t>HS MVP</t>
  </si>
  <si>
    <t>HS Position</t>
  </si>
  <si>
    <t>MVP Pts Rank</t>
  </si>
  <si>
    <t>MVP Key</t>
  </si>
  <si>
    <t>LS Key</t>
  </si>
  <si>
    <t>TE3:BUF</t>
  </si>
  <si>
    <t>WR2:SEA</t>
  </si>
  <si>
    <t>WR4:SEA</t>
  </si>
  <si>
    <t>122368-63589:Sam Darnold</t>
  </si>
  <si>
    <t>122368-129458:Jaxon Smith-Njigba</t>
  </si>
  <si>
    <t>122368-134837:Tory Horton</t>
  </si>
  <si>
    <t>122368-102785:Jayden Daniels</t>
  </si>
  <si>
    <t>122368-87127:Chris Rodriguez Jr.</t>
  </si>
  <si>
    <t>122368-92890:Cody White</t>
  </si>
  <si>
    <t>Points Rank</t>
  </si>
  <si>
    <t>WR:ARI</t>
  </si>
  <si>
    <t>D:ARI</t>
  </si>
  <si>
    <t>TE:ARI</t>
  </si>
  <si>
    <t>D:DAL</t>
  </si>
  <si>
    <t>122371-30231:Jacoby Brissett</t>
  </si>
  <si>
    <t>122371-31716:Dak Prescott</t>
  </si>
  <si>
    <t>122371-12546:Arizona Cardinals</t>
  </si>
  <si>
    <t>122371-91750:Trey McBride</t>
  </si>
  <si>
    <t>122371-12530:Dallas Cowboys</t>
  </si>
  <si>
    <t>122371-152651:Marvin Harrison Jr.</t>
  </si>
  <si>
    <t>D:DEN</t>
  </si>
  <si>
    <t>RB1:LV</t>
  </si>
  <si>
    <t>WR2:DEN</t>
  </si>
  <si>
    <t>D:LV</t>
  </si>
  <si>
    <t>WR2:LV</t>
  </si>
  <si>
    <t>122490-12531:Denver Broncos</t>
  </si>
  <si>
    <t>122490-102965:Bo Nix</t>
  </si>
  <si>
    <t>122490-167031:Ashton Jeanty</t>
  </si>
  <si>
    <t>122490-151903:Troy Franklin</t>
  </si>
  <si>
    <t>122490-12537:Las Vegas Raiders</t>
  </si>
  <si>
    <t>122490-27050:Tyler Lockett</t>
  </si>
  <si>
    <t>Key 2</t>
  </si>
  <si>
    <t>total_fpts</t>
  </si>
  <si>
    <t>Place</t>
  </si>
  <si>
    <t>MVP Position2</t>
  </si>
  <si>
    <t>Group1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</si>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</sst>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</cellStyleXfs>
  <cellXfs count="73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9" fontId="0" fillId="0" borderId="0" xfId="0" applyNumberFormat="1" applyFill="1"/>
    <xf numFmtId="1" fontId="0" fillId="0" borderId="0" xfId="0" applyNumberFormat="1" applyFill="1"/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/>
    <xf numFmtId="0" fontId="0" fillId="0" borderId="0" xfId="0"/>
    <xf numFmtId="9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Fill="1"/>
    <xf numFmtId="0" fontId="0" fillId="0" borderId="0" xfId="0"/>
    <xf numFmtId="0" fontId="0" fillId="0" borderId="0" xfId="0"/>
    <xf numFmtId="4" fontId="0" fillId="0" borderId="0" xfId="0" applyNumberFormat="1" applyFill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33" borderId="11" xfId="0" applyFont="1" applyFill="1" applyBorder="1"/>
    <xf numFmtId="0" fontId="1" fillId="0" borderId="0" xfId="0" applyFont="1" applyFill="1" applyBorder="1"/>
    <xf numFmtId="0" fontId="0" fillId="0" borderId="0" xfId="0" applyFont="1" applyBorder="1"/>
    <xf numFmtId="0" fontId="18" fillId="0" borderId="0" xfId="0" applyFont="1" applyFill="1"/>
    <xf numFmtId="0" fontId="19" fillId="0" borderId="0" xfId="0" applyFont="1"/>
    <xf numFmtId="0" fontId="19" fillId="0" borderId="1" xfId="0" applyFont="1" applyBorder="1"/>
    <xf numFmtId="0" fontId="20" fillId="0" borderId="1" xfId="0" applyFont="1" applyBorder="1"/>
    <xf numFmtId="0" fontId="19" fillId="0" borderId="0" xfId="0" applyFont="1" applyBorder="1"/>
    <xf numFmtId="0" fontId="20" fillId="0" borderId="0" xfId="0" applyFont="1"/>
    <xf numFmtId="0" fontId="21" fillId="0" borderId="0" xfId="0" applyFont="1"/>
    <xf numFmtId="0" fontId="21" fillId="0" borderId="0" xfId="0" applyFont="1" applyBorder="1"/>
    <xf numFmtId="0" fontId="22" fillId="0" borderId="0" xfId="0" applyFont="1"/>
    <xf numFmtId="0" fontId="22" fillId="0" borderId="0" xfId="0" applyFont="1" applyFill="1"/>
    <xf numFmtId="1" fontId="22" fillId="0" borderId="0" xfId="0" applyNumberFormat="1" applyFont="1"/>
    <xf numFmtId="0" fontId="22" fillId="0" borderId="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[retro_2025.xlsx]Wins by Key!PivotTable6</c:name>
    <c:fmtId val="0"/>
  </c:pivotSource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Wins by Key(1)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Key'!$H$2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'Wins by Key'!$G$3:$G$6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'Wins by Key'!$H$3:$H$6</c:f>
              <c:numCache>
                <c:formatCode>General</c:formatCode>
                <c:ptCount val="3"/>
                <c:pt idx="0">
                  <c:v>23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3-475A-9FE1-35222018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53456640"/>
        <c:axId val="153458176"/>
      </c:barChart>
      <c:catAx>
        <c:axId val="15345664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53458176"/>
        <c:crosses val="autoZero"/>
        <c:auto val="1"/>
        <c:lblAlgn val="ctr"/>
        <c:lblOffset val="100"/>
        <c:noMultiLvlLbl val="0"/>
      </c:catAx>
      <c:valAx>
        <c:axId val="15345817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baseline="0"/>
            </a:pPr>
            <a:endParaRPr lang="en-US"/>
          </a:p>
        </c:txPr>
        <c:crossAx val="153456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[retro_2025.xlsx]Wins by Key!PivotTable1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 by Key(2)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Key'!$S$2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'Wins by Key'!$Q$3:$R$12</c:f>
              <c:multiLvlStrCache>
                <c:ptCount val="9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16</c:v>
                  </c:pt>
                  <c:pt idx="4">
                    <c:v>23</c:v>
                  </c:pt>
                  <c:pt idx="5">
                    <c:v>24</c:v>
                  </c:pt>
                  <c:pt idx="6">
                    <c:v>27</c:v>
                  </c:pt>
                  <c:pt idx="7">
                    <c:v>29</c:v>
                  </c:pt>
                  <c:pt idx="8">
                    <c:v>34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</c:lvl>
              </c:multiLvlStrCache>
            </c:multiLvlStrRef>
          </c:cat>
          <c:val>
            <c:numRef>
              <c:f>'Wins by Key'!$S$3:$S$12</c:f>
              <c:numCache>
                <c:formatCode>General</c:formatCode>
                <c:ptCount val="9"/>
                <c:pt idx="0">
                  <c:v>11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6-4DD8-8758-A8AB5B4AD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713713664"/>
        <c:axId val="1713724224"/>
      </c:barChart>
      <c:catAx>
        <c:axId val="17137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24224"/>
        <c:crosses val="autoZero"/>
        <c:auto val="1"/>
        <c:lblAlgn val="ctr"/>
        <c:lblOffset val="100"/>
        <c:noMultiLvlLbl val="0"/>
      </c:catAx>
      <c:valAx>
        <c:axId val="17137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[retro_2025.xlsx]Wins by Key!PivotTable3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Low Salary 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'Wins by Key'!$J$18:$J$37</c:f>
              <c:strCache>
                <c:ptCount val="19"/>
                <c:pt idx="0">
                  <c:v>12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26</c:v>
                </c:pt>
                <c:pt idx="13">
                  <c:v>27</c:v>
                </c:pt>
                <c:pt idx="14">
                  <c:v>31</c:v>
                </c:pt>
                <c:pt idx="15">
                  <c:v>35</c:v>
                </c:pt>
                <c:pt idx="16">
                  <c:v>40</c:v>
                </c:pt>
                <c:pt idx="17">
                  <c:v>42</c:v>
                </c:pt>
                <c:pt idx="18">
                  <c:v>47</c:v>
                </c:pt>
              </c:strCache>
            </c:strRef>
          </c:cat>
          <c:val>
            <c:numRef>
              <c:f>'Wins by Key'!$K$18:$K$37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F-4030-9B4F-F3EFD364B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782319"/>
        <c:axId val="1011785199"/>
      </c:barChart>
      <c:catAx>
        <c:axId val="10117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85199"/>
        <c:crosses val="autoZero"/>
        <c:auto val="1"/>
        <c:lblAlgn val="ctr"/>
        <c:lblOffset val="100"/>
        <c:noMultiLvlLbl val="0"/>
      </c:catAx>
      <c:valAx>
        <c:axId val="10117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78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Wins by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Postion'!$N$3:$N$12</c:f>
              <c:numCache>
                <c:formatCode>0</c:formatCode>
                <c:ptCount val="10"/>
                <c:pt idx="1">
                  <c:v>11</c:v>
                </c:pt>
                <c:pt idx="2">
                  <c:v>16</c:v>
                </c:pt>
                <c:pt idx="3">
                  <c:v>30</c:v>
                </c:pt>
                <c:pt idx="4">
                  <c:v>26</c:v>
                </c:pt>
                <c:pt idx="5">
                  <c:v>20</c:v>
                </c:pt>
                <c:pt idx="6">
                  <c:v>19</c:v>
                </c:pt>
                <c:pt idx="7">
                  <c:v>13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E-444E-88D7-13D15C6FB8D0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Postion'!$O$3:$O$12</c:f>
              <c:numCache>
                <c:formatCode>General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18</c:v>
                </c:pt>
                <c:pt idx="4">
                  <c:v>10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E-444E-88D7-13D15C6FB8D0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Postion'!$P$3:$P$12</c:f>
              <c:numCache>
                <c:formatCode>General</c:formatCode>
                <c:ptCount val="10"/>
                <c:pt idx="0">
                  <c:v>33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E-444E-88D7-13D15C6FB8D0}"/>
            </c:ext>
          </c:extLst>
        </c:ser>
        <c:ser>
          <c:idx val="3"/>
          <c:order val="3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Postion'!$M$3:$M$12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Postion'!$Q$3:$Q$12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C7BE-444E-88D7-13D15C6FB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653632"/>
        <c:axId val="153655168"/>
      </c:barChart>
      <c:catAx>
        <c:axId val="15365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3655168"/>
        <c:crosses val="autoZero"/>
        <c:auto val="1"/>
        <c:lblAlgn val="ctr"/>
        <c:lblOffset val="100"/>
        <c:noMultiLvlLbl val="0"/>
      </c:catAx>
      <c:valAx>
        <c:axId val="1536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653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[retro_2025.xlsx]MVP by Key!PivotTable3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MVP by Key(2)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Key'!$T$2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'MVP by Key'!$R$3:$S$19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8</c:v>
                  </c:pt>
                  <c:pt idx="7">
                    <c:v>10</c:v>
                  </c:pt>
                  <c:pt idx="8">
                    <c:v>15</c:v>
                  </c:pt>
                  <c:pt idx="9">
                    <c:v>22</c:v>
                  </c:pt>
                  <c:pt idx="10">
                    <c:v>2</c:v>
                  </c:pt>
                  <c:pt idx="11">
                    <c:v>3</c:v>
                  </c:pt>
                  <c:pt idx="12">
                    <c:v>5</c:v>
                  </c:pt>
                  <c:pt idx="13">
                    <c:v>8</c:v>
                  </c:pt>
                  <c:pt idx="14">
                    <c:v>9</c:v>
                  </c:pt>
                  <c:pt idx="15">
                    <c:v>4</c:v>
                  </c:pt>
                </c:lvl>
                <c:lvl>
                  <c:pt idx="0">
                    <c:v>1</c:v>
                  </c:pt>
                  <c:pt idx="10">
                    <c:v>2</c:v>
                  </c:pt>
                  <c:pt idx="15">
                    <c:v>3</c:v>
                  </c:pt>
                </c:lvl>
              </c:multiLvlStrCache>
            </c:multiLvlStrRef>
          </c:cat>
          <c:val>
            <c:numRef>
              <c:f>'MVP by Key'!$T$3:$T$19</c:f>
              <c:numCache>
                <c:formatCode>General</c:formatCode>
                <c:ptCount val="16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B-4D88-938C-B4E06D6F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716992"/>
        <c:axId val="153726976"/>
      </c:barChart>
      <c:catAx>
        <c:axId val="15371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726976"/>
        <c:crosses val="autoZero"/>
        <c:auto val="0"/>
        <c:lblAlgn val="ctr"/>
        <c:lblOffset val="100"/>
        <c:noMultiLvlLbl val="0"/>
      </c:catAx>
      <c:valAx>
        <c:axId val="15372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716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[retro_2025.xlsx]MVP by Key!PivotTable1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MVP by 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'MVP by Key'!$G$3:$G$14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22</c:v>
                </c:pt>
              </c:strCache>
            </c:strRef>
          </c:cat>
          <c:val>
            <c:numRef>
              <c:f>'MVP by Key'!$H$3:$H$14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9-483F-91ED-7C69F766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2558639"/>
        <c:axId val="1952560559"/>
      </c:barChart>
      <c:catAx>
        <c:axId val="195255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60559"/>
        <c:crosses val="autoZero"/>
        <c:auto val="1"/>
        <c:lblAlgn val="ctr"/>
        <c:lblOffset val="100"/>
        <c:noMultiLvlLbl val="0"/>
      </c:catAx>
      <c:valAx>
        <c:axId val="19525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5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[retro_2025.xlsx]MVP by Key!PivotTable2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MVP Points 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by Key'!$H$19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'MVP by Key'!$G$20:$G$24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strCache>
            </c:strRef>
          </c:cat>
          <c:val>
            <c:numRef>
              <c:f>'MVP by Key'!$H$20:$H$24</c:f>
              <c:numCache>
                <c:formatCode>General</c:formatCode>
                <c:ptCount val="4"/>
                <c:pt idx="0">
                  <c:v>27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E-43DB-8345-2CDEA3D63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84479"/>
        <c:axId val="304184959"/>
      </c:barChart>
      <c:catAx>
        <c:axId val="3041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4959"/>
        <c:crosses val="autoZero"/>
        <c:auto val="1"/>
        <c:lblAlgn val="ctr"/>
        <c:lblOffset val="100"/>
        <c:noMultiLvlLbl val="0"/>
      </c:catAx>
      <c:valAx>
        <c:axId val="3041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[retro_2025.xlsx]MVP by Player-Position!PivotTable5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MVP by Player-Position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579676707651666E-2"/>
          <c:y val="0.14725317179118783"/>
          <c:w val="0.93384542653153479"/>
          <c:h val="0.6811490809369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'MVP by Player-Position'!$T$2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'MVP by Player-Position'!$Q$3:$S$9</c:f>
              <c:strCache>
                <c:ptCount val="6"/>
                <c:pt idx="0">
                  <c:v>D</c:v>
                </c:pt>
                <c:pt idx="1">
                  <c:v>QB</c:v>
                </c:pt>
                <c:pt idx="2">
                  <c:v>RB</c:v>
                </c:pt>
                <c:pt idx="3">
                  <c:v>TE</c:v>
                </c:pt>
                <c:pt idx="4">
                  <c:v>WR1</c:v>
                </c:pt>
                <c:pt idx="5">
                  <c:v>WR3</c:v>
                </c:pt>
              </c:strCache>
            </c:strRef>
          </c:cat>
          <c:val>
            <c:numRef>
              <c:f>'MVP by Player-Position'!$T$3:$T$9</c:f>
              <c:numCache>
                <c:formatCode>General</c:formatCode>
                <c:ptCount val="6"/>
                <c:pt idx="0">
                  <c:v>1</c:v>
                </c:pt>
                <c:pt idx="1">
                  <c:v>14</c:v>
                </c:pt>
                <c:pt idx="2">
                  <c:v>10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C-4DE7-BAB0-8DD22DB02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axId val="154816512"/>
        <c:axId val="154818048"/>
      </c:barChart>
      <c:catAx>
        <c:axId val="15481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-2760000"/>
          <a:lstStyle/>
          <a:p>
            <a:pPr>
              <a:defRPr/>
            </a:pPr>
            <a:endParaRPr lang="en-US"/>
          </a:p>
        </c:txPr>
        <c:crossAx val="154818048"/>
        <c:crosses val="autoZero"/>
        <c:auto val="1"/>
        <c:lblAlgn val="ctr"/>
        <c:lblOffset val="100"/>
        <c:tickLblSkip val="1"/>
        <c:noMultiLvlLbl val="0"/>
      </c:catAx>
      <c:valAx>
        <c:axId val="15481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81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[retro_2025.xlsx]Team Count!PivotTable2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Team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Count'!$C$15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Count'!$B$16:$B$20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'Team Count'!$C$16:$C$20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2-46BA-BEBD-0BF42EC6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16256"/>
        <c:axId val="47916736"/>
      </c:barChart>
      <c:catAx>
        <c:axId val="479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6736"/>
        <c:crosses val="autoZero"/>
        <c:auto val="1"/>
        <c:lblAlgn val="ctr"/>
        <c:lblOffset val="100"/>
        <c:noMultiLvlLbl val="0"/>
      </c:catAx>
      <c:valAx>
        <c:axId val="479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[retro_2025.xlsx]xMVP by Position!PivotTable1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MVP by Position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83220847394076E-2"/>
          <c:y val="7.9343967651387209E-2"/>
          <c:w val="0.90642375976767164"/>
          <c:h val="0.6737558492694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'xMVP by Position'!$R$2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'xMVP by Position'!$O$3:$Q$31</c:f>
              <c:multiLvlStrCache>
                <c:ptCount val="28"/>
                <c:lvl>
                  <c:pt idx="0">
                    <c:v>QB:ARI</c:v>
                  </c:pt>
                  <c:pt idx="1">
                    <c:v>QB:BAL</c:v>
                  </c:pt>
                  <c:pt idx="2">
                    <c:v>QB:CHI</c:v>
                  </c:pt>
                  <c:pt idx="3">
                    <c:v>QB:DAL</c:v>
                  </c:pt>
                  <c:pt idx="4">
                    <c:v>QB:DEN</c:v>
                  </c:pt>
                  <c:pt idx="5">
                    <c:v>QB:KC</c:v>
                  </c:pt>
                  <c:pt idx="6">
                    <c:v>QB:LAC</c:v>
                  </c:pt>
                  <c:pt idx="7">
                    <c:v>QB:LAR</c:v>
                  </c:pt>
                  <c:pt idx="8">
                    <c:v>QB:TB</c:v>
                  </c:pt>
                  <c:pt idx="9">
                    <c:v>QB:SEA</c:v>
                  </c:pt>
                  <c:pt idx="10">
                    <c:v>RB:DAL</c:v>
                  </c:pt>
                  <c:pt idx="11">
                    <c:v>RB:NYG</c:v>
                  </c:pt>
                  <c:pt idx="12">
                    <c:v>RB1:ATL</c:v>
                  </c:pt>
                  <c:pt idx="13">
                    <c:v>RB1:BUF</c:v>
                  </c:pt>
                  <c:pt idx="14">
                    <c:v>RB1:CHI</c:v>
                  </c:pt>
                  <c:pt idx="15">
                    <c:v>RB1:DET</c:v>
                  </c:pt>
                  <c:pt idx="16">
                    <c:v>RB1:SF</c:v>
                  </c:pt>
                  <c:pt idx="17">
                    <c:v>RB2:DET</c:v>
                  </c:pt>
                  <c:pt idx="18">
                    <c:v>RB2:NYG</c:v>
                  </c:pt>
                  <c:pt idx="19">
                    <c:v>TE:GB</c:v>
                  </c:pt>
                  <c:pt idx="20">
                    <c:v>TE1:GB</c:v>
                  </c:pt>
                  <c:pt idx="21">
                    <c:v>TE2:PIT</c:v>
                  </c:pt>
                  <c:pt idx="22">
                    <c:v>WR1:LAR</c:v>
                  </c:pt>
                  <c:pt idx="23">
                    <c:v>WR1:NE</c:v>
                  </c:pt>
                  <c:pt idx="24">
                    <c:v>WR1:SEA</c:v>
                  </c:pt>
                  <c:pt idx="25">
                    <c:v>WR1:ARI</c:v>
                  </c:pt>
                  <c:pt idx="26">
                    <c:v>WR3:BUF</c:v>
                  </c:pt>
                  <c:pt idx="27">
                    <c:v>D:DEN</c:v>
                  </c:pt>
                </c:lvl>
                <c:lvl>
                  <c:pt idx="0">
                    <c:v>QB</c:v>
                  </c:pt>
                  <c:pt idx="10">
                    <c:v>RB</c:v>
                  </c:pt>
                  <c:pt idx="12">
                    <c:v>RB1</c:v>
                  </c:pt>
                  <c:pt idx="17">
                    <c:v>RB2</c:v>
                  </c:pt>
                  <c:pt idx="19">
                    <c:v>TE</c:v>
                  </c:pt>
                  <c:pt idx="20">
                    <c:v>TE1</c:v>
                  </c:pt>
                  <c:pt idx="21">
                    <c:v>TE2</c:v>
                  </c:pt>
                  <c:pt idx="22">
                    <c:v>WR1</c:v>
                  </c:pt>
                  <c:pt idx="26">
                    <c:v>WR3</c:v>
                  </c:pt>
                  <c:pt idx="27">
                    <c:v>D</c:v>
                  </c:pt>
                </c:lvl>
                <c:lvl>
                  <c:pt idx="0">
                    <c:v>QB</c:v>
                  </c:pt>
                  <c:pt idx="10">
                    <c:v>Group1</c:v>
                  </c:pt>
                  <c:pt idx="19">
                    <c:v>Group2</c:v>
                  </c:pt>
                  <c:pt idx="22">
                    <c:v>WR1</c:v>
                  </c:pt>
                  <c:pt idx="26">
                    <c:v>WR3</c:v>
                  </c:pt>
                  <c:pt idx="27">
                    <c:v>D</c:v>
                  </c:pt>
                </c:lvl>
              </c:multiLvlStrCache>
            </c:multiLvlStrRef>
          </c:cat>
          <c:val>
            <c:numRef>
              <c:f>'xMVP by Position'!$R$3:$R$31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C-4875-89DE-9B32371F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0"/>
        <c:axId val="154408448"/>
        <c:axId val="154409984"/>
      </c:barChart>
      <c:catAx>
        <c:axId val="15440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txPr>
          <a:bodyPr rot="-2700000" vert="horz" anchor="b" anchorCtr="0"/>
          <a:lstStyle/>
          <a:p>
            <a:pPr>
              <a:defRPr b="0" i="0" baseline="0"/>
            </a:pPr>
            <a:endParaRPr lang="en-US"/>
          </a:p>
        </c:txPr>
        <c:crossAx val="154409984"/>
        <c:crosses val="autoZero"/>
        <c:auto val="1"/>
        <c:lblAlgn val="ctr"/>
        <c:lblOffset val="100"/>
        <c:noMultiLvlLbl val="1"/>
      </c:catAx>
      <c:valAx>
        <c:axId val="15440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 i="0" baseline="0"/>
            </a:pPr>
            <a:endParaRPr lang="en-US"/>
          </a:p>
        </c:txPr>
        <c:crossAx val="154408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1</xdr:row>
      <xdr:rowOff>9525</xdr:rowOff>
    </xdr:from>
    <xdr:to>
      <xdr:col>5</xdr:col>
      <xdr:colOff>4762</xdr:colOff>
      <xdr:row>13</xdr:row>
      <xdr:rowOff>171450</xdr:rowOff>
    </xdr:to>
    <xdr:graphicFrame macro="">
      <xdr:nvGraphicFramePr>
        <xdr:cNvPr id="2" name="Ke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</xdr:row>
      <xdr:rowOff>9524</xdr:rowOff>
    </xdr:from>
    <xdr:to>
      <xdr:col>15</xdr:col>
      <xdr:colOff>19050</xdr:colOff>
      <xdr:row>14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214D6-B7CB-882E-E465-DF7754FE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542924</xdr:colOff>
      <xdr:row>15</xdr:row>
      <xdr:rowOff>171449</xdr:rowOff>
    </xdr:from>
    <xdr:to>
      <xdr:col>7</xdr:col>
      <xdr:colOff>962025</xdr:colOff>
      <xdr:row>31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EA822-D745-9921-8CE1-46D0C142E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647698</xdr:colOff>
      <xdr:row>1</xdr:row>
      <xdr:rowOff>14287</xdr:rowOff>
    </xdr:from>
    <xdr:to>
      <xdr:col>10</xdr:col>
      <xdr:colOff>342899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952497</xdr:colOff>
      <xdr:row>1</xdr:row>
      <xdr:rowOff>0</xdr:rowOff>
    </xdr:from>
    <xdr:to>
      <xdr:col>16</xdr:col>
      <xdr:colOff>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180974</xdr:rowOff>
    </xdr:from>
    <xdr:to>
      <xdr:col>5</xdr:col>
      <xdr:colOff>0</xdr:colOff>
      <xdr:row>16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42A512-A71F-151B-AE1B-B45F4C32A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11906</xdr:colOff>
      <xdr:row>17</xdr:row>
      <xdr:rowOff>173830</xdr:rowOff>
    </xdr:from>
    <xdr:to>
      <xdr:col>5</xdr:col>
      <xdr:colOff>9525</xdr:colOff>
      <xdr:row>35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A9188-06A2-BD19-1756-1AEAA3245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171451</xdr:rowOff>
    </xdr:from>
    <xdr:to>
      <xdr:col>15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9523</xdr:rowOff>
    </xdr:from>
    <xdr:to>
      <xdr:col>4</xdr:col>
      <xdr:colOff>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44A78-FB41-90AB-22EE-465543C06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14289</xdr:colOff>
      <xdr:row>1</xdr:row>
      <xdr:rowOff>4763</xdr:rowOff>
    </xdr:from>
    <xdr:to>
      <xdr:col>12</xdr:col>
      <xdr:colOff>771525</xdr:colOff>
      <xdr:row>24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Meinhardt" refreshedDate="45968.340239120371" createdVersion="8" refreshedVersion="8" minRefreshableVersion="3" recordCount="33" xr:uid="{8D0FBD3B-1097-4375-9216-AFA26F1AA81E}">
  <cacheSource type="worksheet">
    <worksheetSource ref="A1:AF34" sheet="Retro"/>
  </cacheSource>
  <cacheFields count="32">
    <cacheField name="Winnings" numFmtId="0">
      <sharedItems containsSemiMixedTypes="0" containsString="0" containsNumber="1" minValue="6.54" maxValue="800"/>
    </cacheField>
    <cacheField name="Winners" numFmtId="0">
      <sharedItems containsSemiMixedTypes="0" containsString="0" containsNumber="1" containsInteger="1" minValue="1" maxValue="452"/>
    </cacheField>
    <cacheField name="HS Position" numFmtId="0">
      <sharedItems/>
    </cacheField>
    <cacheField name="HS MVP" numFmtId="0">
      <sharedItems containsSemiMixedTypes="0" containsString="0" containsNumber="1" containsInteger="1" minValue="0" maxValue="1"/>
    </cacheField>
    <cacheField name="HS Wins" numFmtId="0">
      <sharedItems containsSemiMixedTypes="0" containsString="0" containsNumber="1" containsInteger="1" minValue="0" maxValue="1"/>
    </cacheField>
    <cacheField name="MVP Pts Rank" numFmtId="0">
      <sharedItems containsSemiMixedTypes="0" containsString="0" containsNumber="1" containsInteger="1" minValue="1" maxValue="5" count="4">
        <n v="2"/>
        <n v="1"/>
        <n v="5"/>
        <n v="3"/>
      </sharedItems>
    </cacheField>
    <cacheField name="MVP Position" numFmtId="0">
      <sharedItems count="10">
        <s v="RB"/>
        <s v="QB"/>
        <s v="WR3"/>
        <s v="TE"/>
        <s v="RB1"/>
        <s v="RB2"/>
        <s v="WR1"/>
        <s v="TE2"/>
        <s v="TE1"/>
        <s v="D"/>
      </sharedItems>
      <fieldGroup par="31"/>
    </cacheField>
    <cacheField name="Key" numFmtId="0">
      <sharedItems containsSemiMixedTypes="0" containsString="0" containsNumber="1" containsInteger="1" minValue="1" maxValue="34" count="12">
        <n v="1"/>
        <n v="2"/>
        <n v="3"/>
        <n v="12" u="1"/>
        <n v="13" u="1"/>
        <n v="23" u="1"/>
        <n v="16" u="1"/>
        <n v="29" u="1"/>
        <n v="24" u="1"/>
        <n v="14" u="1"/>
        <n v="34" u="1"/>
        <n v="27" u="1"/>
      </sharedItems>
    </cacheField>
    <cacheField name="ID" numFmtId="0">
      <sharedItems containsSemiMixedTypes="0" containsString="0" containsNumber="1" containsInteger="1" minValue="1" maxValue="88847"/>
    </cacheField>
    <cacheField name="GroupID" numFmtId="0">
      <sharedItems containsSemiMixedTypes="0" containsString="0" containsNumber="1" containsInteger="1" minValue="1" maxValue="15795"/>
    </cacheField>
    <cacheField name="Key 2" numFmtId="0">
      <sharedItems containsSemiMixedTypes="0" containsString="0" containsNumber="1" containsInteger="1" minValue="12" maxValue="34"/>
    </cacheField>
    <cacheField name="MVP Key" numFmtId="0">
      <sharedItems containsSemiMixedTypes="0" containsString="0" containsNumber="1" containsInteger="1" minValue="1" maxValue="22" count="11">
        <n v="10"/>
        <n v="3"/>
        <n v="15"/>
        <n v="2"/>
        <n v="1"/>
        <n v="9"/>
        <n v="8"/>
        <n v="6"/>
        <n v="4"/>
        <n v="5"/>
        <n v="22"/>
      </sharedItems>
    </cacheField>
    <cacheField name="LS Key" numFmtId="0">
      <sharedItems containsSemiMixedTypes="0" containsString="0" containsNumber="1" containsInteger="1" minValue="12" maxValue="49" count="20">
        <n v="16"/>
        <n v="14"/>
        <n v="47"/>
        <n v="20"/>
        <n v="15"/>
        <n v="19"/>
        <n v="42"/>
        <n v="12"/>
        <n v="17"/>
        <n v="23"/>
        <n v="24"/>
        <n v="31"/>
        <n v="26"/>
        <n v="35"/>
        <n v="22"/>
        <n v="18"/>
        <n v="21"/>
        <n v="27"/>
        <n v="40"/>
        <n v="49" u="1"/>
      </sharedItems>
    </cacheField>
    <cacheField name="MVP_pos" numFmtId="0">
      <sharedItems count="29">
        <s v="RB:DAL"/>
        <s v="QB:LAC"/>
        <s v="WR3:BUF"/>
        <s v="QB:CHI"/>
        <s v="TE:GB"/>
        <s v="RB1:ATL"/>
        <s v="QB:TB"/>
        <s v="RB1:BUF"/>
        <s v="RB2:NYG"/>
        <s v="RB2:DET"/>
        <s v="QB:ARI"/>
        <s v="QB:DAL"/>
        <s v="QB:DEN"/>
        <s v="QB:LAR"/>
        <s v="WR1:NE"/>
        <s v="QB:KC"/>
        <s v="RB:NYG"/>
        <s v="RB1:CHI"/>
        <s v="TE2:PIT"/>
        <s v="RB1:SF"/>
        <s v="RB1:DET"/>
        <s v="WR1:SEA"/>
        <s v="WR1:LAR"/>
        <s v="TE1:GB"/>
        <s v="QB:BAL"/>
        <s v="QB:SEA"/>
        <s v="WR1:ARI"/>
        <s v="D:DEN"/>
        <s v="WR3:LAC" u="1"/>
      </sharedItems>
    </cacheField>
    <cacheField name="p2_pos" numFmtId="0">
      <sharedItems/>
    </cacheField>
    <cacheField name="p3_pos" numFmtId="0">
      <sharedItems/>
    </cacheField>
    <cacheField name="p4_pos" numFmtId="0">
      <sharedItems/>
    </cacheField>
    <cacheField name="p5_pos" numFmtId="0">
      <sharedItems/>
    </cacheField>
    <cacheField name="p6_pos" numFmtId="0">
      <sharedItems/>
    </cacheField>
    <cacheField name="select" numFmtId="0">
      <sharedItems containsNonDate="0" containsString="0" containsBlank="1"/>
    </cacheField>
    <cacheField name="team_cnt" numFmtId="0">
      <sharedItems containsSemiMixedTypes="0" containsString="0" containsNumber="1" containsInteger="1" minValue="2" maxValue="5" count="4">
        <n v="3"/>
        <n v="4"/>
        <n v="2"/>
        <n v="5"/>
      </sharedItems>
    </cacheField>
    <cacheField name="total_salary" numFmtId="0">
      <sharedItems containsSemiMixedTypes="0" containsString="0" containsNumber="1" containsInteger="1" minValue="46800" maxValue="60000"/>
    </cacheField>
    <cacheField name="total_fppg" numFmtId="0">
      <sharedItems containsSemiMixedTypes="0" containsString="0" containsNumber="1" minValue="48.19" maxValue="96.32"/>
    </cacheField>
    <cacheField name="total_ppts" numFmtId="0">
      <sharedItems containsSemiMixedTypes="0" containsString="0" containsNumber="1" minValue="41.9" maxValue="93.8"/>
    </cacheField>
    <cacheField name="total_pts" numFmtId="0">
      <sharedItems containsSemiMixedTypes="0" containsString="0" containsNumber="1" minValue="72" maxValue="170.12"/>
    </cacheField>
    <cacheField name="MVP_name" numFmtId="0">
      <sharedItems/>
    </cacheField>
    <cacheField name="p2_name" numFmtId="0">
      <sharedItems/>
    </cacheField>
    <cacheField name="p3_name" numFmtId="0">
      <sharedItems/>
    </cacheField>
    <cacheField name="p4_name" numFmtId="0">
      <sharedItems/>
    </cacheField>
    <cacheField name="p5_name" numFmtId="0">
      <sharedItems/>
    </cacheField>
    <cacheField name="p6_name" numFmtId="0">
      <sharedItems/>
    </cacheField>
    <cacheField name="MVP Position2" numFmtId="0" databaseField="0">
      <fieldGroup base="6">
        <discretePr count="10">
          <x v="4"/>
          <x v="0"/>
          <x v="1"/>
          <x v="5"/>
          <x v="4"/>
          <x v="4"/>
          <x v="2"/>
          <x v="5"/>
          <x v="5"/>
          <x v="3"/>
        </discretePr>
        <groupItems count="6">
          <s v="QB"/>
          <s v="WR3"/>
          <s v="WR1"/>
          <s v="D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91892529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k Meinhardt" refreshedDate="45969.613406712961" backgroundQuery="1" createdVersion="8" refreshedVersion="8" minRefreshableVersion="3" recordCount="0" supportSubquery="1" supportAdvancedDrill="1" xr:uid="{73AA8BA1-3B09-4917-AD43-51452F8E9686}">
  <cacheSource type="external" connectionId="2"/>
  <cacheFields count="3">
    <cacheField name="[tretro 1].[Key].[Key]" caption="Key" numFmtId="0" hierarchy="8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retro 1].[Key].&amp;[1]"/>
            <x15:cachedUniqueName index="1" name="[tretro 1].[Key].&amp;[2]"/>
            <x15:cachedUniqueName index="2" name="[tretro 1].[Key].&amp;[3]"/>
          </x15:cachedUniqueNames>
        </ext>
      </extLst>
    </cacheField>
    <cacheField name="[tretro 1].[Key 2].[Key 2]" caption="Key 2" numFmtId="0" hierarchy="11" level="1">
      <sharedItems containsSemiMixedTypes="0" containsString="0" containsNumber="1" containsInteger="1" minValue="12" maxValue="34" count="9">
        <n v="12"/>
        <n v="13"/>
        <n v="14"/>
        <n v="16"/>
        <n v="23"/>
        <n v="24"/>
        <n v="27"/>
        <n v="29"/>
        <n v="34"/>
      </sharedItems>
      <extLst>
        <ext xmlns:x15="http://schemas.microsoft.com/office/spreadsheetml/2010/11/main" uri="{4F2E5C28-24EA-4eb8-9CBF-B6C8F9C3D259}">
          <x15:cachedUniqueNames>
            <x15:cachedUniqueName index="0" name="[tretro 1].[Key 2].&amp;[12]"/>
            <x15:cachedUniqueName index="1" name="[tretro 1].[Key 2].&amp;[13]"/>
            <x15:cachedUniqueName index="2" name="[tretro 1].[Key 2].&amp;[14]"/>
            <x15:cachedUniqueName index="3" name="[tretro 1].[Key 2].&amp;[16]"/>
            <x15:cachedUniqueName index="4" name="[tretro 1].[Key 2].&amp;[23]"/>
            <x15:cachedUniqueName index="5" name="[tretro 1].[Key 2].&amp;[24]"/>
            <x15:cachedUniqueName index="6" name="[tretro 1].[Key 2].&amp;[27]"/>
            <x15:cachedUniqueName index="7" name="[tretro 1].[Key 2].&amp;[29]"/>
            <x15:cachedUniqueName index="8" name="[tretro 1].[Key 2].&amp;[34]"/>
          </x15:cachedUniqueNames>
        </ext>
      </extLst>
    </cacheField>
    <cacheField name="[Measures].[Count of Key 2]" caption="Count of Key 2" numFmtId="0" hierarchy="35" level="32767"/>
  </cacheFields>
  <cacheHierarchies count="36">
    <cacheHierarchy uniqueName="[tretro 1].[Winnings]" caption="Winnings" attribute="1" defaultMemberUniqueName="[tretro 1].[Winnings].[All]" allUniqueName="[tretro 1].[Winnings].[All]" dimensionUniqueName="[tretro 1]" displayFolder="" count="0" memberValueDatatype="5" unbalanced="0"/>
    <cacheHierarchy uniqueName="[tretro 1].[Winners]" caption="Winners" attribute="1" defaultMemberUniqueName="[tretro 1].[Winners].[All]" allUniqueName="[tretro 1].[Winners].[All]" dimensionUniqueName="[tretro 1]" displayFolder="" count="0" memberValueDatatype="20" unbalanced="0"/>
    <cacheHierarchy uniqueName="[tretro 1].[Place]" caption="Place" attribute="1" defaultMemberUniqueName="[tretro 1].[Place].[All]" allUniqueName="[tretro 1].[Place].[All]" dimensionUniqueName="[tretro 1]" displayFolder="" count="0" memberValueDatatype="20" unbalanced="0"/>
    <cacheHierarchy uniqueName="[tretro 1].[HS Position]" caption="HS Position" attribute="1" defaultMemberUniqueName="[tretro 1].[HS Position].[All]" allUniqueName="[tretro 1].[HS Position].[All]" dimensionUniqueName="[tretro 1]" displayFolder="" count="0" memberValueDatatype="130" unbalanced="0"/>
    <cacheHierarchy uniqueName="[tretro 1].[HS MVP]" caption="HS MVP" attribute="1" defaultMemberUniqueName="[tretro 1].[HS MVP].[All]" allUniqueName="[tretro 1].[HS MVP].[All]" dimensionUniqueName="[tretro 1]" displayFolder="" count="0" memberValueDatatype="20" unbalanced="0"/>
    <cacheHierarchy uniqueName="[tretro 1].[HS Wins]" caption="HS Wins" attribute="1" defaultMemberUniqueName="[tretro 1].[HS Wins].[All]" allUniqueName="[tretro 1].[HS Wins].[All]" dimensionUniqueName="[tretro 1]" displayFolder="" count="0" memberValueDatatype="20" unbalanced="0"/>
    <cacheHierarchy uniqueName="[tretro 1].[MVP Pts Rank]" caption="MVP Pts Rank" attribute="1" defaultMemberUniqueName="[tretro 1].[MVP Pts Rank].[All]" allUniqueName="[tretro 1].[MVP Pts Rank].[All]" dimensionUniqueName="[tretro 1]" displayFolder="" count="0" memberValueDatatype="20" unbalanced="0"/>
    <cacheHierarchy uniqueName="[tretro 1].[MVP Position]" caption="MVP Position" attribute="1" defaultMemberUniqueName="[tretro 1].[MVP Position].[All]" allUniqueName="[tretro 1].[MVP Position].[All]" dimensionUniqueName="[tretro 1]" displayFolder="" count="0" memberValueDatatype="130" unbalanced="0"/>
    <cacheHierarchy uniqueName="[tretro 1].[Key]" caption="Key" attribute="1" defaultMemberUniqueName="[tretro 1].[Key].[All]" allUniqueName="[tretro 1].[Key].[All]" dimensionUniqueName="[tretro 1]" displayFolder="" count="2" memberValueDatatype="20" unbalanced="0">
      <fieldsUsage count="2">
        <fieldUsage x="-1"/>
        <fieldUsage x="0"/>
      </fieldsUsage>
    </cacheHierarchy>
    <cacheHierarchy uniqueName="[tretro 1].[ID]" caption="ID" attribute="1" defaultMemberUniqueName="[tretro 1].[ID].[All]" allUniqueName="[tretro 1].[ID].[All]" dimensionUniqueName="[tretro 1]" displayFolder="" count="0" memberValueDatatype="20" unbalanced="0"/>
    <cacheHierarchy uniqueName="[tretro 1].[GroupID]" caption="GroupID" attribute="1" defaultMemberUniqueName="[tretro 1].[GroupID].[All]" allUniqueName="[tretro 1].[GroupID].[All]" dimensionUniqueName="[tretro 1]" displayFolder="" count="0" memberValueDatatype="20" unbalanced="0"/>
    <cacheHierarchy uniqueName="[tretro 1].[Key 2]" caption="Key 2" attribute="1" defaultMemberUniqueName="[tretro 1].[Key 2].[All]" allUniqueName="[tretro 1].[Key 2].[All]" dimensionUniqueName="[tretro 1]" displayFolder="" count="2" memberValueDatatype="20" unbalanced="0">
      <fieldsUsage count="2">
        <fieldUsage x="-1"/>
        <fieldUsage x="1"/>
      </fieldsUsage>
    </cacheHierarchy>
    <cacheHierarchy uniqueName="[tretro 1].[MVP Key]" caption="MVP Key" attribute="1" defaultMemberUniqueName="[tretro 1].[MVP Key].[All]" allUniqueName="[tretro 1].[MVP Key].[All]" dimensionUniqueName="[tretro 1]" displayFolder="" count="0" memberValueDatatype="20" unbalanced="0"/>
    <cacheHierarchy uniqueName="[tretro 1].[LS Key]" caption="LS Key" attribute="1" defaultMemberUniqueName="[tretro 1].[LS Key].[All]" allUniqueName="[tretro 1].[LS Key].[All]" dimensionUniqueName="[tretro 1]" displayFolder="" count="0" memberValueDatatype="20" unbalanced="0"/>
    <cacheHierarchy uniqueName="[tretro 1].[MVP_pos]" caption="MVP_pos" attribute="1" defaultMemberUniqueName="[tretro 1].[MVP_pos].[All]" allUniqueName="[tretro 1].[MVP_pos].[All]" dimensionUniqueName="[tretro 1]" displayFolder="" count="0" memberValueDatatype="130" unbalanced="0"/>
    <cacheHierarchy uniqueName="[tretro 1].[p2_pos]" caption="p2_pos" attribute="1" defaultMemberUniqueName="[tretro 1].[p2_pos].[All]" allUniqueName="[tretro 1].[p2_pos].[All]" dimensionUniqueName="[tretro 1]" displayFolder="" count="0" memberValueDatatype="130" unbalanced="0"/>
    <cacheHierarchy uniqueName="[tretro 1].[p3_pos]" caption="p3_pos" attribute="1" defaultMemberUniqueName="[tretro 1].[p3_pos].[All]" allUniqueName="[tretro 1].[p3_pos].[All]" dimensionUniqueName="[tretro 1]" displayFolder="" count="0" memberValueDatatype="130" unbalanced="0"/>
    <cacheHierarchy uniqueName="[tretro 1].[p4_pos]" caption="p4_pos" attribute="1" defaultMemberUniqueName="[tretro 1].[p4_pos].[All]" allUniqueName="[tretro 1].[p4_pos].[All]" dimensionUniqueName="[tretro 1]" displayFolder="" count="0" memberValueDatatype="130" unbalanced="0"/>
    <cacheHierarchy uniqueName="[tretro 1].[p5_pos]" caption="p5_pos" attribute="1" defaultMemberUniqueName="[tretro 1].[p5_pos].[All]" allUniqueName="[tretro 1].[p5_pos].[All]" dimensionUniqueName="[tretro 1]" displayFolder="" count="0" memberValueDatatype="130" unbalanced="0"/>
    <cacheHierarchy uniqueName="[tretro 1].[p6_pos]" caption="p6_pos" attribute="1" defaultMemberUniqueName="[tretro 1].[p6_pos].[All]" allUniqueName="[tretro 1].[p6_pos].[All]" dimensionUniqueName="[tretro 1]" displayFolder="" count="0" memberValueDatatype="130" unbalanced="0"/>
    <cacheHierarchy uniqueName="[tretro 1].[select]" caption="select" attribute="1" defaultMemberUniqueName="[tretro 1].[select].[All]" allUniqueName="[tretro 1].[select].[All]" dimensionUniqueName="[tretro 1]" displayFolder="" count="0" memberValueDatatype="130" unbalanced="0"/>
    <cacheHierarchy uniqueName="[tretro 1].[team_cnt]" caption="team_cnt" attribute="1" defaultMemberUniqueName="[tretro 1].[team_cnt].[All]" allUniqueName="[tretro 1].[team_cnt].[All]" dimensionUniqueName="[tretro 1]" displayFolder="" count="0" memberValueDatatype="20" unbalanced="0"/>
    <cacheHierarchy uniqueName="[tretro 1].[total_salary]" caption="total_salary" attribute="1" defaultMemberUniqueName="[tretro 1].[total_salary].[All]" allUniqueName="[tretro 1].[total_salary].[All]" dimensionUniqueName="[tretro 1]" displayFolder="" count="0" memberValueDatatype="20" unbalanced="0"/>
    <cacheHierarchy uniqueName="[tretro 1].[total_fppg]" caption="total_fppg" attribute="1" defaultMemberUniqueName="[tretro 1].[total_fppg].[All]" allUniqueName="[tretro 1].[total_fppg].[All]" dimensionUniqueName="[tretro 1]" displayFolder="" count="0" memberValueDatatype="5" unbalanced="0"/>
    <cacheHierarchy uniqueName="[tretro 1].[total_ppts]" caption="total_ppts" attribute="1" defaultMemberUniqueName="[tretro 1].[total_ppts].[All]" allUniqueName="[tretro 1].[total_ppts].[All]" dimensionUniqueName="[tretro 1]" displayFolder="" count="0" memberValueDatatype="5" unbalanced="0"/>
    <cacheHierarchy uniqueName="[tretro 1].[total_fpts]" caption="total_fpts" attribute="1" defaultMemberUniqueName="[tretro 1].[total_fpts].[All]" allUniqueName="[tretro 1].[total_fpts].[All]" dimensionUniqueName="[tretro 1]" displayFolder="" count="0" memberValueDatatype="5" unbalanced="0"/>
    <cacheHierarchy uniqueName="[tretro 1].[MVP_name]" caption="MVP_name" attribute="1" defaultMemberUniqueName="[tretro 1].[MVP_name].[All]" allUniqueName="[tretro 1].[MVP_name].[All]" dimensionUniqueName="[tretro 1]" displayFolder="" count="0" memberValueDatatype="130" unbalanced="0"/>
    <cacheHierarchy uniqueName="[tretro 1].[p2_name]" caption="p2_name" attribute="1" defaultMemberUniqueName="[tretro 1].[p2_name].[All]" allUniqueName="[tretro 1].[p2_name].[All]" dimensionUniqueName="[tretro 1]" displayFolder="" count="0" memberValueDatatype="130" unbalanced="0"/>
    <cacheHierarchy uniqueName="[tretro 1].[p3_name]" caption="p3_name" attribute="1" defaultMemberUniqueName="[tretro 1].[p3_name].[All]" allUniqueName="[tretro 1].[p3_name].[All]" dimensionUniqueName="[tretro 1]" displayFolder="" count="0" memberValueDatatype="130" unbalanced="0"/>
    <cacheHierarchy uniqueName="[tretro 1].[p4_name]" caption="p4_name" attribute="1" defaultMemberUniqueName="[tretro 1].[p4_name].[All]" allUniqueName="[tretro 1].[p4_name].[All]" dimensionUniqueName="[tretro 1]" displayFolder="" count="0" memberValueDatatype="130" unbalanced="0"/>
    <cacheHierarchy uniqueName="[tretro 1].[p5_name]" caption="p5_name" attribute="1" defaultMemberUniqueName="[tretro 1].[p5_name].[All]" allUniqueName="[tretro 1].[p5_name].[All]" dimensionUniqueName="[tretro 1]" displayFolder="" count="0" memberValueDatatype="130" unbalanced="0"/>
    <cacheHierarchy uniqueName="[tretro 1].[p6_name]" caption="p6_name" attribute="1" defaultMemberUniqueName="[tretro 1].[p6_name].[All]" allUniqueName="[tretro 1].[p6_name].[All]" dimensionUniqueName="[tretro 1]" displayFolder="" count="0" memberValueDatatype="130" unbalanced="0"/>
    <cacheHierarchy uniqueName="[Measures].[__XL_Count tretro 1]" caption="__XL_Count tretro 1" measure="1" displayFolder="" measureGroup="tretro 1" count="0" hidden="1"/>
    <cacheHierarchy uniqueName="[Measures].[__No measures defined]" caption="__No measures defined" measure="1" displayFolder="" count="0" hidden="1"/>
    <cacheHierarchy uniqueName="[Measures].[Sum of Key]" caption="Sum of Key" measure="1" displayFolder="" measureGroup="tretro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Key 2]" caption="Count of Key 2" measure="1" displayFolder="" measureGroup="tretro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retro 1" uniqueName="[tretro 1]" caption="tretro 1"/>
  </dimensions>
  <measureGroups count="1">
    <measureGroup name="tretro 1" caption="tretro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86.44"/>
    <n v="61"/>
    <s v="RB:PHI"/>
    <n v="0"/>
    <n v="1"/>
    <x v="0"/>
    <x v="0"/>
    <x v="0"/>
    <n v="108"/>
    <n v="53"/>
    <n v="12"/>
    <x v="0"/>
    <x v="0"/>
    <x v="0"/>
    <s v="RB:PHI"/>
    <s v="QB:PHI"/>
    <s v="WR1:DAL"/>
    <s v="K:DAL"/>
    <s v="WR3:PHI"/>
    <m/>
    <x v="0"/>
    <n v="57700"/>
    <n v="82.4"/>
    <n v="86.22"/>
    <n v="105.68"/>
    <s v="119244-93541:Javonte Williams"/>
    <s v="119244-64401:Saquon Barkley"/>
    <s v="119244-69531:Jalen Hurts"/>
    <s v="119244-86631:CeeDee Lamb"/>
    <s v="119244-189471:Brandon Aubrey"/>
    <s v="119244-86229:Jahan Dotson"/>
  </r>
  <r>
    <n v="125"/>
    <n v="5"/>
    <s v="QB:KC"/>
    <n v="0"/>
    <n v="1"/>
    <x v="1"/>
    <x v="1"/>
    <x v="0"/>
    <n v="27863"/>
    <n v="5037"/>
    <n v="13"/>
    <x v="1"/>
    <x v="1"/>
    <x v="1"/>
    <s v="QB:KC"/>
    <s v="WR2:LAC"/>
    <s v="K:KC"/>
    <s v="WR3:LAC"/>
    <s v="WR2:KC"/>
    <m/>
    <x v="0"/>
    <n v="57600"/>
    <n v="67.69"/>
    <n v="76.14"/>
    <n v="137"/>
    <s v="120114-69189:Justin Herbert"/>
    <s v="120114-57439:Patrick Mahomes"/>
    <s v="120114-29253:Keenan Allen"/>
    <s v="120114-41642:Harrison Butker"/>
    <s v="120114-120639:Quentin Johnston"/>
    <s v="120114-86687:Hollywood Brown"/>
  </r>
  <r>
    <n v="43.83"/>
    <n v="30"/>
    <s v="QB:BUF"/>
    <n v="0"/>
    <n v="1"/>
    <x v="2"/>
    <x v="2"/>
    <x v="0"/>
    <n v="83"/>
    <n v="48"/>
    <n v="12"/>
    <x v="2"/>
    <x v="2"/>
    <x v="2"/>
    <s v="QB:BUF"/>
    <s v="QB:BAL"/>
    <s v="RB1:BAL"/>
    <s v="WR1:BAL"/>
    <s v="TE3:BUF"/>
    <m/>
    <x v="0"/>
    <n v="57800"/>
    <n v="88.55"/>
    <n v="91.86"/>
    <n v="170.12"/>
    <s v="120169-157467:Keon Coleman"/>
    <s v="120169-62239:Josh Allen"/>
    <s v="120169-63115:Lamar Jackson"/>
    <s v="120169-39280:Derrick Henry"/>
    <s v="120169-112295:Zay Flowers"/>
    <s v="120169-200291:Jackson Hawes"/>
  </r>
  <r>
    <n v="92.43"/>
    <n v="14"/>
    <s v="WR:MIN"/>
    <n v="1"/>
    <n v="0"/>
    <x v="1"/>
    <x v="1"/>
    <x v="1"/>
    <n v="78776"/>
    <n v="14416"/>
    <n v="23"/>
    <x v="3"/>
    <x v="3"/>
    <x v="3"/>
    <s v="QB:MIN"/>
    <s v="RB1:MIN"/>
    <s v="WR2:CHI"/>
    <s v="D:CHI"/>
    <s v="WR4:CHI"/>
    <m/>
    <x v="1"/>
    <n v="59300"/>
    <n v="48.19"/>
    <n v="56.2"/>
    <n v="103.62"/>
    <s v="120172-152113:Caleb Williams"/>
    <s v="120172-152575:J.J. McCarthy"/>
    <s v="120172-40442:Aaron Jones Sr."/>
    <s v="120172-120033:Rome Odunze"/>
    <s v="120172-12527:Chicago Bears"/>
    <s v="120172-64496:Olamide Zaccheaus"/>
  </r>
  <r>
    <n v="135.69"/>
    <n v="36"/>
    <s v="QB:WAS"/>
    <n v="0"/>
    <n v="1"/>
    <x v="1"/>
    <x v="3"/>
    <x v="0"/>
    <n v="227"/>
    <n v="71"/>
    <n v="12"/>
    <x v="2"/>
    <x v="4"/>
    <x v="4"/>
    <s v="QB:WAS"/>
    <s v="RB:GB"/>
    <s v="QB:GB"/>
    <s v="K:GB"/>
    <s v="TE:WAS"/>
    <m/>
    <x v="2"/>
    <n v="57500"/>
    <n v="77.540000000000006"/>
    <n v="81.99"/>
    <n v="117.98"/>
    <s v="120272-160303:Tucker Kraft"/>
    <s v="120272-102785:Jayden Daniels"/>
    <s v="120272-72731:Josh Jacobs"/>
    <s v="120272-69017:Jordan Love"/>
    <s v="120272-26247:Brandon McManus"/>
    <s v="120272-29780:Zach Ertz"/>
  </r>
  <r>
    <n v="500"/>
    <n v="1"/>
    <s v="RB1:ATL"/>
    <n v="1"/>
    <n v="0"/>
    <x v="1"/>
    <x v="4"/>
    <x v="0"/>
    <n v="2707"/>
    <n v="706"/>
    <n v="12"/>
    <x v="4"/>
    <x v="5"/>
    <x v="5"/>
    <s v="WR1:MIN"/>
    <s v="K:MIN"/>
    <s v="K:ATL"/>
    <s v="D:ATL"/>
    <s v="RB2:ATL"/>
    <m/>
    <x v="1"/>
    <n v="57700"/>
    <n v="61.1"/>
    <n v="41.9"/>
    <n v="103.05"/>
    <s v="120469-136855:Bijan Robinson"/>
    <s v="120469-85671:Justin Jefferson"/>
    <s v="120469-102703:Will Reichard"/>
    <s v="120469-88035:John Parker Romo"/>
    <s v="120469-12525:Atlanta Falcons"/>
    <s v="120469-90428:Tyler Allgeier"/>
  </r>
  <r>
    <n v="200"/>
    <n v="2"/>
    <s v="QB:TB"/>
    <n v="1"/>
    <n v="0"/>
    <x v="1"/>
    <x v="1"/>
    <x v="0"/>
    <n v="14668"/>
    <n v="2884"/>
    <n v="13"/>
    <x v="4"/>
    <x v="6"/>
    <x v="6"/>
    <s v="RB1:TB"/>
    <s v="QB1:HOU"/>
    <s v="RB1:HOU"/>
    <s v="RB2:TB"/>
    <s v="QB2:HOU"/>
    <m/>
    <x v="0"/>
    <n v="58600"/>
    <n v="52.9"/>
    <n v="64.19"/>
    <n v="96.23"/>
    <s v="120474-41535:Baker Mayfield"/>
    <s v="120474-152664:Bucky Irving"/>
    <s v="120474-129471:C.J. Stroud"/>
    <s v="120474-53562:Nick Chubb"/>
    <s v="120474-137902:Rachaad White"/>
    <s v="120474-103591:Graham Mertz"/>
  </r>
  <r>
    <n v="73.44"/>
    <n v="16"/>
    <s v="QB:LAC"/>
    <n v="1"/>
    <n v="0"/>
    <x v="1"/>
    <x v="1"/>
    <x v="0"/>
    <n v="32522"/>
    <n v="5988"/>
    <n v="16"/>
    <x v="4"/>
    <x v="7"/>
    <x v="1"/>
    <s v="WR1:LV"/>
    <s v="WR2:LAC"/>
    <s v="WR3:LAC"/>
    <s v="K:LV"/>
    <s v="D:LAC"/>
    <m/>
    <x v="1"/>
    <n v="58200"/>
    <n v="96.32"/>
    <n v="84.7"/>
    <n v="91.97"/>
    <s v="120475-69189:Justin Herbert"/>
    <s v="120475-63634:Jakobi Meyers"/>
    <s v="120475-29253:Keenan Allen"/>
    <s v="120475-120639:Quentin Johnston"/>
    <s v="120475-40856:Daniel Carlson"/>
    <s v="120475-12548:Los Angeles Chargers"/>
  </r>
  <r>
    <n v="500"/>
    <n v="1"/>
    <s v="QB:BUF"/>
    <n v="0"/>
    <n v="1"/>
    <x v="0"/>
    <x v="4"/>
    <x v="0"/>
    <n v="30089"/>
    <n v="5736"/>
    <n v="13"/>
    <x v="1"/>
    <x v="3"/>
    <x v="7"/>
    <s v="QB:BUF"/>
    <s v="WR1:BUF"/>
    <s v="WR2:MIA"/>
    <s v="TE1:BUF"/>
    <s v="RB2:MIA"/>
    <m/>
    <x v="1"/>
    <n v="59400"/>
    <n v="76.89"/>
    <n v="93.8"/>
    <n v="106.27"/>
    <s v="120537-91626:James Cook"/>
    <s v="120537-62239:Josh Allen"/>
    <s v="120537-86518:Khalil Shakir"/>
    <s v="120537-90573:Jaylen Waddle"/>
    <s v="120537-145558:Dalton Kincaid"/>
    <s v="120537-166112:Ollie Gordon II"/>
  </r>
  <r>
    <n v="500"/>
    <n v="1"/>
    <s v="WR:NYG"/>
    <n v="0"/>
    <n v="1"/>
    <x v="1"/>
    <x v="5"/>
    <x v="1"/>
    <n v="54196"/>
    <n v="9605"/>
    <n v="29"/>
    <x v="5"/>
    <x v="0"/>
    <x v="8"/>
    <s v="QB:KC"/>
    <s v="D:KC"/>
    <s v="K:KC"/>
    <s v="RB2:KC"/>
    <s v="WR3:KC"/>
    <m/>
    <x v="3"/>
    <n v="46800"/>
    <n v="56.7"/>
    <n v="60.4"/>
    <n v="96.31"/>
    <s v="120720-183240:Cam Skattebo"/>
    <s v="120720-57439:Patrick Mahomes"/>
    <s v="120720-12536:Kansas City Chiefs"/>
    <s v="120720-41642:Harrison Butker"/>
    <s v="120720-45229:Kareem Hunt"/>
    <s v="120720-89220:Tyquan Thornton"/>
  </r>
  <r>
    <n v="500"/>
    <n v="1"/>
    <s v="RB:BAL"/>
    <n v="0"/>
    <n v="1"/>
    <x v="1"/>
    <x v="5"/>
    <x v="1"/>
    <n v="45325"/>
    <n v="8121"/>
    <n v="23"/>
    <x v="6"/>
    <x v="4"/>
    <x v="9"/>
    <s v="QB:BAL"/>
    <s v="RB1:DET"/>
    <s v="WR1:DET"/>
    <s v="TE1:BAL"/>
    <s v="WR2:BAL"/>
    <m/>
    <x v="0"/>
    <n v="58400"/>
    <n v="76.53"/>
    <n v="81.25"/>
    <n v="155.37"/>
    <s v="120784-73273:David Montgomery"/>
    <s v="120784-63115:Lamar Jackson"/>
    <s v="120784-129368:Jahmyr Gibbs"/>
    <s v="120784-86997:Amon-Ra St. Brown"/>
    <s v="120784-52436:Mark Andrews"/>
    <s v="120784-85845:Rashod Bateman"/>
  </r>
  <r>
    <n v="215"/>
    <n v="5"/>
    <s v="WR1:SEA"/>
    <n v="1"/>
    <n v="0"/>
    <x v="1"/>
    <x v="1"/>
    <x v="1"/>
    <n v="88847"/>
    <n v="15795"/>
    <n v="23"/>
    <x v="3"/>
    <x v="8"/>
    <x v="10"/>
    <s v="QB:SEA"/>
    <s v="WR1:ARI"/>
    <s v="K:SEA"/>
    <s v="RB2:SEA"/>
    <s v="TE1:SEA"/>
    <m/>
    <x v="2"/>
    <n v="58900"/>
    <n v="59.12"/>
    <n v="67.010000000000005"/>
    <n v="94.93"/>
    <s v="120794-63484:Kyler Murray"/>
    <s v="120794-63589:Sam Darnold"/>
    <s v="120794-152651:Marvin Harrison Jr."/>
    <s v="120794-60745:Jason Myers"/>
    <s v="120794-103376:Zach Charbonnet"/>
    <s v="120794-137953:AJ Barner"/>
  </r>
  <r>
    <n v="750"/>
    <n v="1"/>
    <s v="RB1:GB"/>
    <n v="0"/>
    <n v="1"/>
    <x v="1"/>
    <x v="1"/>
    <x v="0"/>
    <n v="36784"/>
    <n v="6925"/>
    <n v="13"/>
    <x v="1"/>
    <x v="9"/>
    <x v="11"/>
    <s v="RB1:GB"/>
    <s v="WR1:DAL"/>
    <s v="WR1:GB"/>
    <s v="K:GB"/>
    <s v="RB3:GB"/>
    <m/>
    <x v="1"/>
    <n v="59800"/>
    <n v="56.47"/>
    <n v="64.47"/>
    <n v="161.44"/>
    <s v="120969-31716:Dak Prescott"/>
    <s v="120969-72731:Josh Jacobs"/>
    <s v="120969-110246:George Pickens"/>
    <s v="120969-94370:Romeo Doubs"/>
    <s v="120969-26247:Brandon McManus"/>
    <s v="120969-185861:Emanuel Wilson"/>
  </r>
  <r>
    <n v="18.25"/>
    <n v="73"/>
    <s v="WR1:CIN"/>
    <n v="1"/>
    <n v="0"/>
    <x v="1"/>
    <x v="1"/>
    <x v="1"/>
    <n v="35310"/>
    <n v="6705"/>
    <n v="24"/>
    <x v="3"/>
    <x v="5"/>
    <x v="12"/>
    <s v="QB:CIN"/>
    <s v="WR1:DEN"/>
    <s v="RB1:DEN"/>
    <s v="RB2:DEN"/>
    <s v="WR3:DEN Q"/>
    <m/>
    <x v="3"/>
    <n v="60000"/>
    <n v="64.819999999999993"/>
    <n v="72.069999999999993"/>
    <n v="115.91"/>
    <s v="120973-102965:Bo Nix"/>
    <s v="120973-60840:Jake Browning"/>
    <s v="120973-57403:Courtland Sutton"/>
    <s v="120973-87787:J.K. Dobbins"/>
    <s v="120973-110484:RJ Harvey"/>
    <s v="120973-120093:Marvin Mims Jr."/>
  </r>
  <r>
    <n v="6.54"/>
    <n v="452"/>
    <s v="RB:SF"/>
    <n v="0"/>
    <n v="1"/>
    <x v="1"/>
    <x v="1"/>
    <x v="1"/>
    <n v="4973"/>
    <n v="856"/>
    <n v="23"/>
    <x v="1"/>
    <x v="10"/>
    <x v="13"/>
    <s v="WR1:LAR"/>
    <s v="QB:SF Q"/>
    <s v="RB1:LAR"/>
    <s v="WR2:SF"/>
    <s v="RB1:SF"/>
    <m/>
    <x v="0"/>
    <n v="52700"/>
    <n v="76.44"/>
    <n v="86.09"/>
    <n v="160.72"/>
    <s v="121030-6654:Matthew Stafford"/>
    <s v="121030-103020:Puka Nacua"/>
    <s v="121030-85607:Brock Purdy"/>
    <s v="121030-137967:Blake Corum"/>
    <s v="121030-80289:Kendrick Bourne"/>
    <s v="121030-90562:Brian Robinson Jr."/>
  </r>
  <r>
    <n v="121.36"/>
    <n v="11"/>
    <s v="QB:BUF"/>
    <n v="0"/>
    <n v="1"/>
    <x v="1"/>
    <x v="6"/>
    <x v="0"/>
    <n v="68287"/>
    <n v="12679"/>
    <n v="16"/>
    <x v="7"/>
    <x v="11"/>
    <x v="14"/>
    <s v="QB:BUF"/>
    <s v="TE1:BUF"/>
    <s v="RB2:NE"/>
    <s v="K:NE"/>
    <s v="WR4:BUF"/>
    <m/>
    <x v="0"/>
    <n v="51400"/>
    <n v="59.97"/>
    <n v="64.19"/>
    <n v="107.42"/>
    <s v="121217-25079:Stefon Diggs"/>
    <s v="121217-62239:Josh Allen"/>
    <s v="121217-145558:Dalton Kincaid"/>
    <s v="121217-111540:Rhamondre Stevenson"/>
    <s v="121217-152260:Andy Borregales"/>
    <s v="121217-52613:Curtis Samuel"/>
  </r>
  <r>
    <n v="300"/>
    <n v="3"/>
    <s v="QB:KC"/>
    <n v="1"/>
    <n v="0"/>
    <x v="1"/>
    <x v="1"/>
    <x v="0"/>
    <n v="56121"/>
    <n v="10717"/>
    <n v="14"/>
    <x v="4"/>
    <x v="9"/>
    <x v="15"/>
    <s v="QB:JAC"/>
    <s v="TE:KC"/>
    <s v="WR3:KC"/>
    <s v="RB2:KC"/>
    <s v="WR2:JAC"/>
    <m/>
    <x v="1"/>
    <n v="58700"/>
    <n v="65.11"/>
    <n v="76.31"/>
    <n v="126.22"/>
    <s v="121293-57439:Patrick Mahomes"/>
    <s v="121293-89951:Trevor Lawrence"/>
    <s v="121293-33076:Travis Kelce"/>
    <s v="121293-89220:Tyquan Thornton"/>
    <s v="121293-45229:Kareem Hunt"/>
    <s v="121293-137516:Parker Washington"/>
  </r>
  <r>
    <n v="500"/>
    <n v="1"/>
    <s v="QB:PHI"/>
    <n v="0"/>
    <n v="1"/>
    <x v="1"/>
    <x v="0"/>
    <x v="0"/>
    <n v="8942"/>
    <n v="1883"/>
    <n v="13"/>
    <x v="8"/>
    <x v="2"/>
    <x v="16"/>
    <s v="QB:PHI"/>
    <s v="QB:NYG Q"/>
    <s v="WR1:NYG"/>
    <s v="TE:PHI"/>
    <s v="WR:NYG"/>
    <m/>
    <x v="2"/>
    <n v="59700"/>
    <n v="62.65"/>
    <n v="68.75"/>
    <n v="139.62"/>
    <s v="121303-183240:Cam Skattebo"/>
    <s v="121303-69531:Jalen Hurts"/>
    <s v="121303-151966:Jaxson Dart"/>
    <s v="121303-103539:Wan'Dale Robinson"/>
    <s v="121303-83074:Dallas Goedert"/>
    <s v="121303-114054:Dalen Cambre"/>
  </r>
  <r>
    <n v="90"/>
    <n v="8"/>
    <s v="QB:BUF"/>
    <n v="0"/>
    <n v="1"/>
    <x v="1"/>
    <x v="4"/>
    <x v="0"/>
    <n v="1922"/>
    <n v="467"/>
    <n v="12"/>
    <x v="3"/>
    <x v="12"/>
    <x v="5"/>
    <s v="QB:BUF"/>
    <s v="QB:ATL"/>
    <s v="WR1:ATL"/>
    <s v="RB2:BUF"/>
    <s v="TE2:BUF"/>
    <m/>
    <x v="0"/>
    <n v="58600"/>
    <n v="75.39"/>
    <n v="86.55"/>
    <n v="132.80000000000001"/>
    <s v="121479-136855:Bijan Robinson"/>
    <s v="121479-62239:Josh Allen"/>
    <s v="121479-88797:Michael Penix Jr."/>
    <s v="121479-112745:Drake London"/>
    <s v="121479-103694:Ray Davis"/>
    <s v="121479-64585:Dawson Knox"/>
  </r>
  <r>
    <n v="17.600000000000001"/>
    <n v="102"/>
    <s v="WR1:DET"/>
    <n v="0"/>
    <n v="1"/>
    <x v="1"/>
    <x v="1"/>
    <x v="2"/>
    <n v="77753"/>
    <n v="14109"/>
    <n v="34"/>
    <x v="8"/>
    <x v="4"/>
    <x v="15"/>
    <s v="QB:DET"/>
    <s v="TE:KC"/>
    <s v="WR2:DET"/>
    <s v="TE:DET"/>
    <s v="WR2:KC"/>
    <m/>
    <x v="0"/>
    <n v="59600"/>
    <n v="77.59"/>
    <n v="89.75"/>
    <n v="122.94"/>
    <s v="121465-57439:Patrick Mahomes"/>
    <s v="121465-38435:Jared Goff"/>
    <s v="121465-33076:Travis Kelce"/>
    <s v="121465-111631:Jameson Williams"/>
    <s v="121465-105646:Sam LaPorta"/>
    <s v="121465-86687:Hollywood Brown"/>
  </r>
  <r>
    <n v="500"/>
    <n v="1"/>
    <s v="QB:WAS"/>
    <n v="0"/>
    <n v="1"/>
    <x v="1"/>
    <x v="4"/>
    <x v="0"/>
    <n v="9078"/>
    <n v="1925"/>
    <n v="12"/>
    <x v="9"/>
    <x v="13"/>
    <x v="17"/>
    <s v="QB:WAS"/>
    <s v="QB:CHI"/>
    <s v="K:CHI"/>
    <s v="TE:WAS"/>
    <s v="WR4:WAS"/>
    <m/>
    <x v="0"/>
    <n v="54100"/>
    <n v="65.19"/>
    <n v="70.650000000000006"/>
    <n v="125.17"/>
    <s v="121480-91598:D'Andre Swift"/>
    <s v="121480-102785:Jayden Daniels"/>
    <s v="121480-152113:Caleb Williams"/>
    <s v="121480-91372:Jake Moody"/>
    <s v="121480-29780:Zach Ertz"/>
    <s v="121480-33047:Chris Moore"/>
  </r>
  <r>
    <n v="500"/>
    <n v="1"/>
    <s v="WR1:CIN"/>
    <n v="0"/>
    <n v="1"/>
    <x v="3"/>
    <x v="7"/>
    <x v="0"/>
    <n v="992"/>
    <n v="298"/>
    <n v="12"/>
    <x v="10"/>
    <x v="14"/>
    <x v="18"/>
    <s v="WR1:CIN"/>
    <s v="QB:PIT"/>
    <s v="QB:CIN"/>
    <s v="RB1:PIT"/>
    <s v="K:CIN"/>
    <m/>
    <x v="0"/>
    <n v="59300"/>
    <n v="62.36"/>
    <n v="63.85"/>
    <n v="167.34"/>
    <s v="121556-86244:Pat Freiermuth"/>
    <s v="121556-85701:Ja'Marr Chase"/>
    <s v="121556-6894:Aaron Rodgers"/>
    <s v="121556-6714:Joe Flacco"/>
    <s v="121556-112057:Jaylen Warren"/>
    <s v="121556-86092:Evan McPherson"/>
  </r>
  <r>
    <n v="300"/>
    <n v="3"/>
    <s v="RB1:ATL"/>
    <n v="0"/>
    <n v="1"/>
    <x v="1"/>
    <x v="4"/>
    <x v="0"/>
    <n v="6289"/>
    <n v="1349"/>
    <n v="12"/>
    <x v="3"/>
    <x v="1"/>
    <x v="19"/>
    <s v="RB1:ATL"/>
    <s v="WR2:ATL Q"/>
    <s v="K:SF"/>
    <s v="D:SF"/>
    <s v="TE:ATL"/>
    <m/>
    <x v="0"/>
    <n v="59800"/>
    <n v="74.73"/>
    <n v="85.1"/>
    <n v="113.1"/>
    <s v="121692-55050:Christian McCaffrey"/>
    <s v="121692-136855:Bijan Robinson"/>
    <s v="121692-69777:Darnell Mooney"/>
    <s v="121692-69307:Eddy Pineiro"/>
    <s v="121692-12549:San Francisco 49ers"/>
    <s v="121692-86080:Kyle Pitts Sr."/>
  </r>
  <r>
    <n v="166.67"/>
    <n v="3"/>
    <s v="RB1:DET"/>
    <n v="1"/>
    <n v="0"/>
    <x v="1"/>
    <x v="4"/>
    <x v="0"/>
    <n v="18281"/>
    <n v="3478"/>
    <n v="13"/>
    <x v="4"/>
    <x v="15"/>
    <x v="20"/>
    <s v="WR1:DET"/>
    <s v="TE1:TB"/>
    <s v="D:DET"/>
    <s v="K:DET"/>
    <s v="WR5:TB"/>
    <m/>
    <x v="1"/>
    <n v="56500"/>
    <n v="58.59"/>
    <n v="66.150000000000006"/>
    <n v="118.85"/>
    <s v="121718-129368:Jahmyr Gibbs"/>
    <s v="121718-86997:Amon-Ra St. Brown"/>
    <s v="121718-86811:Cade Otton"/>
    <s v="121718-12532:Detroit Lions"/>
    <s v="121718-140176:Jake Bates"/>
    <s v="121718-128624:Tez Johnson"/>
  </r>
  <r>
    <n v="400"/>
    <n v="1"/>
    <s v="WR1:SEA"/>
    <n v="1"/>
    <n v="0"/>
    <x v="1"/>
    <x v="6"/>
    <x v="0"/>
    <n v="28628"/>
    <n v="5364"/>
    <n v="14"/>
    <x v="4"/>
    <x v="4"/>
    <x v="21"/>
    <s v="QB:HOU"/>
    <s v="RB2:SEA"/>
    <s v="K:SEA"/>
    <s v="D:HOU"/>
    <s v="TE:HOU"/>
    <m/>
    <x v="0"/>
    <n v="58800"/>
    <n v="69.44"/>
    <n v="79.25"/>
    <n v="113.41"/>
    <s v="121719-129458:Jaxon Smith-Njigba"/>
    <s v="121719-129471:C.J. Stroud"/>
    <s v="121719-103376:Zach Charbonnet"/>
    <s v="121719-60745:Jason Myers"/>
    <s v="121719-12556:Houston Texans"/>
    <s v="121719-55042:Dalton Schultz"/>
  </r>
  <r>
    <n v="237.86"/>
    <n v="7"/>
    <s v="RB:LAC"/>
    <n v="0"/>
    <n v="1"/>
    <x v="0"/>
    <x v="6"/>
    <x v="1"/>
    <n v="35517"/>
    <n v="6303"/>
    <n v="23"/>
    <x v="1"/>
    <x v="16"/>
    <x v="22"/>
    <s v="QB:LAR"/>
    <s v="QB:JAC"/>
    <s v="WR2:JAC"/>
    <s v="D:LAR"/>
    <s v="WR:JAC"/>
    <m/>
    <x v="0"/>
    <n v="60000"/>
    <n v="67.290000000000006"/>
    <n v="73.650000000000006"/>
    <n v="123.32"/>
    <s v="121707-45889:Davante Adams"/>
    <s v="121707-6654:Matthew Stafford"/>
    <s v="121707-89951:Trevor Lawrence"/>
    <s v="121707-184184:Travis Hunter"/>
    <s v="121707-12538:Los Angeles Rams"/>
    <s v="121707-137516:Parker Washington"/>
  </r>
  <r>
    <n v="23.15"/>
    <n v="84"/>
    <s v="WR1:MIN"/>
    <n v="1"/>
    <n v="0"/>
    <x v="1"/>
    <x v="1"/>
    <x v="1"/>
    <n v="64130"/>
    <n v="11503"/>
    <n v="27"/>
    <x v="3"/>
    <x v="4"/>
    <x v="1"/>
    <s v="RB1:LAC"/>
    <s v="WR2:MIN"/>
    <s v="TE:LAC"/>
    <s v="WR3:LAC"/>
    <s v="K:LAC"/>
    <m/>
    <x v="3"/>
    <n v="58900"/>
    <n v="75.05"/>
    <n v="85.7"/>
    <n v="120.72"/>
    <s v="121822-69189:Justin Herbert"/>
    <s v="121822-128633:Kimani Vidal"/>
    <s v="121822-129210:Jordan Addison"/>
    <s v="121822-158438:Oronde Gadsden II"/>
    <s v="121822-133472:Ladd McConkey"/>
    <s v="121822-92496:Cameron Dicker"/>
  </r>
  <r>
    <n v="185"/>
    <n v="5"/>
    <s v="RB:GB"/>
    <n v="0"/>
    <n v="1"/>
    <x v="1"/>
    <x v="8"/>
    <x v="1"/>
    <n v="29325"/>
    <n v="5723"/>
    <n v="23"/>
    <x v="9"/>
    <x v="10"/>
    <x v="23"/>
    <s v="QB:GB"/>
    <s v="QB:PIT"/>
    <s v="K:PIT"/>
    <s v="RB2:GB"/>
    <s v="WR3:PIT"/>
    <m/>
    <x v="0"/>
    <n v="53800"/>
    <n v="61.57"/>
    <n v="67.55"/>
    <n v="142.86000000000001"/>
    <s v="121989-160303:Tucker Kraft"/>
    <s v="121989-69017:Jordan Love"/>
    <s v="121989-6894:Aaron Rodgers"/>
    <s v="121989-32058:Chris Boswell"/>
    <s v="121989-185861:Emanuel Wilson"/>
    <s v="121989-138037:Roman Wilson"/>
  </r>
  <r>
    <n v="500"/>
    <n v="1"/>
    <s v="WR1:KC"/>
    <n v="0"/>
    <n v="1"/>
    <x v="1"/>
    <x v="1"/>
    <x v="0"/>
    <n v="14639"/>
    <n v="3064"/>
    <n v="12"/>
    <x v="3"/>
    <x v="17"/>
    <x v="15"/>
    <s v="WR1:KC"/>
    <s v="WR2:WAS"/>
    <s v="TE1:KC"/>
    <s v="RB3:KC"/>
    <s v="RB3:WAS"/>
    <m/>
    <x v="1"/>
    <n v="56500"/>
    <n v="72.819999999999993"/>
    <n v="85.5"/>
    <n v="116.24"/>
    <s v="121993-57439:Patrick Mahomes"/>
    <s v="121993-111311:Rashee Rice"/>
    <s v="121993-56250:Terry McLaurin"/>
    <s v="121993-33076:Travis Kelce"/>
    <s v="121993-45229:Kareem Hunt"/>
    <s v="121993-56648:Jeremy McNichols"/>
  </r>
  <r>
    <n v="416.67"/>
    <n v="3"/>
    <s v="QB:BAL"/>
    <n v="1"/>
    <n v="0"/>
    <x v="1"/>
    <x v="1"/>
    <x v="0"/>
    <n v="5640"/>
    <n v="1291"/>
    <n v="12"/>
    <x v="4"/>
    <x v="11"/>
    <x v="24"/>
    <s v="RB1:BAL"/>
    <s v="WR2:MIA"/>
    <s v="TE1:BAL"/>
    <s v="D:BAL"/>
    <s v="TE3:BAL"/>
    <m/>
    <x v="3"/>
    <n v="59600"/>
    <n v="60.41"/>
    <n v="72.2"/>
    <n v="105.04"/>
    <s v="122149-63115:Lamar Jackson"/>
    <s v="122149-39280:Derrick Henry"/>
    <s v="122149-90573:Jaylen Waddle"/>
    <s v="122149-52436:Mark Andrews"/>
    <s v="122149-12555:Baltimore Ravens"/>
    <s v="122149-85635:Charlie Kolar"/>
  </r>
  <r>
    <n v="500"/>
    <n v="1"/>
    <s v="WR1:SEA"/>
    <n v="0"/>
    <n v="1"/>
    <x v="1"/>
    <x v="1"/>
    <x v="0"/>
    <n v="1"/>
    <n v="1"/>
    <n v="12"/>
    <x v="1"/>
    <x v="18"/>
    <x v="25"/>
    <s v="WR1:SEA"/>
    <s v="WR2:SEA"/>
    <s v="QB:WAS"/>
    <s v="RB3:WAS"/>
    <s v="WR4:SEA"/>
    <m/>
    <x v="1"/>
    <n v="50800"/>
    <n v="66.2"/>
    <n v="74.7"/>
    <n v="127.82"/>
    <s v="122368-63589:Sam Darnold"/>
    <s v="122368-129458:Jaxon Smith-Njigba"/>
    <s v="122368-134837:Tory Horton"/>
    <s v="122368-102785:Jayden Daniels"/>
    <s v="122368-87127:Chris Rodriguez Jr."/>
    <s v="122368-92890:Cody White"/>
  </r>
  <r>
    <n v="800"/>
    <n v="1"/>
    <s v="QB:DAL"/>
    <n v="0"/>
    <n v="1"/>
    <x v="0"/>
    <x v="6"/>
    <x v="0"/>
    <n v="13640"/>
    <n v="2832"/>
    <n v="14"/>
    <x v="6"/>
    <x v="1"/>
    <x v="26"/>
    <s v="QB:DAL"/>
    <s v="QB:ARI"/>
    <s v="TE:ARI"/>
    <s v="D:DAL"/>
    <s v="D:ARI"/>
    <m/>
    <x v="2"/>
    <n v="58900"/>
    <n v="62.43"/>
    <n v="67.05"/>
    <n v="111.89"/>
    <s v="122371-152651:Marvin Harrison Jr."/>
    <s v="122371-31716:Dak Prescott"/>
    <s v="122371-30231:Jacoby Brissett"/>
    <s v="122371-91750:Trey McBride"/>
    <s v="122371-12530:Dallas Cowboys"/>
    <s v="122371-12546:Arizona Cardinals"/>
  </r>
  <r>
    <n v="800"/>
    <n v="1"/>
    <s v="QB:DEN"/>
    <n v="0"/>
    <n v="1"/>
    <x v="1"/>
    <x v="9"/>
    <x v="0"/>
    <n v="11961"/>
    <n v="2457"/>
    <n v="12"/>
    <x v="0"/>
    <x v="4"/>
    <x v="27"/>
    <s v="QB:DEN"/>
    <s v="RB1:LV"/>
    <s v="WR2:DEN"/>
    <s v="D:LV"/>
    <s v="WR2:LV"/>
    <m/>
    <x v="0"/>
    <n v="54200"/>
    <n v="57.18"/>
    <n v="61.05"/>
    <n v="72"/>
    <s v="122490-12531:Denver Broncos"/>
    <s v="122490-102965:Bo Nix"/>
    <s v="122490-167031:Ashton Jeanty"/>
    <s v="122490-151903:Troy Franklin"/>
    <s v="122490-12537:Las Vegas Raiders"/>
    <s v="122490-27050:Tyler Locke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27574-7E05-49A2-899E-EFF9B6B3BA1E}" name="PivotTable1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33" rowHeaderCaption="Key">
  <location ref="Q2:S12" firstHeaderRow="1" firstDataRow="1" firstDataCol="2"/>
  <pivotFields count="3">
    <pivotField name="Key"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name="Key 2"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</pivotFields>
  <rowFields count="2">
    <field x="0"/>
    <field x="1"/>
  </rowFields>
  <rowItems count="10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>
      <x v="2"/>
      <x v="8"/>
    </i>
    <i t="grand">
      <x/>
    </i>
  </rowItems>
  <colItems count="1">
    <i/>
  </colItems>
  <dataFields count="1">
    <dataField name="Count" fld="2" subtotal="count" baseField="1" baseItem="0"/>
  </dataFields>
  <chartFormats count="1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unt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ro_2025.xlsx!tretro1">
        <x15:activeTabTopLevelEntity name="[tretr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60D7E-01F5-4B38-BABC-8DDA21E1A2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S Key">
  <location ref="J17:K37" firstHeaderRow="1" firstDataRow="1" firstDataCol="1"/>
  <pivotFields count="32">
    <pivotField numFmtId="4" showAll="0"/>
    <pivotField showAll="0"/>
    <pivotField showAll="0"/>
    <pivotField showAll="0"/>
    <pivotField showAll="0"/>
    <pivotField showAll="0"/>
    <pivotField showAll="0">
      <items count="11">
        <item x="9"/>
        <item x="1"/>
        <item x="0"/>
        <item x="4"/>
        <item x="5"/>
        <item x="3"/>
        <item x="8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21">
        <item x="7"/>
        <item x="1"/>
        <item x="4"/>
        <item x="0"/>
        <item x="8"/>
        <item x="15"/>
        <item x="5"/>
        <item x="3"/>
        <item x="16"/>
        <item x="14"/>
        <item x="9"/>
        <item x="10"/>
        <item x="12"/>
        <item x="17"/>
        <item x="11"/>
        <item x="13"/>
        <item x="18"/>
        <item x="6"/>
        <item x="2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0"/>
        <item x="4"/>
        <item x="5"/>
        <item x="2"/>
        <item x="1"/>
        <item t="default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" fld="12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99D1F-4550-400A-88A9-C0923278F41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 rowHeaderCaption="Key">
  <location ref="G2:H6" firstHeaderRow="1" firstDataRow="1" firstDataCol="1"/>
  <pivotFields count="32"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9"/>
        <item x="1"/>
        <item x="0"/>
        <item x="4"/>
        <item x="5"/>
        <item x="3"/>
        <item x="8"/>
        <item x="7"/>
        <item x="6"/>
        <item x="2"/>
        <item t="default"/>
      </items>
    </pivotField>
    <pivotField axis="axisRow" dataField="1" compact="0" outline="0" showAll="0">
      <items count="13">
        <item x="0"/>
        <item x="1"/>
        <item x="2"/>
        <item m="1" x="3"/>
        <item m="1" x="4"/>
        <item m="1" x="9"/>
        <item m="1" x="6"/>
        <item m="1" x="5"/>
        <item m="1" x="8"/>
        <item m="1" x="11"/>
        <item m="1" x="7"/>
        <item m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3"/>
        <item x="0"/>
        <item x="4"/>
        <item x="5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7" subtotal="count" baseField="7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CBA6A-377D-417E-81DA-DA2EC619D0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rowHeaderCaption="Key">
  <location ref="R2:T19" firstHeaderRow="1" firstDataRow="1" firstDataCol="2"/>
  <pivotFields count="32"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0">
        <item x="9"/>
        <item x="1"/>
        <item x="0"/>
        <item x="4"/>
        <item x="5"/>
        <item x="3"/>
        <item x="8"/>
        <item x="7"/>
        <item x="6"/>
        <item x="2"/>
      </items>
    </pivotField>
    <pivotField axis="axisRow" compact="0" outline="0" subtotalTop="0" showAll="0" defaultSubtotal="0">
      <items count="12">
        <item m="1" x="3"/>
        <item m="1" x="4"/>
        <item m="1" x="9"/>
        <item m="1" x="6"/>
        <item m="1" x="5"/>
        <item m="1" x="8"/>
        <item m="1" x="11"/>
        <item m="1" x="7"/>
        <item m="1" x="10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axis="axisRow" dataField="1" compact="0" outline="0" showAll="0" defaultSubtotal="0">
      <items count="11">
        <item x="4"/>
        <item x="3"/>
        <item x="1"/>
        <item x="8"/>
        <item x="9"/>
        <item x="7"/>
        <item x="6"/>
        <item x="5"/>
        <item x="0"/>
        <item x="2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6">
        <item x="3"/>
        <item x="0"/>
        <item x="4"/>
        <item x="5"/>
        <item x="2"/>
        <item x="1"/>
      </items>
    </pivotField>
  </pivotFields>
  <rowFields count="2">
    <field x="7"/>
    <field x="11"/>
  </rowFields>
  <rowItems count="17"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0"/>
      <x v="1"/>
    </i>
    <i r="1">
      <x v="2"/>
    </i>
    <i r="1">
      <x v="4"/>
    </i>
    <i r="1">
      <x v="6"/>
    </i>
    <i r="1">
      <x v="7"/>
    </i>
    <i>
      <x v="11"/>
      <x v="3"/>
    </i>
    <i t="grand">
      <x/>
    </i>
  </rowItems>
  <colItems count="1">
    <i/>
  </colItems>
  <dataFields count="1">
    <dataField name="Count" fld="11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6A80F-C986-4044-9970-54BDEBDCA0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Key">
  <location ref="G2:H14" firstHeaderRow="1" firstDataRow="1" firstDataCol="1"/>
  <pivotFields count="32">
    <pivotField numFmtId="4" showAll="0"/>
    <pivotField showAll="0"/>
    <pivotField showAll="0"/>
    <pivotField showAll="0"/>
    <pivotField showAll="0"/>
    <pivotField showAll="0"/>
    <pivotField showAll="0">
      <items count="11">
        <item x="9"/>
        <item x="1"/>
        <item x="0"/>
        <item x="4"/>
        <item x="5"/>
        <item x="3"/>
        <item x="8"/>
        <item x="7"/>
        <item x="6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4"/>
        <item x="3"/>
        <item x="1"/>
        <item x="8"/>
        <item x="9"/>
        <item x="7"/>
        <item x="6"/>
        <item x="5"/>
        <item x="0"/>
        <item x="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0"/>
        <item x="4"/>
        <item x="5"/>
        <item x="2"/>
        <item x="1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" fld="11" subtotal="count" baseField="1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64267-FDBB-4773-A3F2-751ECC0E60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oints Rank">
  <location ref="G19:H24" firstHeaderRow="1" firstDataRow="1" firstDataCol="1"/>
  <pivotFields count="32">
    <pivotField numFmtId="4" showAll="0"/>
    <pivotField showAll="0"/>
    <pivotField showAll="0"/>
    <pivotField showAll="0"/>
    <pivotField showAll="0"/>
    <pivotField axis="axisRow" dataField="1" showAll="0">
      <items count="5">
        <item x="1"/>
        <item x="0"/>
        <item x="3"/>
        <item x="2"/>
        <item t="default"/>
      </items>
    </pivotField>
    <pivotField showAll="0">
      <items count="11">
        <item x="9"/>
        <item x="1"/>
        <item x="0"/>
        <item x="4"/>
        <item x="5"/>
        <item x="3"/>
        <item x="8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0"/>
        <item x="4"/>
        <item x="5"/>
        <item x="2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5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48D4A-DA1E-42E4-AC03-2F643C2078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2" rowHeaderCaption="Player">
  <location ref="Q2:T9" firstHeaderRow="1" firstDataRow="1" firstDataCol="3"/>
  <pivotFields count="32">
    <pivotField compact="0" numFmtId="4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ascending">
      <items count="11">
        <item sd="0" x="9"/>
        <item sd="0" x="1"/>
        <item sd="0" x="0"/>
        <item sd="0" x="4"/>
        <item sd="0" x="5"/>
        <item sd="0" x="3"/>
        <item sd="0" x="8"/>
        <item sd="0" x="7"/>
        <item sd="0" x="6"/>
        <item sd="0" x="2"/>
        <item t="default" sd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sortType="ascending">
      <items count="30">
        <item x="27"/>
        <item x="10"/>
        <item x="24"/>
        <item x="3"/>
        <item x="11"/>
        <item x="12"/>
        <item x="15"/>
        <item x="1"/>
        <item x="13"/>
        <item x="25"/>
        <item x="6"/>
        <item x="0"/>
        <item x="16"/>
        <item x="5"/>
        <item x="7"/>
        <item x="17"/>
        <item x="20"/>
        <item x="19"/>
        <item x="9"/>
        <item x="8"/>
        <item x="4"/>
        <item x="23"/>
        <item x="18"/>
        <item x="26"/>
        <item x="22"/>
        <item x="14"/>
        <item x="21"/>
        <item x="2"/>
        <item m="1" x="2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sd="0" x="3"/>
        <item sd="0" x="0"/>
        <item n="RB" sd="0" x="4"/>
        <item n="TE" sd="0" x="5"/>
        <item sd="0" x="2"/>
        <item sd="0" x="1"/>
        <item t="default" sd="0"/>
      </items>
    </pivotField>
  </pivotFields>
  <rowFields count="3">
    <field x="31"/>
    <field x="6"/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4A014-D775-48A6-8108-F00E686C03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am Count">
  <location ref="B15:C20" firstHeaderRow="1" firstDataRow="1" firstDataCol="1"/>
  <pivotFields count="32">
    <pivotField numFmtId="4" showAll="0"/>
    <pivotField showAll="0"/>
    <pivotField showAll="0"/>
    <pivotField showAll="0"/>
    <pivotField showAll="0"/>
    <pivotField showAll="0"/>
    <pivotField showAll="0">
      <items count="11">
        <item x="9"/>
        <item x="1"/>
        <item x="0"/>
        <item x="4"/>
        <item x="5"/>
        <item x="3"/>
        <item x="8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0"/>
        <item x="4"/>
        <item x="5"/>
        <item x="2"/>
        <item x="1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20" subtotal="count" baseField="18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66011-1FE9-42B2-BDD4-6F637B637E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2:R31" firstHeaderRow="1" firstDataRow="1" firstDataCol="3"/>
  <pivotFields count="32">
    <pivotField compact="0" numFmtId="4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10">
        <item x="1"/>
        <item x="0"/>
        <item x="4"/>
        <item x="5"/>
        <item x="3"/>
        <item x="8"/>
        <item x="7"/>
        <item x="6"/>
        <item x="2"/>
        <item x="9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Pos + Team" axis="axisRow" dataField="1" compact="0" outline="0" showAll="0" defaultSubtotal="0">
      <items count="29">
        <item x="10"/>
        <item x="24"/>
        <item x="3"/>
        <item x="11"/>
        <item x="12"/>
        <item x="15"/>
        <item x="1"/>
        <item x="13"/>
        <item x="6"/>
        <item x="0"/>
        <item x="16"/>
        <item x="5"/>
        <item x="7"/>
        <item x="17"/>
        <item x="20"/>
        <item x="19"/>
        <item x="9"/>
        <item x="8"/>
        <item x="4"/>
        <item x="23"/>
        <item x="18"/>
        <item x="22"/>
        <item x="14"/>
        <item x="21"/>
        <item x="2"/>
        <item m="1" x="28"/>
        <item x="25"/>
        <item x="26"/>
        <item x="2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">
        <item x="0"/>
        <item x="4"/>
        <item x="5"/>
        <item x="2"/>
        <item x="1"/>
        <item x="3"/>
      </items>
    </pivotField>
  </pivotFields>
  <rowFields count="3">
    <field x="31"/>
    <field x="6"/>
    <field x="13"/>
  </rowFields>
  <rowItems count="29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26"/>
    </i>
    <i>
      <x v="1"/>
      <x v="1"/>
      <x v="9"/>
    </i>
    <i r="2">
      <x v="10"/>
    </i>
    <i r="1">
      <x v="2"/>
      <x v="11"/>
    </i>
    <i r="2">
      <x v="12"/>
    </i>
    <i r="2">
      <x v="13"/>
    </i>
    <i r="2">
      <x v="14"/>
    </i>
    <i r="2">
      <x v="15"/>
    </i>
    <i r="1">
      <x v="3"/>
      <x v="16"/>
    </i>
    <i r="2">
      <x v="17"/>
    </i>
    <i>
      <x v="2"/>
      <x v="4"/>
      <x v="18"/>
    </i>
    <i r="1">
      <x v="5"/>
      <x v="19"/>
    </i>
    <i r="1">
      <x v="6"/>
      <x v="20"/>
    </i>
    <i>
      <x v="3"/>
      <x v="7"/>
      <x v="21"/>
    </i>
    <i r="2">
      <x v="22"/>
    </i>
    <i r="2">
      <x v="23"/>
    </i>
    <i r="2">
      <x v="27"/>
    </i>
    <i>
      <x v="4"/>
      <x v="8"/>
      <x v="24"/>
    </i>
    <i>
      <x v="5"/>
      <x v="9"/>
      <x v="28"/>
    </i>
    <i t="grand">
      <x/>
    </i>
  </rowItems>
  <colItems count="1">
    <i/>
  </colItems>
  <dataFields count="1">
    <dataField name="Count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DDF491F-25CA-4EA3-ADB2-CCD57D05F153}" autoFormatId="16" applyNumberFormats="0" applyBorderFormats="0" applyFontFormats="0" applyPatternFormats="0" applyAlignmentFormats="0" applyWidthHeightFormats="0">
  <queryTableRefresh nextId="29">
    <queryTableFields count="28">
      <queryTableField id="1" name="tRetro[Winnings]" tableColumnId="1"/>
      <queryTableField id="2" name="tRetro[Winners]" tableColumnId="2"/>
      <queryTableField id="3" name="tRetro[HS_Pos]" tableColumnId="3"/>
      <queryTableField id="4" name="tRetro[HS_MVP]" tableColumnId="4"/>
      <queryTableField id="5" name="tRetro[MVP_Rank]" tableColumnId="5"/>
      <queryTableField id="6" name="tRetro[ID]" tableColumnId="6"/>
      <queryTableField id="7" name="tRetro[GroupID]" tableColumnId="7"/>
      <queryTableField id="8" name="tRetro[key]" tableColumnId="8"/>
      <queryTableField id="9" name="tRetro[mvp_salary_rank]" tableColumnId="9"/>
      <queryTableField id="10" name="tRetro[l_salary_rank]" tableColumnId="10"/>
      <queryTableField id="11" name="tRetro[MVP_pos]" tableColumnId="11"/>
      <queryTableField id="12" name="tRetro[p2_pos]" tableColumnId="12"/>
      <queryTableField id="13" name="tRetro[p3_pos]" tableColumnId="13"/>
      <queryTableField id="14" name="tRetro[p4_pos]" tableColumnId="14"/>
      <queryTableField id="15" name="tRetro[p5_pos]" tableColumnId="15"/>
      <queryTableField id="16" name="tRetro[p6_pos]" tableColumnId="16"/>
      <queryTableField id="17" name="tRetro[select]" tableColumnId="17"/>
      <queryTableField id="18" name="tRetro[team_cnt]" tableColumnId="18"/>
      <queryTableField id="19" name="tRetro[total_salary]" tableColumnId="19"/>
      <queryTableField id="20" name="tRetro[total_fppg]" tableColumnId="20"/>
      <queryTableField id="21" name="tRetro[total_ppts]" tableColumnId="21"/>
      <queryTableField id="22" name="tRetro[total_pts]" tableColumnId="22"/>
      <queryTableField id="23" name="tRetro[MVP_name]" tableColumnId="23"/>
      <queryTableField id="24" name="tRetro[p2_name]" tableColumnId="24"/>
      <queryTableField id="25" name="tRetro[p3_name]" tableColumnId="25"/>
      <queryTableField id="26" name="tRetro[p4_name]" tableColumnId="26"/>
      <queryTableField id="27" name="tRetro[p5_name]" tableColumnId="27"/>
      <queryTableField id="28" name="tRetro[p6_name]" tableColumnId="2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74574-01ED-4229-8E97-48ED7F593923}" name="Table_ExternalData_1" displayName="Table_ExternalData_1" ref="A3:AB9" tableType="queryTable" totalsRowShown="0">
  <autoFilter ref="A3:AB9" xr:uid="{CAE74574-01ED-4229-8E97-48ED7F593923}"/>
  <tableColumns count="28">
    <tableColumn id="1" xr3:uid="{9900A05F-71F0-4CA6-AB84-D1375E12F905}" uniqueName="1" name="tRetro[Winnings]" queryTableFieldId="1"/>
    <tableColumn id="2" xr3:uid="{A0455972-6E78-4727-B565-F92E7CE40FC6}" uniqueName="2" name="tRetro[Winners]" queryTableFieldId="2"/>
    <tableColumn id="3" xr3:uid="{D56C0FC9-6F8B-4EFB-ABE8-C4BE92379D54}" uniqueName="3" name="tRetro[HS_Pos]" queryTableFieldId="3"/>
    <tableColumn id="4" xr3:uid="{F91F8B25-D544-486A-A894-AAE53E681800}" uniqueName="4" name="tRetro[HS_MVP]" queryTableFieldId="4"/>
    <tableColumn id="5" xr3:uid="{DAF6351A-B7B7-47F7-B376-64473088BB27}" uniqueName="5" name="tRetro[MVP_Rank]" queryTableFieldId="5"/>
    <tableColumn id="6" xr3:uid="{93A8CA96-70AC-4127-8EF2-29CCAD4BDAE5}" uniqueName="6" name="tRetro[ID]" queryTableFieldId="6"/>
    <tableColumn id="7" xr3:uid="{66583FFA-63AF-4219-B040-AB3184A437B3}" uniqueName="7" name="tRetro[GroupID]" queryTableFieldId="7"/>
    <tableColumn id="8" xr3:uid="{9BD2E72A-E539-4B7A-86F5-BEB57C99A06A}" uniqueName="8" name="tRetro[key]" queryTableFieldId="8"/>
    <tableColumn id="9" xr3:uid="{278DC8E4-C858-4932-A741-5CD1A3434320}" uniqueName="9" name="tRetro[mvp_salary_rank]" queryTableFieldId="9"/>
    <tableColumn id="10" xr3:uid="{57EE199E-6CDC-4351-9734-7BEC0D8C95DF}" uniqueName="10" name="tRetro[l_salary_rank]" queryTableFieldId="10"/>
    <tableColumn id="11" xr3:uid="{FA45ACB3-044D-4C11-B976-8C445C398A0D}" uniqueName="11" name="tRetro[MVP_pos]" queryTableFieldId="11"/>
    <tableColumn id="12" xr3:uid="{E966E12D-9707-49DA-99A2-1C7FA6613BB3}" uniqueName="12" name="tRetro[p2_pos]" queryTableFieldId="12"/>
    <tableColumn id="13" xr3:uid="{496512C6-AC9B-478F-9DBC-576E25AD0EE0}" uniqueName="13" name="tRetro[p3_pos]" queryTableFieldId="13"/>
    <tableColumn id="14" xr3:uid="{BBCB3BC4-BE31-4A02-AFEA-4F8DE471FFED}" uniqueName="14" name="tRetro[p4_pos]" queryTableFieldId="14"/>
    <tableColumn id="15" xr3:uid="{EC9C7835-2EC1-4DEB-8B00-9ED958342324}" uniqueName="15" name="tRetro[p5_pos]" queryTableFieldId="15"/>
    <tableColumn id="16" xr3:uid="{B1757ED5-0D67-45FF-A471-FFDE34696B9D}" uniqueName="16" name="tRetro[p6_pos]" queryTableFieldId="16"/>
    <tableColumn id="17" xr3:uid="{20FD5918-2D90-4D1E-A710-F4F31207E5D9}" uniqueName="17" name="tRetro[select]" queryTableFieldId="17"/>
    <tableColumn id="18" xr3:uid="{C59AF6F3-1980-4CFF-B605-BB3C9782304C}" uniqueName="18" name="tRetro[team_cnt]" queryTableFieldId="18"/>
    <tableColumn id="19" xr3:uid="{440B4195-34BA-4EA9-9DAC-C5D1530D30B1}" uniqueName="19" name="tRetro[total_salary]" queryTableFieldId="19"/>
    <tableColumn id="20" xr3:uid="{FA9A7FCB-0CBC-4163-87EA-FA1945A77BBD}" uniqueName="20" name="tRetro[total_fppg]" queryTableFieldId="20"/>
    <tableColumn id="21" xr3:uid="{0846CBCE-34B4-4975-A240-6185871A64B4}" uniqueName="21" name="tRetro[total_ppts]" queryTableFieldId="21"/>
    <tableColumn id="22" xr3:uid="{03CCD043-DA42-4FDA-9344-485CC2F30592}" uniqueName="22" name="tRetro[total_pts]" queryTableFieldId="22"/>
    <tableColumn id="23" xr3:uid="{CE3886A4-C0E3-4A03-A4AA-FE6D0BFA6777}" uniqueName="23" name="tRetro[MVP_name]" queryTableFieldId="23"/>
    <tableColumn id="24" xr3:uid="{CB72C320-67CC-4AE6-B9DB-374E998E04C5}" uniqueName="24" name="tRetro[p2_name]" queryTableFieldId="24"/>
    <tableColumn id="25" xr3:uid="{82643529-63FC-4D3F-BF2C-E47A6321601A}" uniqueName="25" name="tRetro[p3_name]" queryTableFieldId="25"/>
    <tableColumn id="26" xr3:uid="{43A391F6-99F9-4998-9818-B792169C6725}" uniqueName="26" name="tRetro[p4_name]" queryTableFieldId="26"/>
    <tableColumn id="27" xr3:uid="{A498ED0C-2B08-4E3B-B609-12F034463ADE}" uniqueName="27" name="tRetro[p5_name]" queryTableFieldId="27"/>
    <tableColumn id="28" xr3:uid="{A5888B81-EBC2-4601-ADF1-42073DBB0D03}" uniqueName="28" name="tRetro[p6_name]" queryTableField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13D29-8EC9-4A4D-ADB1-D0D84CAF154A}" name="Table1" displayName="Table1" ref="A1:AF34" totalsRowShown="0" headerRowDxfId="47">
  <autoFilter ref="A1:AF34" xr:uid="{5EF13D29-8EC9-4A4D-ADB1-D0D84CAF154A}"/>
  <tableColumns count="32">
    <tableColumn id="1" xr3:uid="{D2AA0CDD-D609-4F29-A891-5B2A9B97B638}" name="Winnings"/>
    <tableColumn id="2" xr3:uid="{951CDDCB-E748-4FBA-BC57-9BC6CB4ABD61}" name="Winners"/>
    <tableColumn id="32" xr3:uid="{C9B46930-60A5-4A52-A107-30CA389A4430}" name="Place"/>
    <tableColumn id="3" xr3:uid="{96316C00-9998-4DEC-93B0-2A0C771E2793}" name="HS Position"/>
    <tableColumn id="4" xr3:uid="{EFF99116-80B7-47B5-A377-CCBE51772AED}" name="HS MVP">
      <calculatedColumnFormula>COUNTIF(Retro!$I2,Retro!$M2)</calculatedColumnFormula>
    </tableColumn>
    <tableColumn id="5" xr3:uid="{F8284C57-8CD4-4C8E-9CBC-0015B3198933}" name="HS Wins">
      <calculatedColumnFormula>COUNTIF(Retro!$I2,"&lt;&gt;"&amp;Retro!$M2)</calculatedColumnFormula>
    </tableColumn>
    <tableColumn id="6" xr3:uid="{082E3E39-C3ED-495A-A992-2A8BE58C2DD0}" name="MVP Pts Rank"/>
    <tableColumn id="7" xr3:uid="{D409B8A2-BC75-49E9-A374-2C6980818423}" name="MVP Position">
      <calculatedColumnFormula>MID(Retro!$O2,1,FIND(":",Retro!$O2)-1)</calculatedColumnFormula>
    </tableColumn>
    <tableColumn id="8" xr3:uid="{D7B7A405-880A-4B7E-B73D-1B3844125CCA}" name="Key">
      <calculatedColumnFormula>INT(MID(Retro!$L2,1,1))</calculatedColumnFormula>
    </tableColumn>
    <tableColumn id="9" xr3:uid="{75CDC988-398A-4189-9108-EA5EF84E1335}" name="ID"/>
    <tableColumn id="10" xr3:uid="{9E30B069-EB8A-404D-866E-29C5DAB8729E}" name="GroupID"/>
    <tableColumn id="11" xr3:uid="{CCB4204E-6D74-4BCD-B5B6-C27A56377417}" name="Key 2"/>
    <tableColumn id="12" xr3:uid="{20B644B6-92D2-4DC4-B911-9A84DB47B5B7}" name="MVP Key"/>
    <tableColumn id="13" xr3:uid="{572817D3-2BEC-4DCE-91F6-3C5FC846653A}" name="LS Key"/>
    <tableColumn id="14" xr3:uid="{9E1D53EF-F725-4431-B8F4-DA7C031DCD79}" name="MVP_pos"/>
    <tableColumn id="15" xr3:uid="{EF3C461F-46F6-4F2D-85AB-2F7C7A60EEA2}" name="p2_pos"/>
    <tableColumn id="16" xr3:uid="{3DEE2904-D5B6-43B4-864C-F09958F74768}" name="p3_pos"/>
    <tableColumn id="17" xr3:uid="{13D815FB-8D77-4790-A9AC-6D9A5EAB42A4}" name="p4_pos"/>
    <tableColumn id="18" xr3:uid="{EB109324-CF55-4C0E-AFB5-DEBF63524150}" name="p5_pos"/>
    <tableColumn id="19" xr3:uid="{39EFB619-2AF8-434A-9291-7481D96F0AA2}" name="p6_pos"/>
    <tableColumn id="20" xr3:uid="{CE98FCC7-0281-4E23-923E-8171C18E6202}" name="select"/>
    <tableColumn id="21" xr3:uid="{1D4B9C5C-91B3-4F6B-81D2-13A724A78BAA}" name="team_cnt"/>
    <tableColumn id="22" xr3:uid="{A2BB7EBB-091E-4D18-A55E-212606AB1029}" name="total_salary"/>
    <tableColumn id="23" xr3:uid="{965DD33A-00FC-441D-95F8-32CEB1F4FC95}" name="total_fppg"/>
    <tableColumn id="24" xr3:uid="{F413AA09-175F-48CC-BC9E-199A7090991B}" name="total_ppts"/>
    <tableColumn id="25" xr3:uid="{5D204393-992D-45BD-BC27-898D5CF4BBB8}" name="total_fpts"/>
    <tableColumn id="26" xr3:uid="{A3077B78-188A-4B00-AEE5-267F529246DF}" name="MVP_name"/>
    <tableColumn id="27" xr3:uid="{B55AB829-EC6F-41BC-B14F-9572A34D4854}" name="p2_name"/>
    <tableColumn id="28" xr3:uid="{B87B6D31-0FB3-496D-8FB5-8466ACAA61DD}" name="p3_name"/>
    <tableColumn id="29" xr3:uid="{8638B7F1-6743-4B86-9505-912E186D57F9}" name="p4_name"/>
    <tableColumn id="30" xr3:uid="{292A595A-A72C-41DF-855C-96103A3F01CE}" name="p5_name"/>
    <tableColumn id="31" xr3:uid="{C2117573-44D9-4902-820D-27A9E1CDA2DD}" name="p6_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264086-7BC5-42E2-AA25-9A4C16A77374}" name="tPositionMatrix" displayName="tPositionMatrix" ref="A1:T35" totalsRowCount="1" headerRowDxfId="46" dataDxfId="45" totalsRowDxfId="44">
  <autoFilter ref="A1:T34" xr:uid="{CB264086-7BC5-42E2-AA25-9A4C16A77374}"/>
  <tableColumns count="20">
    <tableColumn id="1" xr3:uid="{DFDD9EE6-32DA-48A0-AD42-31F50B96249F}" name="MVP" totalsRowFunction="count" dataDxfId="43" totalsRowDxfId="42"/>
    <tableColumn id="2" xr3:uid="{B9ABA996-39DD-49BD-9BE5-4A2B156287F7}" name="D" totalsRowFunction="count" dataDxfId="41" totalsRowDxfId="40"/>
    <tableColumn id="3" xr3:uid="{0869948F-49F8-43F4-984E-EB5EBAB53467}" name="D2" totalsRowFunction="count" dataDxfId="39" totalsRowDxfId="38"/>
    <tableColumn id="4" xr3:uid="{D9518A54-A717-439D-88F2-039D1254BA96}" name="K" totalsRowFunction="count" dataDxfId="37" totalsRowDxfId="36"/>
    <tableColumn id="5" xr3:uid="{3C6C9D69-4926-4F00-834F-22157AAEA17A}" name="K2" totalsRowFunction="count" dataDxfId="35" totalsRowDxfId="34"/>
    <tableColumn id="6" xr3:uid="{0B5FE4A7-B566-4CB2-B85F-7C41231FD249}" name="QB" totalsRowFunction="count" dataDxfId="33" totalsRowDxfId="32"/>
    <tableColumn id="7" xr3:uid="{7D72277A-6910-4649-8596-8BFE5D985210}" name="QB1" totalsRowFunction="count" dataDxfId="31" totalsRowDxfId="30"/>
    <tableColumn id="8" xr3:uid="{37390652-7FB1-44F8-BE50-7005BB8D660C}" name="QB2" totalsRowFunction="count" dataDxfId="29" totalsRowDxfId="28"/>
    <tableColumn id="9" xr3:uid="{9BC9FDCC-8E9A-4D89-ADDA-BE4401596F26}" name="RB" totalsRowFunction="count" dataDxfId="27" totalsRowDxfId="26"/>
    <tableColumn id="10" xr3:uid="{1A9FACFF-6B01-4DA1-A536-9ECE1E391D55}" name="RB1" totalsRowFunction="count" dataDxfId="25" totalsRowDxfId="24"/>
    <tableColumn id="11" xr3:uid="{DB3BFD8A-5848-4D46-A567-EC2EF609EE35}" name="RB2" totalsRowFunction="count" dataDxfId="23" totalsRowDxfId="22"/>
    <tableColumn id="12" xr3:uid="{D8E77E84-6F05-4351-9B6A-19C0CA9F8D91}" name="TE" totalsRowFunction="count" dataDxfId="21" totalsRowDxfId="20"/>
    <tableColumn id="13" xr3:uid="{2D64C90C-A395-4453-85F3-132E58ADCE21}" name="TE2" totalsRowFunction="count" dataDxfId="19" totalsRowDxfId="18"/>
    <tableColumn id="14" xr3:uid="{4622AAC3-650A-4D5B-B3D5-361A6F503318}" name="WR1" totalsRowFunction="count" dataDxfId="17" totalsRowDxfId="16"/>
    <tableColumn id="15" xr3:uid="{C89312D8-F344-482E-9451-87092AA7A956}" name="WR12" totalsRowFunction="count" dataDxfId="15" totalsRowDxfId="14"/>
    <tableColumn id="16" xr3:uid="{BF0B4145-9588-426B-AC1C-E0269FFB21C2}" name="WR2" totalsRowFunction="count" dataDxfId="13" totalsRowDxfId="12"/>
    <tableColumn id="17" xr3:uid="{EF50CD25-8213-4183-8E7F-F018B007206F}" name="WR22" totalsRowFunction="count" dataDxfId="11" totalsRowDxfId="10"/>
    <tableColumn id="18" xr3:uid="{86E44340-4434-46E5-8B77-4ABB587BA7C4}" name="WR3" totalsRowFunction="count" dataDxfId="9" totalsRowDxfId="8"/>
    <tableColumn id="19" xr3:uid="{81F29627-0828-46FC-860A-D3C074F32915}" name="WR32" totalsRowFunction="count" dataDxfId="7" totalsRowDxfId="6"/>
    <tableColumn id="20" xr3:uid="{12BD2881-5612-4A57-9C57-BDF6FC575346}" name="WR4" totalsRowFunction="count" dataDxfId="5" totalsRow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1828-267B-44FD-80B2-AB09BF06A5D1}">
  <sheetPr codeName="Sheet12"/>
  <dimension ref="A1:AB9"/>
  <sheetViews>
    <sheetView workbookViewId="0">
      <selection activeCell="G18" sqref="G18"/>
    </sheetView>
  </sheetViews>
  <sheetFormatPr defaultRowHeight="14.25" x14ac:dyDescent="0.45"/>
  <cols>
    <col min="1" max="1" width="16.9296875" bestFit="1" customWidth="1"/>
    <col min="2" max="2" width="16.1328125" bestFit="1" customWidth="1"/>
    <col min="3" max="3" width="15.265625" bestFit="1" customWidth="1"/>
    <col min="4" max="4" width="16.19921875" bestFit="1" customWidth="1"/>
    <col min="5" max="5" width="18.06640625" bestFit="1" customWidth="1"/>
    <col min="6" max="6" width="11" bestFit="1" customWidth="1"/>
    <col min="7" max="7" width="16.1328125" bestFit="1" customWidth="1"/>
    <col min="8" max="8" width="12.1328125" bestFit="1" customWidth="1"/>
    <col min="9" max="9" width="23.265625" bestFit="1" customWidth="1"/>
    <col min="10" max="10" width="20.06640625" bestFit="1" customWidth="1"/>
    <col min="11" max="11" width="17" bestFit="1" customWidth="1"/>
    <col min="12" max="16" width="15.265625" bestFit="1" customWidth="1"/>
    <col min="17" max="17" width="14" bestFit="1" customWidth="1"/>
    <col min="18" max="18" width="17" bestFit="1" customWidth="1"/>
    <col min="19" max="19" width="18.796875" bestFit="1" customWidth="1"/>
    <col min="20" max="20" width="17.73046875" bestFit="1" customWidth="1"/>
    <col min="21" max="21" width="17.6640625" bestFit="1" customWidth="1"/>
    <col min="22" max="22" width="16.59765625" bestFit="1" customWidth="1"/>
    <col min="23" max="23" width="25" bestFit="1" customWidth="1"/>
    <col min="24" max="24" width="28.46484375" bestFit="1" customWidth="1"/>
    <col min="25" max="25" width="26.06640625" bestFit="1" customWidth="1"/>
    <col min="26" max="26" width="29.53125" bestFit="1" customWidth="1"/>
    <col min="27" max="27" width="28.06640625" bestFit="1" customWidth="1"/>
    <col min="28" max="28" width="27.1328125" bestFit="1" customWidth="1"/>
  </cols>
  <sheetData>
    <row r="1" spans="1:28" x14ac:dyDescent="0.45">
      <c r="A1" s="52" t="s">
        <v>462</v>
      </c>
    </row>
    <row r="3" spans="1:28" x14ac:dyDescent="0.45">
      <c r="A3" t="s">
        <v>434</v>
      </c>
      <c r="B3" t="s">
        <v>435</v>
      </c>
      <c r="C3" t="s">
        <v>436</v>
      </c>
      <c r="D3" t="s">
        <v>437</v>
      </c>
      <c r="E3" t="s">
        <v>438</v>
      </c>
      <c r="F3" t="s">
        <v>439</v>
      </c>
      <c r="G3" t="s">
        <v>440</v>
      </c>
      <c r="H3" t="s">
        <v>441</v>
      </c>
      <c r="I3" t="s">
        <v>442</v>
      </c>
      <c r="J3" t="s">
        <v>443</v>
      </c>
      <c r="K3" t="s">
        <v>444</v>
      </c>
      <c r="L3" t="s">
        <v>445</v>
      </c>
      <c r="M3" t="s">
        <v>446</v>
      </c>
      <c r="N3" t="s">
        <v>447</v>
      </c>
      <c r="O3" t="s">
        <v>448</v>
      </c>
      <c r="P3" t="s">
        <v>449</v>
      </c>
      <c r="Q3" t="s">
        <v>450</v>
      </c>
      <c r="R3" t="s">
        <v>451</v>
      </c>
      <c r="S3" t="s">
        <v>452</v>
      </c>
      <c r="T3" t="s">
        <v>453</v>
      </c>
      <c r="U3" t="s">
        <v>454</v>
      </c>
      <c r="V3" t="s">
        <v>455</v>
      </c>
      <c r="W3" t="s">
        <v>456</v>
      </c>
      <c r="X3" t="s">
        <v>457</v>
      </c>
      <c r="Y3" t="s">
        <v>458</v>
      </c>
      <c r="Z3" t="s">
        <v>459</v>
      </c>
      <c r="AA3" t="s">
        <v>460</v>
      </c>
      <c r="AB3" t="s">
        <v>461</v>
      </c>
    </row>
    <row r="4" spans="1:28" x14ac:dyDescent="0.45">
      <c r="A4">
        <v>125</v>
      </c>
      <c r="B4">
        <v>5</v>
      </c>
      <c r="C4" t="s">
        <v>45</v>
      </c>
      <c r="D4">
        <v>0</v>
      </c>
      <c r="E4">
        <v>1</v>
      </c>
      <c r="F4">
        <v>27863</v>
      </c>
      <c r="G4">
        <v>5037</v>
      </c>
      <c r="H4">
        <v>13</v>
      </c>
      <c r="I4">
        <v>3</v>
      </c>
      <c r="J4">
        <v>14</v>
      </c>
      <c r="K4" t="s">
        <v>78</v>
      </c>
      <c r="L4" t="s">
        <v>45</v>
      </c>
      <c r="M4" t="s">
        <v>88</v>
      </c>
      <c r="N4" t="s">
        <v>46</v>
      </c>
      <c r="O4" t="s">
        <v>125</v>
      </c>
      <c r="P4" t="s">
        <v>14</v>
      </c>
      <c r="R4">
        <v>3</v>
      </c>
      <c r="S4">
        <v>57600</v>
      </c>
      <c r="T4">
        <v>67.69</v>
      </c>
      <c r="U4">
        <v>76.14</v>
      </c>
      <c r="V4">
        <v>137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</row>
    <row r="5" spans="1:28" x14ac:dyDescent="0.45">
      <c r="A5">
        <v>200</v>
      </c>
      <c r="B5">
        <v>2</v>
      </c>
      <c r="C5" t="s">
        <v>36</v>
      </c>
      <c r="D5">
        <v>1</v>
      </c>
      <c r="E5">
        <v>1</v>
      </c>
      <c r="F5">
        <v>14668</v>
      </c>
      <c r="G5">
        <v>2884</v>
      </c>
      <c r="H5">
        <v>13</v>
      </c>
      <c r="I5">
        <v>1</v>
      </c>
      <c r="J5">
        <v>42</v>
      </c>
      <c r="K5" t="s">
        <v>36</v>
      </c>
      <c r="L5" t="s">
        <v>97</v>
      </c>
      <c r="M5" t="s">
        <v>428</v>
      </c>
      <c r="N5" t="s">
        <v>429</v>
      </c>
      <c r="O5" t="s">
        <v>430</v>
      </c>
      <c r="P5" t="s">
        <v>431</v>
      </c>
      <c r="R5">
        <v>3</v>
      </c>
      <c r="S5">
        <v>58600</v>
      </c>
      <c r="T5">
        <v>52.9</v>
      </c>
      <c r="U5">
        <v>64.19</v>
      </c>
      <c r="V5">
        <v>96.23</v>
      </c>
      <c r="W5" t="s">
        <v>153</v>
      </c>
      <c r="X5" t="s">
        <v>154</v>
      </c>
      <c r="Y5" t="s">
        <v>155</v>
      </c>
      <c r="Z5" t="s">
        <v>156</v>
      </c>
      <c r="AA5" t="s">
        <v>157</v>
      </c>
      <c r="AB5" t="s">
        <v>384</v>
      </c>
    </row>
    <row r="6" spans="1:28" x14ac:dyDescent="0.45">
      <c r="A6">
        <v>500</v>
      </c>
      <c r="B6">
        <v>1</v>
      </c>
      <c r="C6" t="s">
        <v>25</v>
      </c>
      <c r="D6">
        <v>0</v>
      </c>
      <c r="E6">
        <v>2</v>
      </c>
      <c r="F6">
        <v>30089</v>
      </c>
      <c r="G6">
        <v>5736</v>
      </c>
      <c r="H6">
        <v>13</v>
      </c>
      <c r="I6">
        <v>3</v>
      </c>
      <c r="J6">
        <v>20</v>
      </c>
      <c r="K6" t="s">
        <v>385</v>
      </c>
      <c r="L6" t="s">
        <v>25</v>
      </c>
      <c r="M6" t="s">
        <v>104</v>
      </c>
      <c r="N6" t="s">
        <v>166</v>
      </c>
      <c r="O6" t="s">
        <v>386</v>
      </c>
      <c r="P6" t="s">
        <v>387</v>
      </c>
      <c r="R6">
        <v>4</v>
      </c>
      <c r="S6">
        <v>59400</v>
      </c>
      <c r="T6">
        <v>76.89</v>
      </c>
      <c r="U6">
        <v>93.8</v>
      </c>
      <c r="V6">
        <v>106.27</v>
      </c>
      <c r="W6" t="s">
        <v>168</v>
      </c>
      <c r="X6" t="s">
        <v>169</v>
      </c>
      <c r="Y6" t="s">
        <v>170</v>
      </c>
      <c r="Z6" t="s">
        <v>171</v>
      </c>
      <c r="AA6" t="s">
        <v>172</v>
      </c>
      <c r="AB6" t="s">
        <v>173</v>
      </c>
    </row>
    <row r="7" spans="1:28" x14ac:dyDescent="0.45">
      <c r="A7">
        <v>750</v>
      </c>
      <c r="B7">
        <v>1</v>
      </c>
      <c r="C7" t="s">
        <v>391</v>
      </c>
      <c r="D7">
        <v>0</v>
      </c>
      <c r="E7">
        <v>1</v>
      </c>
      <c r="F7">
        <v>36784</v>
      </c>
      <c r="G7">
        <v>6925</v>
      </c>
      <c r="H7">
        <v>13</v>
      </c>
      <c r="I7">
        <v>3</v>
      </c>
      <c r="J7">
        <v>23</v>
      </c>
      <c r="K7" t="s">
        <v>57</v>
      </c>
      <c r="L7" t="s">
        <v>391</v>
      </c>
      <c r="M7" t="s">
        <v>51</v>
      </c>
      <c r="N7" t="s">
        <v>196</v>
      </c>
      <c r="O7" t="s">
        <v>16</v>
      </c>
      <c r="P7" t="s">
        <v>392</v>
      </c>
      <c r="R7">
        <v>4</v>
      </c>
      <c r="S7">
        <v>59800</v>
      </c>
      <c r="T7">
        <v>56.47</v>
      </c>
      <c r="U7">
        <v>64.47</v>
      </c>
      <c r="V7">
        <v>161.44</v>
      </c>
      <c r="W7" t="s">
        <v>197</v>
      </c>
      <c r="X7" t="s">
        <v>198</v>
      </c>
      <c r="Y7" t="s">
        <v>199</v>
      </c>
      <c r="Z7" t="s">
        <v>200</v>
      </c>
      <c r="AA7" t="s">
        <v>201</v>
      </c>
      <c r="AB7" t="s">
        <v>202</v>
      </c>
    </row>
    <row r="8" spans="1:28" x14ac:dyDescent="0.45">
      <c r="A8">
        <v>500</v>
      </c>
      <c r="B8">
        <v>1</v>
      </c>
      <c r="C8" t="s">
        <v>43</v>
      </c>
      <c r="D8">
        <v>0</v>
      </c>
      <c r="E8">
        <v>1</v>
      </c>
      <c r="F8">
        <v>8942</v>
      </c>
      <c r="G8">
        <v>1883</v>
      </c>
      <c r="H8">
        <v>13</v>
      </c>
      <c r="I8">
        <v>4</v>
      </c>
      <c r="J8">
        <v>47</v>
      </c>
      <c r="K8" t="s">
        <v>61</v>
      </c>
      <c r="L8" t="s">
        <v>43</v>
      </c>
      <c r="M8" t="s">
        <v>235</v>
      </c>
      <c r="N8" t="s">
        <v>407</v>
      </c>
      <c r="O8" t="s">
        <v>432</v>
      </c>
      <c r="P8" t="s">
        <v>357</v>
      </c>
      <c r="R8">
        <v>2</v>
      </c>
      <c r="S8">
        <v>59700</v>
      </c>
      <c r="T8">
        <v>62.65</v>
      </c>
      <c r="U8">
        <v>68.75</v>
      </c>
      <c r="V8">
        <v>139.62</v>
      </c>
      <c r="W8" t="s">
        <v>239</v>
      </c>
      <c r="X8" t="s">
        <v>242</v>
      </c>
      <c r="Y8" t="s">
        <v>241</v>
      </c>
      <c r="Z8" t="s">
        <v>243</v>
      </c>
      <c r="AA8" t="s">
        <v>240</v>
      </c>
      <c r="AB8" t="s">
        <v>408</v>
      </c>
    </row>
    <row r="9" spans="1:28" x14ac:dyDescent="0.45">
      <c r="A9">
        <v>166.67</v>
      </c>
      <c r="B9">
        <v>3</v>
      </c>
      <c r="C9" t="s">
        <v>18</v>
      </c>
      <c r="D9">
        <v>1</v>
      </c>
      <c r="E9">
        <v>1</v>
      </c>
      <c r="F9">
        <v>18281</v>
      </c>
      <c r="G9">
        <v>3478</v>
      </c>
      <c r="H9">
        <v>13</v>
      </c>
      <c r="I9">
        <v>1</v>
      </c>
      <c r="J9">
        <v>18</v>
      </c>
      <c r="K9" t="s">
        <v>18</v>
      </c>
      <c r="L9" t="s">
        <v>37</v>
      </c>
      <c r="M9" t="s">
        <v>414</v>
      </c>
      <c r="N9" t="s">
        <v>415</v>
      </c>
      <c r="O9" t="s">
        <v>416</v>
      </c>
      <c r="P9" t="s">
        <v>417</v>
      </c>
      <c r="R9">
        <v>4</v>
      </c>
      <c r="S9">
        <v>56500</v>
      </c>
      <c r="T9">
        <v>58.59</v>
      </c>
      <c r="U9">
        <v>66.150000000000006</v>
      </c>
      <c r="V9">
        <v>118.85</v>
      </c>
      <c r="W9" t="s">
        <v>310</v>
      </c>
      <c r="X9" t="s">
        <v>311</v>
      </c>
      <c r="Y9" t="s">
        <v>312</v>
      </c>
      <c r="Z9" t="s">
        <v>313</v>
      </c>
      <c r="AA9" t="s">
        <v>314</v>
      </c>
      <c r="AB9" t="s">
        <v>315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Z38"/>
  <sheetViews>
    <sheetView workbookViewId="0">
      <selection activeCell="S3" sqref="S3"/>
    </sheetView>
  </sheetViews>
  <sheetFormatPr defaultColWidth="7.59765625" defaultRowHeight="14.25" x14ac:dyDescent="0.45"/>
  <cols>
    <col min="2" max="2" width="10.19921875" bestFit="1" customWidth="1"/>
    <col min="3" max="3" width="4.796875" bestFit="1" customWidth="1"/>
    <col min="6" max="6" width="2.59765625" customWidth="1"/>
    <col min="7" max="7" width="10.46484375" bestFit="1" customWidth="1"/>
    <col min="8" max="8" width="5.796875" bestFit="1" customWidth="1"/>
    <col min="9" max="9" width="5.59765625" bestFit="1" customWidth="1"/>
    <col min="10" max="10" width="10.46484375" bestFit="1" customWidth="1"/>
    <col min="11" max="11" width="5.796875" bestFit="1" customWidth="1"/>
    <col min="12" max="12" width="4.73046875" bestFit="1" customWidth="1"/>
    <col min="13" max="13" width="6.265625" bestFit="1" customWidth="1"/>
    <col min="14" max="14" width="10.19921875" bestFit="1" customWidth="1"/>
    <col min="16" max="16" width="2.59765625" customWidth="1"/>
    <col min="17" max="17" width="10.19921875" bestFit="1" customWidth="1"/>
    <col min="18" max="18" width="7.3984375" bestFit="1" customWidth="1"/>
    <col min="19" max="19" width="5.59765625" bestFit="1" customWidth="1"/>
    <col min="20" max="20" width="11.3984375" bestFit="1" customWidth="1"/>
  </cols>
  <sheetData>
    <row r="2" spans="7:26" x14ac:dyDescent="0.45">
      <c r="G2" s="56" t="s">
        <v>340</v>
      </c>
      <c r="H2" t="s">
        <v>482</v>
      </c>
      <c r="Q2" s="56" t="s">
        <v>340</v>
      </c>
      <c r="R2" s="56" t="s">
        <v>526</v>
      </c>
      <c r="S2" t="s">
        <v>482</v>
      </c>
    </row>
    <row r="3" spans="7:26" x14ac:dyDescent="0.45">
      <c r="G3" s="55">
        <v>1</v>
      </c>
      <c r="H3" s="53">
        <v>23</v>
      </c>
      <c r="Q3" s="55">
        <v>1</v>
      </c>
      <c r="R3" s="55">
        <v>12</v>
      </c>
      <c r="S3" s="53">
        <v>11</v>
      </c>
      <c r="V3" s="12"/>
      <c r="W3" s="12"/>
      <c r="X3" s="12"/>
    </row>
    <row r="4" spans="7:26" x14ac:dyDescent="0.45">
      <c r="G4" s="55">
        <v>2</v>
      </c>
      <c r="H4" s="53">
        <v>9</v>
      </c>
      <c r="R4" s="55">
        <v>13</v>
      </c>
      <c r="S4" s="53">
        <v>6</v>
      </c>
      <c r="V4" s="12"/>
      <c r="W4" s="12"/>
      <c r="X4" s="12"/>
    </row>
    <row r="5" spans="7:26" x14ac:dyDescent="0.45">
      <c r="G5" s="55">
        <v>3</v>
      </c>
      <c r="H5" s="53">
        <v>1</v>
      </c>
      <c r="R5" s="55">
        <v>14</v>
      </c>
      <c r="S5" s="53">
        <v>3</v>
      </c>
      <c r="U5" s="16"/>
      <c r="V5" s="12"/>
      <c r="W5" s="12"/>
      <c r="X5" s="12"/>
    </row>
    <row r="6" spans="7:26" x14ac:dyDescent="0.45">
      <c r="G6" s="55" t="s">
        <v>433</v>
      </c>
      <c r="H6" s="53">
        <v>33</v>
      </c>
      <c r="R6" s="55">
        <v>16</v>
      </c>
      <c r="S6" s="53">
        <v>2</v>
      </c>
      <c r="U6" s="16"/>
      <c r="V6" s="12"/>
      <c r="W6" s="12"/>
      <c r="X6" s="12"/>
    </row>
    <row r="7" spans="7:26" x14ac:dyDescent="0.45">
      <c r="Q7" s="55">
        <v>2</v>
      </c>
      <c r="R7" s="55">
        <v>23</v>
      </c>
      <c r="S7" s="53">
        <v>6</v>
      </c>
      <c r="U7" s="16"/>
      <c r="V7" s="12"/>
      <c r="W7" s="12"/>
      <c r="X7" s="12"/>
    </row>
    <row r="8" spans="7:26" x14ac:dyDescent="0.45">
      <c r="R8" s="55">
        <v>24</v>
      </c>
      <c r="S8" s="53">
        <v>1</v>
      </c>
      <c r="U8" s="16"/>
      <c r="V8" s="12"/>
      <c r="W8" s="12"/>
      <c r="X8" s="12"/>
    </row>
    <row r="9" spans="7:26" x14ac:dyDescent="0.45">
      <c r="R9" s="55">
        <v>27</v>
      </c>
      <c r="S9" s="53">
        <v>1</v>
      </c>
      <c r="U9" s="16"/>
      <c r="V9" s="12"/>
      <c r="W9" s="12"/>
      <c r="X9" s="12"/>
    </row>
    <row r="10" spans="7:26" x14ac:dyDescent="0.45">
      <c r="R10" s="55">
        <v>29</v>
      </c>
      <c r="S10" s="53">
        <v>1</v>
      </c>
      <c r="U10" s="16"/>
      <c r="V10" s="12"/>
      <c r="W10" s="12"/>
      <c r="X10" s="12"/>
    </row>
    <row r="11" spans="7:26" x14ac:dyDescent="0.45">
      <c r="Q11" s="55">
        <v>3</v>
      </c>
      <c r="R11" s="55">
        <v>34</v>
      </c>
      <c r="S11" s="53">
        <v>1</v>
      </c>
      <c r="U11" s="16"/>
      <c r="V11" s="12"/>
      <c r="W11" s="12"/>
      <c r="X11" s="12"/>
    </row>
    <row r="12" spans="7:26" x14ac:dyDescent="0.45">
      <c r="Q12" s="55" t="s">
        <v>433</v>
      </c>
      <c r="S12" s="53">
        <v>32</v>
      </c>
      <c r="U12" s="16"/>
      <c r="V12" s="12"/>
      <c r="W12" s="12"/>
      <c r="X12" s="12"/>
    </row>
    <row r="13" spans="7:26" x14ac:dyDescent="0.45">
      <c r="T13" s="16"/>
      <c r="U13" s="16"/>
      <c r="V13" s="12"/>
      <c r="W13" s="12"/>
      <c r="X13" s="12"/>
      <c r="Y13" s="12"/>
    </row>
    <row r="14" spans="7:26" x14ac:dyDescent="0.45">
      <c r="T14" s="16"/>
      <c r="U14" s="16"/>
      <c r="V14" s="12"/>
      <c r="W14" s="12"/>
      <c r="X14" s="12"/>
      <c r="Z14" s="16"/>
    </row>
    <row r="15" spans="7:26" x14ac:dyDescent="0.45">
      <c r="T15" s="16"/>
      <c r="U15" s="16"/>
      <c r="V15" s="12"/>
    </row>
    <row r="16" spans="7:26" x14ac:dyDescent="0.45">
      <c r="U16" s="16"/>
      <c r="V16" s="12"/>
      <c r="X16" s="12"/>
      <c r="Z16" s="16"/>
    </row>
    <row r="17" spans="2:26" x14ac:dyDescent="0.45">
      <c r="J17" s="56" t="s">
        <v>494</v>
      </c>
      <c r="K17" t="s">
        <v>482</v>
      </c>
      <c r="U17" s="16"/>
      <c r="V17" s="12"/>
      <c r="Z17" s="16"/>
    </row>
    <row r="18" spans="2:26" x14ac:dyDescent="0.45">
      <c r="J18" s="57">
        <v>12</v>
      </c>
      <c r="K18" s="53">
        <v>1</v>
      </c>
      <c r="U18" s="16"/>
      <c r="V18" s="12"/>
    </row>
    <row r="19" spans="2:26" x14ac:dyDescent="0.45">
      <c r="J19" s="57">
        <v>14</v>
      </c>
      <c r="K19" s="53">
        <v>3</v>
      </c>
      <c r="U19" s="16"/>
      <c r="V19" s="12"/>
    </row>
    <row r="20" spans="2:26" x14ac:dyDescent="0.45">
      <c r="J20" s="57">
        <v>15</v>
      </c>
      <c r="K20" s="53">
        <v>6</v>
      </c>
      <c r="U20" s="16"/>
      <c r="V20" s="12"/>
    </row>
    <row r="21" spans="2:26" x14ac:dyDescent="0.45">
      <c r="J21" s="57">
        <v>16</v>
      </c>
      <c r="K21" s="53">
        <v>2</v>
      </c>
      <c r="U21" s="16"/>
      <c r="V21" s="12"/>
    </row>
    <row r="22" spans="2:26" x14ac:dyDescent="0.45">
      <c r="J22" s="57">
        <v>17</v>
      </c>
      <c r="K22" s="53">
        <v>1</v>
      </c>
      <c r="U22" s="16"/>
      <c r="V22" s="12"/>
    </row>
    <row r="23" spans="2:26" x14ac:dyDescent="0.45">
      <c r="J23" s="57">
        <v>18</v>
      </c>
      <c r="K23" s="53">
        <v>1</v>
      </c>
      <c r="U23" s="16"/>
      <c r="V23" s="12"/>
    </row>
    <row r="24" spans="2:26" x14ac:dyDescent="0.45">
      <c r="B24" s="2"/>
      <c r="C24" s="2"/>
      <c r="D24" s="52"/>
      <c r="E24" s="2"/>
      <c r="J24" s="57">
        <v>19</v>
      </c>
      <c r="K24" s="53">
        <v>2</v>
      </c>
      <c r="O24" s="2"/>
      <c r="P24" s="2"/>
      <c r="U24" s="16"/>
      <c r="V24" s="12"/>
    </row>
    <row r="25" spans="2:26" x14ac:dyDescent="0.45">
      <c r="C25" s="51"/>
      <c r="J25" s="57">
        <v>20</v>
      </c>
      <c r="K25" s="53">
        <v>2</v>
      </c>
      <c r="U25" s="16"/>
      <c r="V25" s="12"/>
    </row>
    <row r="26" spans="2:26" x14ac:dyDescent="0.45">
      <c r="B26" s="54"/>
      <c r="C26" s="51"/>
      <c r="E26" s="51"/>
      <c r="J26" s="57">
        <v>21</v>
      </c>
      <c r="K26" s="53">
        <v>1</v>
      </c>
      <c r="U26" s="16"/>
      <c r="V26" s="12"/>
    </row>
    <row r="27" spans="2:26" x14ac:dyDescent="0.45">
      <c r="B27" s="54"/>
      <c r="C27" s="51"/>
      <c r="E27" s="51"/>
      <c r="F27" s="51"/>
      <c r="J27" s="57">
        <v>22</v>
      </c>
      <c r="K27" s="53">
        <v>1</v>
      </c>
      <c r="U27" s="16"/>
      <c r="V27" s="12"/>
    </row>
    <row r="28" spans="2:26" x14ac:dyDescent="0.45">
      <c r="B28" s="54"/>
      <c r="C28" s="51"/>
      <c r="E28" s="51"/>
      <c r="F28" s="51"/>
      <c r="J28" s="57">
        <v>23</v>
      </c>
      <c r="K28" s="53">
        <v>2</v>
      </c>
      <c r="U28" s="16"/>
      <c r="V28" s="12"/>
    </row>
    <row r="29" spans="2:26" x14ac:dyDescent="0.45">
      <c r="B29" s="54"/>
      <c r="C29" s="51"/>
      <c r="E29" s="51"/>
      <c r="F29" s="51"/>
      <c r="J29" s="57">
        <v>24</v>
      </c>
      <c r="K29" s="53">
        <v>2</v>
      </c>
      <c r="U29" s="16"/>
      <c r="V29" s="12"/>
    </row>
    <row r="30" spans="2:26" x14ac:dyDescent="0.45">
      <c r="J30" s="57">
        <v>26</v>
      </c>
      <c r="K30" s="53">
        <v>1</v>
      </c>
    </row>
    <row r="31" spans="2:26" x14ac:dyDescent="0.45">
      <c r="J31" s="57">
        <v>27</v>
      </c>
      <c r="K31" s="53">
        <v>1</v>
      </c>
    </row>
    <row r="32" spans="2:26" x14ac:dyDescent="0.45">
      <c r="J32" s="57">
        <v>31</v>
      </c>
      <c r="K32" s="53">
        <v>2</v>
      </c>
    </row>
    <row r="33" spans="10:18" x14ac:dyDescent="0.45">
      <c r="J33" s="57">
        <v>35</v>
      </c>
      <c r="K33" s="53">
        <v>1</v>
      </c>
    </row>
    <row r="34" spans="10:18" x14ac:dyDescent="0.45">
      <c r="J34" s="57">
        <v>40</v>
      </c>
      <c r="K34" s="53">
        <v>1</v>
      </c>
      <c r="N34" s="4"/>
    </row>
    <row r="35" spans="10:18" x14ac:dyDescent="0.45">
      <c r="J35" s="57">
        <v>42</v>
      </c>
      <c r="K35" s="53">
        <v>1</v>
      </c>
      <c r="N35" s="4"/>
    </row>
    <row r="36" spans="10:18" x14ac:dyDescent="0.45">
      <c r="J36" s="57">
        <v>47</v>
      </c>
      <c r="K36" s="53">
        <v>2</v>
      </c>
      <c r="N36" s="4"/>
    </row>
    <row r="37" spans="10:18" x14ac:dyDescent="0.45">
      <c r="J37" s="57" t="s">
        <v>433</v>
      </c>
      <c r="K37" s="53">
        <v>33</v>
      </c>
      <c r="N37" s="4"/>
      <c r="Q37" s="5"/>
    </row>
    <row r="38" spans="10:18" x14ac:dyDescent="0.45">
      <c r="N38" s="8"/>
      <c r="O38" s="4"/>
      <c r="R38" s="5"/>
    </row>
  </sheetData>
  <sortState xmlns:xlrd2="http://schemas.microsoft.com/office/spreadsheetml/2017/richdata2" ref="X4:AA13">
    <sortCondition ref="X3"/>
  </sortState>
  <pageMargins left="0.7" right="0.7" top="0.75" bottom="0.75" header="0.3" footer="0.3"/>
  <pageSetup orientation="portrait" horizontalDpi="0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M2:S13"/>
  <sheetViews>
    <sheetView workbookViewId="0">
      <selection activeCell="J35" sqref="J35"/>
    </sheetView>
  </sheetViews>
  <sheetFormatPr defaultRowHeight="14.25" x14ac:dyDescent="0.45"/>
  <cols>
    <col min="11" max="11" width="4.9296875" customWidth="1"/>
    <col min="13" max="13" width="10.33203125" bestFit="1" customWidth="1"/>
    <col min="14" max="14" width="9.3984375" bestFit="1" customWidth="1"/>
    <col min="15" max="15" width="10.3984375" bestFit="1" customWidth="1"/>
    <col min="16" max="16" width="10.33203125" bestFit="1" customWidth="1"/>
    <col min="17" max="17" width="9.3984375" bestFit="1" customWidth="1"/>
    <col min="18" max="18" width="9.265625" bestFit="1" customWidth="1"/>
    <col min="19" max="107" width="10.59765625" bestFit="1" customWidth="1"/>
    <col min="108" max="108" width="14" bestFit="1" customWidth="1"/>
    <col min="109" max="109" width="13.86328125" bestFit="1" customWidth="1"/>
    <col min="110" max="110" width="15.19921875" bestFit="1" customWidth="1"/>
    <col min="111" max="111" width="16.6640625" bestFit="1" customWidth="1"/>
    <col min="112" max="112" width="16.53125" bestFit="1" customWidth="1"/>
    <col min="113" max="113" width="17.9296875" bestFit="1" customWidth="1"/>
    <col min="114" max="116" width="10.59765625" bestFit="1" customWidth="1"/>
    <col min="117" max="117" width="16.6640625" bestFit="1" customWidth="1"/>
    <col min="118" max="118" width="16.53125" bestFit="1" customWidth="1"/>
    <col min="119" max="119" width="17.9296875" bestFit="1" customWidth="1"/>
    <col min="120" max="122" width="10.59765625" bestFit="1" customWidth="1"/>
    <col min="123" max="123" width="17.19921875" bestFit="1" customWidth="1"/>
    <col min="124" max="124" width="17.06640625" bestFit="1" customWidth="1"/>
    <col min="125" max="125" width="18.3984375" bestFit="1" customWidth="1"/>
    <col min="126" max="128" width="10.59765625" bestFit="1" customWidth="1"/>
    <col min="129" max="129" width="16.53125" bestFit="1" customWidth="1"/>
    <col min="130" max="130" width="16.3984375" bestFit="1" customWidth="1"/>
    <col min="131" max="131" width="17.796875" bestFit="1" customWidth="1"/>
    <col min="132" max="134" width="10.59765625" bestFit="1" customWidth="1"/>
    <col min="135" max="135" width="16.06640625" bestFit="1" customWidth="1"/>
    <col min="136" max="136" width="15.9296875" bestFit="1" customWidth="1"/>
    <col min="137" max="137" width="17.33203125" bestFit="1" customWidth="1"/>
    <col min="138" max="140" width="10.59765625" bestFit="1" customWidth="1"/>
    <col min="141" max="141" width="16.1328125" bestFit="1" customWidth="1"/>
    <col min="142" max="142" width="16" bestFit="1" customWidth="1"/>
    <col min="143" max="143" width="17.3984375" bestFit="1" customWidth="1"/>
    <col min="144" max="146" width="10.59765625" bestFit="1" customWidth="1"/>
    <col min="147" max="147" width="15.796875" bestFit="1" customWidth="1"/>
    <col min="148" max="148" width="15.6640625" bestFit="1" customWidth="1"/>
    <col min="149" max="149" width="17.06640625" bestFit="1" customWidth="1"/>
    <col min="150" max="152" width="10.59765625" bestFit="1" customWidth="1"/>
    <col min="153" max="153" width="17.1328125" bestFit="1" customWidth="1"/>
    <col min="154" max="154" width="17" bestFit="1" customWidth="1"/>
    <col min="155" max="155" width="18.33203125" bestFit="1" customWidth="1"/>
    <col min="156" max="158" width="10.59765625" bestFit="1" customWidth="1"/>
    <col min="159" max="159" width="17.19921875" bestFit="1" customWidth="1"/>
    <col min="160" max="160" width="17.06640625" bestFit="1" customWidth="1"/>
    <col min="161" max="161" width="18.3984375" bestFit="1" customWidth="1"/>
    <col min="162" max="164" width="10.59765625" bestFit="1" customWidth="1"/>
    <col min="165" max="165" width="17.53125" bestFit="1" customWidth="1"/>
    <col min="166" max="166" width="17.3984375" bestFit="1" customWidth="1"/>
    <col min="167" max="167" width="18.73046875" bestFit="1" customWidth="1"/>
    <col min="168" max="182" width="10.59765625" bestFit="1" customWidth="1"/>
    <col min="183" max="183" width="15.59765625" bestFit="1" customWidth="1"/>
    <col min="184" max="184" width="15.46484375" bestFit="1" customWidth="1"/>
    <col min="185" max="185" width="16.86328125" bestFit="1" customWidth="1"/>
    <col min="186" max="186" width="14" bestFit="1" customWidth="1"/>
    <col min="187" max="187" width="13.86328125" bestFit="1" customWidth="1"/>
    <col min="188" max="188" width="15.19921875" bestFit="1" customWidth="1"/>
    <col min="189" max="190" width="10.59765625" bestFit="1" customWidth="1"/>
    <col min="191" max="191" width="16.06640625" bestFit="1" customWidth="1"/>
    <col min="192" max="192" width="15.9296875" bestFit="1" customWidth="1"/>
    <col min="193" max="193" width="17.33203125" bestFit="1" customWidth="1"/>
    <col min="194" max="196" width="10.59765625" bestFit="1" customWidth="1"/>
    <col min="197" max="197" width="16.53125" bestFit="1" customWidth="1"/>
    <col min="198" max="198" width="16.3984375" bestFit="1" customWidth="1"/>
    <col min="199" max="199" width="17.796875" bestFit="1" customWidth="1"/>
    <col min="200" max="202" width="10.59765625" bestFit="1" customWidth="1"/>
    <col min="203" max="203" width="14.3984375" bestFit="1" customWidth="1"/>
    <col min="204" max="204" width="14.265625" bestFit="1" customWidth="1"/>
    <col min="205" max="205" width="15.59765625" bestFit="1" customWidth="1"/>
    <col min="206" max="208" width="10.59765625" bestFit="1" customWidth="1"/>
    <col min="209" max="209" width="16.6640625" bestFit="1" customWidth="1"/>
    <col min="210" max="210" width="16.53125" bestFit="1" customWidth="1"/>
    <col min="211" max="211" width="17.9296875" bestFit="1" customWidth="1"/>
    <col min="212" max="214" width="10.59765625" bestFit="1" customWidth="1"/>
    <col min="215" max="215" width="16.6640625" bestFit="1" customWidth="1"/>
    <col min="216" max="216" width="16.53125" bestFit="1" customWidth="1"/>
    <col min="217" max="217" width="17.9296875" bestFit="1" customWidth="1"/>
    <col min="218" max="220" width="10.59765625" bestFit="1" customWidth="1"/>
    <col min="221" max="221" width="16.06640625" bestFit="1" customWidth="1"/>
    <col min="222" max="222" width="15.9296875" bestFit="1" customWidth="1"/>
    <col min="223" max="223" width="17.33203125" bestFit="1" customWidth="1"/>
    <col min="224" max="226" width="10.59765625" bestFit="1" customWidth="1"/>
    <col min="227" max="227" width="16.1328125" bestFit="1" customWidth="1"/>
    <col min="228" max="228" width="16" bestFit="1" customWidth="1"/>
    <col min="229" max="229" width="17.3984375" bestFit="1" customWidth="1"/>
    <col min="230" max="232" width="10.59765625" bestFit="1" customWidth="1"/>
    <col min="233" max="233" width="17.53125" bestFit="1" customWidth="1"/>
    <col min="234" max="234" width="17.3984375" bestFit="1" customWidth="1"/>
    <col min="235" max="235" width="18.73046875" bestFit="1" customWidth="1"/>
    <col min="236" max="241" width="10.59765625" bestFit="1" customWidth="1"/>
    <col min="242" max="242" width="15.59765625" bestFit="1" customWidth="1"/>
    <col min="243" max="243" width="15.46484375" bestFit="1" customWidth="1"/>
    <col min="244" max="244" width="16.86328125" bestFit="1" customWidth="1"/>
    <col min="245" max="245" width="15.59765625" bestFit="1" customWidth="1"/>
    <col min="246" max="246" width="15.46484375" bestFit="1" customWidth="1"/>
    <col min="247" max="247" width="16.86328125" bestFit="1" customWidth="1"/>
    <col min="248" max="248" width="14" bestFit="1" customWidth="1"/>
    <col min="249" max="249" width="13.86328125" bestFit="1" customWidth="1"/>
    <col min="250" max="250" width="15.19921875" bestFit="1" customWidth="1"/>
    <col min="251" max="251" width="16.3984375" bestFit="1" customWidth="1"/>
    <col min="252" max="252" width="17.796875" bestFit="1" customWidth="1"/>
    <col min="253" max="255" width="10.59765625" bestFit="1" customWidth="1"/>
    <col min="256" max="256" width="14.3984375" bestFit="1" customWidth="1"/>
    <col min="257" max="257" width="14.265625" bestFit="1" customWidth="1"/>
    <col min="258" max="258" width="15.59765625" bestFit="1" customWidth="1"/>
    <col min="259" max="261" width="10.59765625" bestFit="1" customWidth="1"/>
    <col min="262" max="262" width="16.6640625" bestFit="1" customWidth="1"/>
    <col min="263" max="263" width="16.53125" bestFit="1" customWidth="1"/>
    <col min="264" max="264" width="17.9296875" bestFit="1" customWidth="1"/>
    <col min="265" max="267" width="10.59765625" bestFit="1" customWidth="1"/>
    <col min="268" max="268" width="16.06640625" bestFit="1" customWidth="1"/>
    <col min="269" max="269" width="15.9296875" bestFit="1" customWidth="1"/>
    <col min="270" max="270" width="17.33203125" bestFit="1" customWidth="1"/>
    <col min="271" max="273" width="10.59765625" bestFit="1" customWidth="1"/>
    <col min="274" max="274" width="16.1328125" bestFit="1" customWidth="1"/>
    <col min="275" max="275" width="16" bestFit="1" customWidth="1"/>
    <col min="276" max="276" width="17.3984375" bestFit="1" customWidth="1"/>
    <col min="277" max="279" width="10.59765625" bestFit="1" customWidth="1"/>
    <col min="280" max="280" width="17.53125" bestFit="1" customWidth="1"/>
    <col min="281" max="281" width="17.3984375" bestFit="1" customWidth="1"/>
    <col min="282" max="282" width="18.73046875" bestFit="1" customWidth="1"/>
    <col min="283" max="285" width="10.59765625" bestFit="1" customWidth="1"/>
    <col min="286" max="286" width="15.59765625" bestFit="1" customWidth="1"/>
    <col min="287" max="287" width="15.46484375" bestFit="1" customWidth="1"/>
    <col min="288" max="288" width="16.86328125" bestFit="1" customWidth="1"/>
    <col min="289" max="289" width="15.59765625" bestFit="1" customWidth="1"/>
    <col min="290" max="290" width="15.46484375" bestFit="1" customWidth="1"/>
    <col min="291" max="291" width="16.86328125" bestFit="1" customWidth="1"/>
    <col min="292" max="292" width="15.59765625" bestFit="1" customWidth="1"/>
    <col min="293" max="293" width="15.46484375" bestFit="1" customWidth="1"/>
    <col min="294" max="294" width="16.86328125" bestFit="1" customWidth="1"/>
    <col min="295" max="295" width="14" bestFit="1" customWidth="1"/>
    <col min="296" max="296" width="13.86328125" bestFit="1" customWidth="1"/>
    <col min="297" max="297" width="15.19921875" bestFit="1" customWidth="1"/>
  </cols>
  <sheetData>
    <row r="2" spans="13:19" x14ac:dyDescent="0.45">
      <c r="M2" s="58" t="s">
        <v>353</v>
      </c>
      <c r="N2" s="58" t="s">
        <v>483</v>
      </c>
      <c r="O2" s="58" t="s">
        <v>484</v>
      </c>
      <c r="P2" s="58" t="s">
        <v>485</v>
      </c>
    </row>
    <row r="3" spans="13:19" x14ac:dyDescent="0.45">
      <c r="M3" s="1" t="s">
        <v>80</v>
      </c>
      <c r="O3" s="50"/>
      <c r="P3" s="50">
        <f>tPositionMatrix[[#Totals],[MVP]]</f>
        <v>33</v>
      </c>
      <c r="R3" s="14"/>
      <c r="S3" s="14"/>
    </row>
    <row r="4" spans="13:19" x14ac:dyDescent="0.45">
      <c r="M4" s="60" t="s">
        <v>34</v>
      </c>
      <c r="N4" s="12" cm="1">
        <f t="array" ref="N4:O4">tPositionMatrix[[#Totals],[D]:[D2]]</f>
        <v>11</v>
      </c>
      <c r="O4" s="50">
        <v>2</v>
      </c>
      <c r="P4" s="50"/>
      <c r="Q4" s="50"/>
      <c r="R4" s="3"/>
      <c r="S4" s="5"/>
    </row>
    <row r="5" spans="13:19" x14ac:dyDescent="0.45">
      <c r="M5" s="60" t="s">
        <v>35</v>
      </c>
      <c r="N5" s="12" cm="1">
        <f t="array" ref="N5:O5">tPositionMatrix[[#Totals],[K]:[K2]]</f>
        <v>16</v>
      </c>
      <c r="O5" s="50">
        <v>1</v>
      </c>
      <c r="P5" s="50"/>
      <c r="Q5" s="50"/>
      <c r="R5" s="14"/>
      <c r="S5" s="5"/>
    </row>
    <row r="6" spans="13:19" x14ac:dyDescent="0.45">
      <c r="M6" s="60" t="s">
        <v>28</v>
      </c>
      <c r="N6" s="12" cm="1">
        <f t="array" ref="N6:P6">tPositionMatrix[[#Totals],[QB]:[QB2]]</f>
        <v>30</v>
      </c>
      <c r="O6" s="50">
        <v>18</v>
      </c>
      <c r="P6" s="50">
        <v>1</v>
      </c>
      <c r="Q6" s="50"/>
      <c r="R6" s="14"/>
      <c r="S6" s="5"/>
    </row>
    <row r="7" spans="13:19" x14ac:dyDescent="0.45">
      <c r="M7" s="60" t="s">
        <v>29</v>
      </c>
      <c r="N7" s="12" cm="1">
        <f t="array" ref="N7:P7">tPositionMatrix[[#Totals],[RB]:[RB2]]</f>
        <v>26</v>
      </c>
      <c r="O7" s="50">
        <v>10</v>
      </c>
      <c r="P7" s="50">
        <v>1</v>
      </c>
      <c r="Q7" s="50"/>
      <c r="R7" s="14"/>
      <c r="S7" s="5"/>
    </row>
    <row r="8" spans="13:19" x14ac:dyDescent="0.45">
      <c r="M8" s="60" t="s">
        <v>30</v>
      </c>
      <c r="N8" s="12" cm="1">
        <f t="array" ref="N8:O8">tPositionMatrix[[#Totals],[TE]:[TE2]]</f>
        <v>20</v>
      </c>
      <c r="O8" s="50">
        <v>3</v>
      </c>
      <c r="P8" s="50"/>
      <c r="Q8" s="50"/>
    </row>
    <row r="9" spans="13:19" x14ac:dyDescent="0.45">
      <c r="M9" s="60" t="s">
        <v>31</v>
      </c>
      <c r="N9" s="12" cm="1">
        <f t="array" ref="N9:O9">tPositionMatrix[[#Totals],[WR1]:[WR12]]</f>
        <v>19</v>
      </c>
      <c r="O9" s="50">
        <v>2</v>
      </c>
      <c r="P9" s="50"/>
      <c r="Q9" s="50"/>
    </row>
    <row r="10" spans="13:19" x14ac:dyDescent="0.45">
      <c r="M10" s="60" t="s">
        <v>32</v>
      </c>
      <c r="N10" s="12" cm="1">
        <f t="array" ref="N10:O10">tPositionMatrix[[#Totals],[WR2]:[WR22]]</f>
        <v>13</v>
      </c>
      <c r="O10" s="50">
        <v>3</v>
      </c>
      <c r="P10" s="50"/>
      <c r="Q10" s="50"/>
    </row>
    <row r="11" spans="13:19" x14ac:dyDescent="0.45">
      <c r="M11" s="60" t="s">
        <v>33</v>
      </c>
      <c r="N11" s="12" cm="1">
        <f t="array" ref="N11:O11">tPositionMatrix[[#Totals],[WR3]:[WR32]]</f>
        <v>9</v>
      </c>
      <c r="O11" s="50">
        <v>0</v>
      </c>
      <c r="P11" s="50"/>
      <c r="Q11" s="50"/>
    </row>
    <row r="12" spans="13:19" x14ac:dyDescent="0.45">
      <c r="M12" s="60" t="s">
        <v>81</v>
      </c>
      <c r="N12" s="12">
        <f>tPositionMatrix[[#Totals],[WR4]]</f>
        <v>9</v>
      </c>
      <c r="O12" s="50"/>
      <c r="P12" s="50"/>
      <c r="Q12" s="50"/>
    </row>
    <row r="13" spans="13:19" x14ac:dyDescent="0.45">
      <c r="M13" s="59"/>
      <c r="O13" s="55"/>
      <c r="P13" s="55"/>
      <c r="Q13" s="55"/>
    </row>
  </sheetData>
  <autoFilter ref="M2:M12" xr:uid="{00000000-0001-0000-01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G2:T24"/>
  <sheetViews>
    <sheetView workbookViewId="0">
      <selection activeCell="K31" sqref="K31"/>
    </sheetView>
  </sheetViews>
  <sheetFormatPr defaultColWidth="10.3984375" defaultRowHeight="14.25" x14ac:dyDescent="0.45"/>
  <cols>
    <col min="2" max="5" width="12.59765625" customWidth="1"/>
    <col min="6" max="6" width="2.59765625" customWidth="1"/>
    <col min="7" max="7" width="10.46484375" bestFit="1" customWidth="1"/>
    <col min="8" max="8" width="5.796875" bestFit="1" customWidth="1"/>
    <col min="9" max="9" width="2.59765625" customWidth="1"/>
    <col min="10" max="15" width="12.59765625" customWidth="1"/>
    <col min="16" max="16" width="12.46484375" customWidth="1"/>
    <col min="17" max="17" width="2.59765625" customWidth="1"/>
    <col min="18" max="19" width="10.59765625" bestFit="1" customWidth="1"/>
    <col min="20" max="21" width="5.796875" bestFit="1" customWidth="1"/>
  </cols>
  <sheetData>
    <row r="2" spans="7:20" x14ac:dyDescent="0.45">
      <c r="G2" s="56" t="s">
        <v>340</v>
      </c>
      <c r="H2" t="s">
        <v>482</v>
      </c>
      <c r="R2" s="56" t="s">
        <v>340</v>
      </c>
      <c r="S2" s="56" t="s">
        <v>493</v>
      </c>
      <c r="T2" t="s">
        <v>482</v>
      </c>
    </row>
    <row r="3" spans="7:20" x14ac:dyDescent="0.45">
      <c r="G3" s="57">
        <v>1</v>
      </c>
      <c r="H3" s="53">
        <v>7</v>
      </c>
      <c r="R3" s="55">
        <v>1</v>
      </c>
      <c r="S3" s="55">
        <v>1</v>
      </c>
      <c r="T3" s="53">
        <v>7</v>
      </c>
    </row>
    <row r="4" spans="7:20" x14ac:dyDescent="0.45">
      <c r="G4" s="57">
        <v>2</v>
      </c>
      <c r="H4" s="53">
        <v>7</v>
      </c>
      <c r="S4" s="55">
        <v>2</v>
      </c>
      <c r="T4" s="53">
        <v>3</v>
      </c>
    </row>
    <row r="5" spans="7:20" x14ac:dyDescent="0.45">
      <c r="G5" s="57">
        <v>3</v>
      </c>
      <c r="H5" s="53">
        <v>6</v>
      </c>
      <c r="S5" s="55">
        <v>3</v>
      </c>
      <c r="T5" s="53">
        <v>4</v>
      </c>
    </row>
    <row r="6" spans="7:20" x14ac:dyDescent="0.45">
      <c r="G6" s="57">
        <v>4</v>
      </c>
      <c r="H6" s="53">
        <v>2</v>
      </c>
      <c r="S6" s="55">
        <v>4</v>
      </c>
      <c r="T6" s="53">
        <v>1</v>
      </c>
    </row>
    <row r="7" spans="7:20" x14ac:dyDescent="0.45">
      <c r="G7" s="57">
        <v>5</v>
      </c>
      <c r="H7" s="53">
        <v>2</v>
      </c>
      <c r="S7" s="55">
        <v>5</v>
      </c>
      <c r="T7" s="53">
        <v>1</v>
      </c>
    </row>
    <row r="8" spans="7:20" x14ac:dyDescent="0.45">
      <c r="G8" s="57">
        <v>6</v>
      </c>
      <c r="H8" s="53">
        <v>1</v>
      </c>
      <c r="S8" s="55">
        <v>6</v>
      </c>
      <c r="T8" s="53">
        <v>1</v>
      </c>
    </row>
    <row r="9" spans="7:20" x14ac:dyDescent="0.45">
      <c r="G9" s="57">
        <v>8</v>
      </c>
      <c r="H9" s="53">
        <v>2</v>
      </c>
      <c r="S9" s="55">
        <v>8</v>
      </c>
      <c r="T9" s="53">
        <v>1</v>
      </c>
    </row>
    <row r="10" spans="7:20" x14ac:dyDescent="0.45">
      <c r="G10" s="57">
        <v>9</v>
      </c>
      <c r="H10" s="53">
        <v>1</v>
      </c>
      <c r="S10" s="55">
        <v>10</v>
      </c>
      <c r="T10" s="53">
        <v>2</v>
      </c>
    </row>
    <row r="11" spans="7:20" x14ac:dyDescent="0.45">
      <c r="G11" s="57">
        <v>10</v>
      </c>
      <c r="H11" s="53">
        <v>2</v>
      </c>
      <c r="S11" s="55">
        <v>15</v>
      </c>
      <c r="T11" s="53">
        <v>2</v>
      </c>
    </row>
    <row r="12" spans="7:20" x14ac:dyDescent="0.45">
      <c r="G12" s="57">
        <v>15</v>
      </c>
      <c r="H12" s="53">
        <v>2</v>
      </c>
      <c r="S12" s="55">
        <v>22</v>
      </c>
      <c r="T12" s="53">
        <v>1</v>
      </c>
    </row>
    <row r="13" spans="7:20" x14ac:dyDescent="0.45">
      <c r="G13" s="57">
        <v>22</v>
      </c>
      <c r="H13" s="53">
        <v>1</v>
      </c>
      <c r="R13" s="55">
        <v>2</v>
      </c>
      <c r="S13" s="55">
        <v>2</v>
      </c>
      <c r="T13" s="53">
        <v>4</v>
      </c>
    </row>
    <row r="14" spans="7:20" x14ac:dyDescent="0.45">
      <c r="G14" s="57" t="s">
        <v>433</v>
      </c>
      <c r="H14" s="53">
        <v>33</v>
      </c>
      <c r="S14" s="55">
        <v>3</v>
      </c>
      <c r="T14" s="53">
        <v>2</v>
      </c>
    </row>
    <row r="15" spans="7:20" x14ac:dyDescent="0.45">
      <c r="S15" s="55">
        <v>5</v>
      </c>
      <c r="T15" s="53">
        <v>1</v>
      </c>
    </row>
    <row r="16" spans="7:20" x14ac:dyDescent="0.45">
      <c r="S16" s="55">
        <v>8</v>
      </c>
      <c r="T16" s="53">
        <v>1</v>
      </c>
    </row>
    <row r="17" spans="7:20" x14ac:dyDescent="0.45">
      <c r="S17" s="55">
        <v>9</v>
      </c>
      <c r="T17" s="53">
        <v>1</v>
      </c>
    </row>
    <row r="18" spans="7:20" x14ac:dyDescent="0.45">
      <c r="R18" s="55">
        <v>3</v>
      </c>
      <c r="S18" s="55">
        <v>4</v>
      </c>
      <c r="T18" s="53">
        <v>1</v>
      </c>
    </row>
    <row r="19" spans="7:20" x14ac:dyDescent="0.45">
      <c r="G19" s="56" t="s">
        <v>504</v>
      </c>
      <c r="H19" t="s">
        <v>482</v>
      </c>
      <c r="R19" s="55" t="s">
        <v>433</v>
      </c>
      <c r="T19" s="53">
        <v>33</v>
      </c>
    </row>
    <row r="20" spans="7:20" x14ac:dyDescent="0.45">
      <c r="G20" s="57">
        <v>1</v>
      </c>
      <c r="H20" s="53">
        <v>27</v>
      </c>
    </row>
    <row r="21" spans="7:20" x14ac:dyDescent="0.45">
      <c r="G21" s="57">
        <v>2</v>
      </c>
      <c r="H21" s="53">
        <v>4</v>
      </c>
    </row>
    <row r="22" spans="7:20" x14ac:dyDescent="0.45">
      <c r="G22" s="57">
        <v>3</v>
      </c>
      <c r="H22" s="53">
        <v>1</v>
      </c>
    </row>
    <row r="23" spans="7:20" x14ac:dyDescent="0.45">
      <c r="G23" s="57">
        <v>5</v>
      </c>
      <c r="H23" s="53">
        <v>1</v>
      </c>
    </row>
    <row r="24" spans="7:20" x14ac:dyDescent="0.45">
      <c r="G24" s="57" t="s">
        <v>433</v>
      </c>
      <c r="H24" s="53">
        <v>33</v>
      </c>
    </row>
  </sheetData>
  <pageMargins left="0.7" right="0.7" top="0.75" bottom="0.75" header="0.3" footer="0.3"/>
  <pageSetup orientation="portrait" horizontalDpi="0" verticalDpi="0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V72"/>
  <sheetViews>
    <sheetView workbookViewId="0">
      <selection activeCell="Q3" sqref="Q3"/>
    </sheetView>
  </sheetViews>
  <sheetFormatPr defaultRowHeight="14.25" x14ac:dyDescent="0.45"/>
  <cols>
    <col min="1" max="1" width="9.1328125" style="6"/>
    <col min="3" max="3" width="6.265625" bestFit="1" customWidth="1"/>
    <col min="4" max="4" width="12.06640625" bestFit="1" customWidth="1"/>
    <col min="5" max="5" width="15.9296875" bestFit="1" customWidth="1"/>
    <col min="17" max="17" width="13.796875" bestFit="1" customWidth="1"/>
    <col min="18" max="19" width="11" bestFit="1" customWidth="1"/>
    <col min="20" max="20" width="5.796875" bestFit="1" customWidth="1"/>
  </cols>
  <sheetData>
    <row r="2" spans="17:22" x14ac:dyDescent="0.45">
      <c r="Q2" s="56" t="s">
        <v>529</v>
      </c>
      <c r="R2" s="56" t="s">
        <v>487</v>
      </c>
      <c r="S2" s="56" t="s">
        <v>67</v>
      </c>
      <c r="T2" t="s">
        <v>482</v>
      </c>
      <c r="U2" s="2"/>
      <c r="V2" s="2"/>
    </row>
    <row r="3" spans="17:22" x14ac:dyDescent="0.45">
      <c r="Q3" s="55" t="s">
        <v>34</v>
      </c>
      <c r="T3" s="53">
        <v>1</v>
      </c>
    </row>
    <row r="4" spans="17:22" x14ac:dyDescent="0.45">
      <c r="Q4" s="55" t="s">
        <v>28</v>
      </c>
      <c r="T4" s="53">
        <v>14</v>
      </c>
    </row>
    <row r="5" spans="17:22" x14ac:dyDescent="0.45">
      <c r="Q5" s="55" t="s">
        <v>29</v>
      </c>
      <c r="T5" s="53">
        <v>10</v>
      </c>
    </row>
    <row r="6" spans="17:22" x14ac:dyDescent="0.45">
      <c r="Q6" s="55" t="s">
        <v>30</v>
      </c>
      <c r="T6" s="53">
        <v>3</v>
      </c>
    </row>
    <row r="7" spans="17:22" x14ac:dyDescent="0.45">
      <c r="Q7" s="55" t="s">
        <v>31</v>
      </c>
      <c r="T7" s="53">
        <v>4</v>
      </c>
    </row>
    <row r="8" spans="17:22" x14ac:dyDescent="0.45">
      <c r="Q8" s="55" t="s">
        <v>33</v>
      </c>
      <c r="T8" s="53">
        <v>1</v>
      </c>
    </row>
    <row r="9" spans="17:22" x14ac:dyDescent="0.45">
      <c r="Q9" s="55" t="s">
        <v>433</v>
      </c>
      <c r="T9" s="53">
        <v>33</v>
      </c>
      <c r="U9" s="3"/>
      <c r="V9" s="10"/>
    </row>
    <row r="10" spans="17:22" x14ac:dyDescent="0.45">
      <c r="U10" s="3"/>
      <c r="V10" s="13"/>
    </row>
    <row r="11" spans="17:22" x14ac:dyDescent="0.45">
      <c r="U11" s="3"/>
      <c r="V11" s="13"/>
    </row>
    <row r="12" spans="17:22" x14ac:dyDescent="0.45">
      <c r="U12" s="3"/>
      <c r="V12" s="13"/>
    </row>
    <row r="13" spans="17:22" x14ac:dyDescent="0.45">
      <c r="U13" s="3"/>
      <c r="V13" s="13"/>
    </row>
    <row r="14" spans="17:22" x14ac:dyDescent="0.45">
      <c r="U14" s="3"/>
      <c r="V14" s="13"/>
    </row>
    <row r="15" spans="17:22" x14ac:dyDescent="0.45">
      <c r="U15" s="3"/>
      <c r="V15" s="13"/>
    </row>
    <row r="16" spans="17:22" x14ac:dyDescent="0.45">
      <c r="U16" s="9"/>
      <c r="V16" s="13"/>
    </row>
    <row r="17" spans="1:22" x14ac:dyDescent="0.45">
      <c r="U17" s="13"/>
      <c r="V17" s="13"/>
    </row>
    <row r="18" spans="1:22" x14ac:dyDescent="0.45">
      <c r="U18" s="3"/>
      <c r="V18" s="13"/>
    </row>
    <row r="19" spans="1:22" x14ac:dyDescent="0.45">
      <c r="U19" s="3"/>
      <c r="V19" s="13"/>
    </row>
    <row r="20" spans="1:22" x14ac:dyDescent="0.45">
      <c r="U20" s="3"/>
      <c r="V20" s="13"/>
    </row>
    <row r="21" spans="1:22" x14ac:dyDescent="0.45">
      <c r="U21" s="3"/>
      <c r="V21" s="13"/>
    </row>
    <row r="22" spans="1:22" x14ac:dyDescent="0.45">
      <c r="U22" s="3"/>
      <c r="V22" s="13"/>
    </row>
    <row r="23" spans="1:22" x14ac:dyDescent="0.45">
      <c r="U23" s="3"/>
      <c r="V23" s="13"/>
    </row>
    <row r="24" spans="1:22" x14ac:dyDescent="0.45">
      <c r="U24" s="3"/>
      <c r="V24" s="13"/>
    </row>
    <row r="25" spans="1:22" x14ac:dyDescent="0.45">
      <c r="U25" s="3"/>
      <c r="V25" s="13"/>
    </row>
    <row r="26" spans="1:22" x14ac:dyDescent="0.45">
      <c r="U26" s="3"/>
      <c r="V26" s="13"/>
    </row>
    <row r="27" spans="1:22" x14ac:dyDescent="0.45">
      <c r="U27" s="3"/>
      <c r="V27" s="13"/>
    </row>
    <row r="28" spans="1:22" x14ac:dyDescent="0.45">
      <c r="U28" s="10"/>
      <c r="V28" s="13"/>
    </row>
    <row r="29" spans="1:22" x14ac:dyDescent="0.45">
      <c r="U29" s="3"/>
      <c r="V29" s="13"/>
    </row>
    <row r="30" spans="1:22" x14ac:dyDescent="0.45">
      <c r="A30" s="3"/>
      <c r="G30" s="3"/>
      <c r="U30" s="3"/>
      <c r="V30" s="13"/>
    </row>
    <row r="31" spans="1:22" x14ac:dyDescent="0.45">
      <c r="A31" s="3"/>
      <c r="G31" s="3"/>
      <c r="U31" s="3"/>
      <c r="V31" s="13"/>
    </row>
    <row r="32" spans="1:22" x14ac:dyDescent="0.45">
      <c r="A32" s="3"/>
      <c r="G32" s="3"/>
      <c r="U32" s="3"/>
      <c r="V32" s="13"/>
    </row>
    <row r="33" spans="1:22" x14ac:dyDescent="0.45">
      <c r="A33" s="3"/>
      <c r="G33" s="3"/>
      <c r="U33" s="3"/>
      <c r="V33" s="13"/>
    </row>
    <row r="34" spans="1:22" x14ac:dyDescent="0.45">
      <c r="A34" s="3"/>
      <c r="G34" s="3"/>
      <c r="U34" s="3"/>
      <c r="V34" s="13"/>
    </row>
    <row r="35" spans="1:22" x14ac:dyDescent="0.45">
      <c r="A35" s="3"/>
      <c r="G35" s="3"/>
      <c r="U35" s="3"/>
      <c r="V35" s="13"/>
    </row>
    <row r="36" spans="1:22" x14ac:dyDescent="0.45">
      <c r="A36" s="3"/>
      <c r="G36" s="3"/>
    </row>
    <row r="37" spans="1:22" x14ac:dyDescent="0.45">
      <c r="A37" s="3"/>
      <c r="G37" s="14"/>
    </row>
    <row r="38" spans="1:22" s="13" customFormat="1" x14ac:dyDescent="0.45">
      <c r="A38" s="3"/>
      <c r="F38"/>
      <c r="G38" s="14"/>
      <c r="Q38"/>
      <c r="R38"/>
      <c r="S38"/>
      <c r="T38"/>
    </row>
    <row r="39" spans="1:22" x14ac:dyDescent="0.45">
      <c r="A39" s="3"/>
      <c r="G39" s="3"/>
    </row>
    <row r="40" spans="1:22" x14ac:dyDescent="0.45">
      <c r="A40" s="3"/>
      <c r="G40" s="3"/>
    </row>
    <row r="41" spans="1:22" x14ac:dyDescent="0.45">
      <c r="A41" s="3"/>
      <c r="F41" s="14"/>
      <c r="G41" s="3"/>
    </row>
    <row r="42" spans="1:22" x14ac:dyDescent="0.45">
      <c r="A42" s="3"/>
      <c r="F42" s="14"/>
      <c r="G42" s="3"/>
    </row>
    <row r="43" spans="1:22" x14ac:dyDescent="0.45">
      <c r="A43" s="3"/>
      <c r="F43" s="14"/>
      <c r="G43" s="3"/>
    </row>
    <row r="44" spans="1:22" x14ac:dyDescent="0.45">
      <c r="A44" s="3"/>
      <c r="F44" s="14"/>
      <c r="G44" s="3"/>
    </row>
    <row r="45" spans="1:22" x14ac:dyDescent="0.45">
      <c r="A45" s="3"/>
      <c r="F45" s="14"/>
      <c r="G45" s="3"/>
    </row>
    <row r="46" spans="1:22" x14ac:dyDescent="0.45">
      <c r="A46" s="3"/>
      <c r="F46" s="14"/>
      <c r="G46" s="3"/>
    </row>
    <row r="47" spans="1:22" x14ac:dyDescent="0.45">
      <c r="A47" s="3"/>
      <c r="F47" s="14"/>
      <c r="G47" s="3"/>
    </row>
    <row r="48" spans="1:22" x14ac:dyDescent="0.45">
      <c r="A48" s="3"/>
      <c r="F48" s="14"/>
      <c r="G48" s="3"/>
    </row>
    <row r="49" spans="1:20" s="10" customFormat="1" x14ac:dyDescent="0.45">
      <c r="A49" s="3"/>
      <c r="F49" s="14"/>
      <c r="G49" s="14"/>
      <c r="Q49"/>
      <c r="R49"/>
      <c r="S49"/>
      <c r="T49"/>
    </row>
    <row r="50" spans="1:20" x14ac:dyDescent="0.45">
      <c r="A50" s="3"/>
      <c r="F50" s="14"/>
      <c r="G50" s="3"/>
    </row>
    <row r="51" spans="1:20" x14ac:dyDescent="0.45">
      <c r="A51" s="3"/>
      <c r="F51" s="14"/>
      <c r="G51" s="3"/>
    </row>
    <row r="52" spans="1:20" x14ac:dyDescent="0.45">
      <c r="A52" s="3"/>
      <c r="F52" s="14"/>
      <c r="G52" s="3"/>
    </row>
    <row r="53" spans="1:20" x14ac:dyDescent="0.45">
      <c r="A53" s="3"/>
      <c r="F53" s="14"/>
      <c r="G53" s="3"/>
    </row>
    <row r="54" spans="1:20" x14ac:dyDescent="0.45">
      <c r="A54" s="3"/>
      <c r="F54" s="14"/>
      <c r="G54" s="3"/>
    </row>
    <row r="55" spans="1:20" x14ac:dyDescent="0.45">
      <c r="A55" s="3"/>
      <c r="F55" s="14"/>
      <c r="G55" s="3"/>
    </row>
    <row r="56" spans="1:20" x14ac:dyDescent="0.45">
      <c r="A56" s="3"/>
      <c r="F56" s="14"/>
      <c r="G56" s="3"/>
    </row>
    <row r="57" spans="1:20" x14ac:dyDescent="0.45">
      <c r="A57" s="3"/>
      <c r="B57" s="3"/>
      <c r="C57" s="13"/>
      <c r="F57" s="14"/>
      <c r="G57" s="3"/>
    </row>
    <row r="58" spans="1:20" x14ac:dyDescent="0.45">
      <c r="A58" s="3"/>
      <c r="B58" s="3"/>
      <c r="C58" s="13"/>
      <c r="F58" s="14"/>
      <c r="G58" s="3"/>
    </row>
    <row r="59" spans="1:20" x14ac:dyDescent="0.45">
      <c r="A59" s="3"/>
      <c r="B59" s="3"/>
      <c r="C59" s="13"/>
      <c r="F59" s="14"/>
      <c r="G59" s="3"/>
    </row>
    <row r="60" spans="1:20" x14ac:dyDescent="0.45">
      <c r="A60" s="3"/>
      <c r="B60" s="3"/>
      <c r="C60" s="13"/>
      <c r="F60" s="14"/>
      <c r="G60" s="3"/>
    </row>
    <row r="61" spans="1:20" x14ac:dyDescent="0.45">
      <c r="A61" s="3"/>
      <c r="B61" s="3"/>
      <c r="C61" s="13"/>
      <c r="F61" s="14"/>
      <c r="G61" s="3"/>
    </row>
    <row r="62" spans="1:20" x14ac:dyDescent="0.45">
      <c r="A62" s="3"/>
      <c r="B62" s="3"/>
      <c r="C62" s="13"/>
      <c r="F62" s="14"/>
      <c r="G62" s="3"/>
    </row>
    <row r="72" spans="1:1" x14ac:dyDescent="0.45">
      <c r="A72" s="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2:J20"/>
  <sheetViews>
    <sheetView workbookViewId="0">
      <selection activeCell="B15" sqref="B15"/>
    </sheetView>
  </sheetViews>
  <sheetFormatPr defaultRowHeight="14.25" x14ac:dyDescent="0.45"/>
  <cols>
    <col min="1" max="1" width="11.59765625" bestFit="1" customWidth="1"/>
    <col min="2" max="2" width="13" bestFit="1" customWidth="1"/>
    <col min="3" max="3" width="5.796875" bestFit="1" customWidth="1"/>
    <col min="7" max="8" width="11.59765625" bestFit="1" customWidth="1"/>
    <col min="9" max="9" width="12" bestFit="1" customWidth="1"/>
    <col min="10" max="10" width="11" bestFit="1" customWidth="1"/>
  </cols>
  <sheetData>
    <row r="2" spans="2:10" x14ac:dyDescent="0.45">
      <c r="H2" s="52"/>
      <c r="I2" s="52"/>
      <c r="J2" s="52"/>
    </row>
    <row r="3" spans="2:10" x14ac:dyDescent="0.45">
      <c r="J3" s="11"/>
    </row>
    <row r="4" spans="2:10" x14ac:dyDescent="0.45">
      <c r="J4" s="11"/>
    </row>
    <row r="5" spans="2:10" x14ac:dyDescent="0.45">
      <c r="J5" s="11"/>
    </row>
    <row r="6" spans="2:10" x14ac:dyDescent="0.45">
      <c r="J6" s="11"/>
    </row>
    <row r="7" spans="2:10" x14ac:dyDescent="0.45">
      <c r="J7" s="11"/>
    </row>
    <row r="15" spans="2:10" x14ac:dyDescent="0.45">
      <c r="B15" s="56" t="s">
        <v>481</v>
      </c>
      <c r="C15" t="s">
        <v>482</v>
      </c>
    </row>
    <row r="16" spans="2:10" x14ac:dyDescent="0.45">
      <c r="B16" s="57">
        <v>2</v>
      </c>
      <c r="C16" s="53">
        <v>4</v>
      </c>
    </row>
    <row r="17" spans="2:3" x14ac:dyDescent="0.45">
      <c r="B17" s="57">
        <v>3</v>
      </c>
      <c r="C17" s="53">
        <v>16</v>
      </c>
    </row>
    <row r="18" spans="2:3" x14ac:dyDescent="0.45">
      <c r="B18" s="57">
        <v>4</v>
      </c>
      <c r="C18" s="53">
        <v>9</v>
      </c>
    </row>
    <row r="19" spans="2:3" x14ac:dyDescent="0.45">
      <c r="B19" s="57">
        <v>5</v>
      </c>
      <c r="C19" s="53">
        <v>4</v>
      </c>
    </row>
    <row r="20" spans="2:3" x14ac:dyDescent="0.45">
      <c r="B20" s="57" t="s">
        <v>433</v>
      </c>
      <c r="C20" s="53">
        <v>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AH69"/>
  <sheetViews>
    <sheetView tabSelected="1" zoomScaleNormal="100" workbookViewId="0">
      <pane ySplit="1" topLeftCell="A2" activePane="bottomLeft" state="frozenSplit"/>
      <selection pane="bottomLeft" activeCell="D2" sqref="D2"/>
    </sheetView>
  </sheetViews>
  <sheetFormatPr defaultColWidth="6.46484375" defaultRowHeight="14.25" x14ac:dyDescent="0.45"/>
  <cols>
    <col min="1" max="1" width="10.53125" style="3" bestFit="1" customWidth="1"/>
    <col min="2" max="2" width="9.73046875" style="3" bestFit="1" customWidth="1"/>
    <col min="3" max="3" width="7.1328125" style="3" bestFit="1" customWidth="1"/>
    <col min="4" max="4" width="12.1328125" style="3" bestFit="1" customWidth="1"/>
    <col min="5" max="5" width="9.796875" style="3" bestFit="1" customWidth="1"/>
    <col min="6" max="6" width="9.59765625" style="3" bestFit="1" customWidth="1"/>
    <col min="7" max="7" width="15.1328125" style="55" bestFit="1" customWidth="1"/>
    <col min="8" max="8" width="13.796875" style="3" bestFit="1" customWidth="1"/>
    <col min="9" max="9" width="7.3984375" style="3" bestFit="1" customWidth="1"/>
    <col min="10" max="10" width="9.73046875" style="3" bestFit="1" customWidth="1"/>
    <col min="11" max="11" width="10.06640625" style="3" bestFit="1" customWidth="1"/>
    <col min="12" max="12" width="15" style="3" bestFit="1" customWidth="1"/>
    <col min="13" max="13" width="13.59765625" style="3" bestFit="1" customWidth="1"/>
    <col min="14" max="15" width="10.59765625" style="3" bestFit="1" customWidth="1"/>
    <col min="16" max="16" width="9.73046875" style="3" bestFit="1" customWidth="1"/>
    <col min="17" max="18" width="8.86328125" style="3" bestFit="1" customWidth="1"/>
    <col min="19" max="19" width="10.265625" style="3" bestFit="1" customWidth="1"/>
    <col min="20" max="20" width="8.53125" style="3" customWidth="1"/>
    <col min="21" max="21" width="10.59765625" style="3" bestFit="1" customWidth="1"/>
    <col min="22" max="22" width="12.3984375" style="3" bestFit="1" customWidth="1"/>
    <col min="23" max="23" width="12.06640625" style="3" customWidth="1"/>
    <col min="24" max="24" width="11.265625" style="3" bestFit="1" customWidth="1"/>
    <col min="25" max="25" width="10.9296875" style="3" customWidth="1"/>
    <col min="26" max="26" width="10.19921875" style="3" bestFit="1" customWidth="1"/>
    <col min="27" max="27" width="28.46484375" style="3" bestFit="1" customWidth="1"/>
    <col min="28" max="28" width="29.1328125" style="3" bestFit="1" customWidth="1"/>
    <col min="29" max="29" width="31.796875" style="3" bestFit="1" customWidth="1"/>
    <col min="30" max="30" width="28.46484375" style="3" bestFit="1" customWidth="1"/>
    <col min="31" max="32" width="29.6640625" style="3" bestFit="1" customWidth="1"/>
    <col min="35" max="16384" width="6.46484375" style="3"/>
  </cols>
  <sheetData>
    <row r="1" spans="1:34" s="46" customFormat="1" x14ac:dyDescent="0.45">
      <c r="A1" s="46" t="s">
        <v>214</v>
      </c>
      <c r="B1" s="46" t="s">
        <v>215</v>
      </c>
      <c r="C1" s="46" t="s">
        <v>528</v>
      </c>
      <c r="D1" s="46" t="s">
        <v>491</v>
      </c>
      <c r="E1" s="46" t="s">
        <v>490</v>
      </c>
      <c r="F1" s="52" t="s">
        <v>489</v>
      </c>
      <c r="G1" s="46" t="s">
        <v>492</v>
      </c>
      <c r="H1" s="46" t="s">
        <v>487</v>
      </c>
      <c r="I1" s="52" t="s">
        <v>340</v>
      </c>
      <c r="J1" s="2" t="s">
        <v>87</v>
      </c>
      <c r="K1" s="2" t="s">
        <v>117</v>
      </c>
      <c r="L1" s="2" t="s">
        <v>526</v>
      </c>
      <c r="M1" s="2" t="s">
        <v>493</v>
      </c>
      <c r="N1" s="2" t="s">
        <v>494</v>
      </c>
      <c r="O1" s="2" t="s">
        <v>67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114</v>
      </c>
      <c r="U1" s="2" t="s">
        <v>68</v>
      </c>
      <c r="V1" s="2" t="s">
        <v>69</v>
      </c>
      <c r="W1" s="2" t="s">
        <v>8</v>
      </c>
      <c r="X1" s="2" t="s">
        <v>9</v>
      </c>
      <c r="Y1" s="2" t="s">
        <v>26</v>
      </c>
      <c r="Z1" s="2" t="s">
        <v>527</v>
      </c>
      <c r="AA1" s="2" t="s">
        <v>115</v>
      </c>
      <c r="AB1" s="2" t="s">
        <v>4</v>
      </c>
      <c r="AC1" s="2" t="s">
        <v>5</v>
      </c>
      <c r="AD1" s="2" t="s">
        <v>6</v>
      </c>
      <c r="AE1" s="2" t="s">
        <v>7</v>
      </c>
      <c r="AF1" s="2" t="s">
        <v>116</v>
      </c>
    </row>
    <row r="2" spans="1:34" x14ac:dyDescent="0.45">
      <c r="A2" s="49">
        <v>86.44</v>
      </c>
      <c r="B2" s="3">
        <v>61</v>
      </c>
      <c r="C2" s="3">
        <v>2</v>
      </c>
      <c r="D2" s="3" t="s">
        <v>15</v>
      </c>
      <c r="E2" s="3">
        <f>COUNTIF(Retro!$I2,Retro!$M2)</f>
        <v>0</v>
      </c>
      <c r="F2" s="55">
        <f>COUNTIF(Retro!$I2,"&lt;&gt;"&amp;Retro!$M2)</f>
        <v>1</v>
      </c>
      <c r="G2" s="55">
        <v>2</v>
      </c>
      <c r="H2" s="61" t="str">
        <f>MID(Retro!$O2,1,FIND(":",Retro!$O2)-1)</f>
        <v>RB</v>
      </c>
      <c r="I2" s="55">
        <f>INT(MID(Retro!$L2,1,1))</f>
        <v>1</v>
      </c>
      <c r="J2" s="55">
        <v>108</v>
      </c>
      <c r="K2" s="55">
        <v>53</v>
      </c>
      <c r="L2" s="55">
        <v>12</v>
      </c>
      <c r="M2" s="55">
        <v>10</v>
      </c>
      <c r="N2" s="55">
        <v>16</v>
      </c>
      <c r="O2" s="55" t="s">
        <v>50</v>
      </c>
      <c r="P2" s="55" t="s">
        <v>15</v>
      </c>
      <c r="Q2" s="55" t="s">
        <v>43</v>
      </c>
      <c r="R2" s="55" t="s">
        <v>51</v>
      </c>
      <c r="S2" s="55" t="s">
        <v>98</v>
      </c>
      <c r="T2" s="55" t="s">
        <v>118</v>
      </c>
      <c r="U2" s="55"/>
      <c r="V2" s="55">
        <v>3</v>
      </c>
      <c r="W2" s="55">
        <v>57700</v>
      </c>
      <c r="X2" s="55">
        <v>82.4</v>
      </c>
      <c r="Y2" s="55">
        <v>86.22</v>
      </c>
      <c r="Z2" s="55">
        <v>105.68</v>
      </c>
      <c r="AA2" s="55" t="s">
        <v>119</v>
      </c>
      <c r="AB2" s="55" t="s">
        <v>122</v>
      </c>
      <c r="AC2" s="55" t="s">
        <v>120</v>
      </c>
      <c r="AD2" s="55" t="s">
        <v>121</v>
      </c>
      <c r="AE2" s="55" t="s">
        <v>123</v>
      </c>
      <c r="AF2" s="55" t="s">
        <v>124</v>
      </c>
      <c r="AG2" s="3"/>
      <c r="AH2" s="3"/>
    </row>
    <row r="3" spans="1:34" x14ac:dyDescent="0.45">
      <c r="A3">
        <v>125</v>
      </c>
      <c r="B3">
        <v>5</v>
      </c>
      <c r="C3" s="55">
        <v>1</v>
      </c>
      <c r="D3" t="s">
        <v>45</v>
      </c>
      <c r="E3">
        <f>COUNTIF(Retro!$I3,Retro!$M3)</f>
        <v>0</v>
      </c>
      <c r="F3">
        <f>COUNTIF(Retro!$I3,"&lt;&gt;"&amp;Retro!$M3)</f>
        <v>1</v>
      </c>
      <c r="G3" s="55">
        <v>1</v>
      </c>
      <c r="H3" t="str">
        <f>MID(Retro!$O3,1,FIND(":",Retro!$O3)-1)</f>
        <v>QB</v>
      </c>
      <c r="I3">
        <f>INT(MID(Retro!$L3,1,1))</f>
        <v>1</v>
      </c>
      <c r="J3">
        <v>27863</v>
      </c>
      <c r="K3">
        <v>5037</v>
      </c>
      <c r="L3">
        <v>13</v>
      </c>
      <c r="M3">
        <v>3</v>
      </c>
      <c r="N3">
        <v>14</v>
      </c>
      <c r="O3" t="s">
        <v>78</v>
      </c>
      <c r="P3" t="s">
        <v>45</v>
      </c>
      <c r="Q3" t="s">
        <v>88</v>
      </c>
      <c r="R3" t="s">
        <v>46</v>
      </c>
      <c r="S3" t="s">
        <v>125</v>
      </c>
      <c r="T3" t="s">
        <v>14</v>
      </c>
      <c r="U3"/>
      <c r="V3">
        <v>3</v>
      </c>
      <c r="W3">
        <v>57600</v>
      </c>
      <c r="X3">
        <v>67.69</v>
      </c>
      <c r="Y3">
        <v>76.14</v>
      </c>
      <c r="Z3">
        <v>137</v>
      </c>
      <c r="AA3" t="s">
        <v>126</v>
      </c>
      <c r="AB3" t="s">
        <v>127</v>
      </c>
      <c r="AC3" t="s">
        <v>128</v>
      </c>
      <c r="AD3" t="s">
        <v>129</v>
      </c>
      <c r="AE3" t="s">
        <v>130</v>
      </c>
      <c r="AF3" t="s">
        <v>131</v>
      </c>
      <c r="AG3" s="3"/>
      <c r="AH3" s="3"/>
    </row>
    <row r="4" spans="1:34" x14ac:dyDescent="0.45">
      <c r="A4" s="49">
        <v>43.83</v>
      </c>
      <c r="B4" s="3">
        <v>30</v>
      </c>
      <c r="C4" s="3">
        <v>2</v>
      </c>
      <c r="D4" s="3" t="s">
        <v>25</v>
      </c>
      <c r="E4" s="3">
        <f>COUNTIF(Retro!$I4,Retro!$M4)</f>
        <v>0</v>
      </c>
      <c r="F4" s="55">
        <f>COUNTIF(Retro!$I4,"&lt;&gt;"&amp;Retro!$M4)</f>
        <v>1</v>
      </c>
      <c r="G4" s="55">
        <v>5</v>
      </c>
      <c r="H4" s="61" t="str">
        <f>MID(Retro!$O4,1,FIND(":",Retro!$O4)-1)</f>
        <v>WR3</v>
      </c>
      <c r="I4" s="55">
        <f>INT(MID(Retro!$L4,1,1))</f>
        <v>1</v>
      </c>
      <c r="J4" s="55">
        <v>83</v>
      </c>
      <c r="K4" s="55">
        <v>48</v>
      </c>
      <c r="L4" s="55">
        <v>12</v>
      </c>
      <c r="M4" s="55">
        <v>15</v>
      </c>
      <c r="N4" s="55">
        <v>47</v>
      </c>
      <c r="O4" s="55" t="s">
        <v>106</v>
      </c>
      <c r="P4" s="55" t="s">
        <v>25</v>
      </c>
      <c r="Q4" s="55" t="s">
        <v>12</v>
      </c>
      <c r="R4" s="55" t="s">
        <v>473</v>
      </c>
      <c r="S4" s="55" t="s">
        <v>96</v>
      </c>
      <c r="T4" s="55" t="s">
        <v>495</v>
      </c>
      <c r="U4" s="55"/>
      <c r="V4" s="55">
        <v>3</v>
      </c>
      <c r="W4" s="55">
        <v>57800</v>
      </c>
      <c r="X4" s="55">
        <v>88.55</v>
      </c>
      <c r="Y4" s="55">
        <v>91.86</v>
      </c>
      <c r="Z4" s="55">
        <v>170.12</v>
      </c>
      <c r="AA4" s="55" t="s">
        <v>108</v>
      </c>
      <c r="AB4" s="55" t="s">
        <v>112</v>
      </c>
      <c r="AC4" s="55" t="s">
        <v>109</v>
      </c>
      <c r="AD4" s="55" t="s">
        <v>110</v>
      </c>
      <c r="AE4" s="55" t="s">
        <v>111</v>
      </c>
      <c r="AF4" s="55" t="s">
        <v>113</v>
      </c>
      <c r="AG4" s="3"/>
      <c r="AH4" s="3"/>
    </row>
    <row r="5" spans="1:34" x14ac:dyDescent="0.45">
      <c r="A5">
        <v>92.43</v>
      </c>
      <c r="B5">
        <v>14</v>
      </c>
      <c r="C5" s="55">
        <v>1</v>
      </c>
      <c r="D5" t="s">
        <v>356</v>
      </c>
      <c r="E5">
        <f>COUNTIF(Retro!$I5,Retro!$M5)</f>
        <v>1</v>
      </c>
      <c r="F5">
        <f>COUNTIF(Retro!$I5,"&lt;&gt;"&amp;Retro!$M5)</f>
        <v>0</v>
      </c>
      <c r="G5">
        <v>1</v>
      </c>
      <c r="H5" t="str">
        <f>MID(Retro!$O5,1,FIND(":",Retro!$O5)-1)</f>
        <v>QB</v>
      </c>
      <c r="I5">
        <f>INT(MID(Retro!$L5,1,1))</f>
        <v>2</v>
      </c>
      <c r="J5" s="55">
        <v>78776</v>
      </c>
      <c r="K5">
        <v>14416</v>
      </c>
      <c r="L5">
        <v>23</v>
      </c>
      <c r="M5">
        <v>2</v>
      </c>
      <c r="N5">
        <v>20</v>
      </c>
      <c r="O5" t="s">
        <v>132</v>
      </c>
      <c r="P5" t="s">
        <v>74</v>
      </c>
      <c r="Q5" t="s">
        <v>425</v>
      </c>
      <c r="R5" t="s">
        <v>94</v>
      </c>
      <c r="S5" t="s">
        <v>99</v>
      </c>
      <c r="T5" t="s">
        <v>426</v>
      </c>
      <c r="U5"/>
      <c r="V5">
        <v>4</v>
      </c>
      <c r="W5">
        <v>59300</v>
      </c>
      <c r="X5">
        <v>48.19</v>
      </c>
      <c r="Y5">
        <v>56.2</v>
      </c>
      <c r="Z5">
        <v>103.62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s="3"/>
      <c r="AH5" s="3"/>
    </row>
    <row r="6" spans="1:34" x14ac:dyDescent="0.45">
      <c r="A6">
        <v>135.69</v>
      </c>
      <c r="B6">
        <v>36</v>
      </c>
      <c r="C6" s="55">
        <v>1</v>
      </c>
      <c r="D6" t="s">
        <v>49</v>
      </c>
      <c r="E6">
        <f>COUNTIF(Retro!$I6,Retro!$M6)</f>
        <v>0</v>
      </c>
      <c r="F6">
        <f>COUNTIF(Retro!$I6,"&lt;&gt;"&amp;Retro!$M6)</f>
        <v>1</v>
      </c>
      <c r="G6">
        <v>1</v>
      </c>
      <c r="H6" t="str">
        <f>MID(Retro!$O6,1,FIND(":",Retro!$O6)-1)</f>
        <v>TE</v>
      </c>
      <c r="I6">
        <f>INT(MID(Retro!$L6,1,1))</f>
        <v>1</v>
      </c>
      <c r="J6" s="55">
        <v>227</v>
      </c>
      <c r="K6">
        <v>71</v>
      </c>
      <c r="L6">
        <v>12</v>
      </c>
      <c r="M6">
        <v>15</v>
      </c>
      <c r="N6">
        <v>15</v>
      </c>
      <c r="O6" t="s">
        <v>140</v>
      </c>
      <c r="P6" t="s">
        <v>49</v>
      </c>
      <c r="Q6" t="s">
        <v>84</v>
      </c>
      <c r="R6" t="s">
        <v>85</v>
      </c>
      <c r="S6" t="s">
        <v>16</v>
      </c>
      <c r="T6" t="s">
        <v>77</v>
      </c>
      <c r="U6"/>
      <c r="V6">
        <v>2</v>
      </c>
      <c r="W6">
        <v>57500</v>
      </c>
      <c r="X6">
        <v>77.540000000000006</v>
      </c>
      <c r="Y6">
        <v>81.99</v>
      </c>
      <c r="Z6">
        <v>117.98</v>
      </c>
      <c r="AA6" t="s">
        <v>141</v>
      </c>
      <c r="AB6" t="s">
        <v>146</v>
      </c>
      <c r="AC6" t="s">
        <v>143</v>
      </c>
      <c r="AD6" t="s">
        <v>144</v>
      </c>
      <c r="AE6" t="s">
        <v>145</v>
      </c>
      <c r="AF6" t="s">
        <v>142</v>
      </c>
      <c r="AG6" s="3"/>
      <c r="AH6" s="3"/>
    </row>
    <row r="7" spans="1:34" x14ac:dyDescent="0.45">
      <c r="A7">
        <v>500</v>
      </c>
      <c r="B7">
        <v>1</v>
      </c>
      <c r="C7" s="55">
        <v>1</v>
      </c>
      <c r="D7" t="s">
        <v>354</v>
      </c>
      <c r="E7">
        <f>COUNTIF(Retro!$I7,Retro!$M7)</f>
        <v>1</v>
      </c>
      <c r="F7">
        <f>COUNTIF(Retro!$I7,"&lt;&gt;"&amp;Retro!$M7)</f>
        <v>0</v>
      </c>
      <c r="G7" s="55">
        <v>1</v>
      </c>
      <c r="H7" t="str">
        <f>MID(Retro!$O7,1,FIND(":",Retro!$O7)-1)</f>
        <v>RB1</v>
      </c>
      <c r="I7">
        <f>INT(MID(Retro!$L7,1,1))</f>
        <v>1</v>
      </c>
      <c r="J7" s="55">
        <v>2707</v>
      </c>
      <c r="K7">
        <v>706</v>
      </c>
      <c r="L7">
        <v>12</v>
      </c>
      <c r="M7">
        <v>1</v>
      </c>
      <c r="N7">
        <v>19</v>
      </c>
      <c r="O7" t="s">
        <v>354</v>
      </c>
      <c r="P7" t="s">
        <v>72</v>
      </c>
      <c r="Q7" t="s">
        <v>95</v>
      </c>
      <c r="R7" t="s">
        <v>42</v>
      </c>
      <c r="S7" t="s">
        <v>91</v>
      </c>
      <c r="T7" t="s">
        <v>427</v>
      </c>
      <c r="U7"/>
      <c r="V7">
        <v>4</v>
      </c>
      <c r="W7">
        <v>57700</v>
      </c>
      <c r="X7">
        <v>61.1</v>
      </c>
      <c r="Y7">
        <v>41.9</v>
      </c>
      <c r="Z7">
        <v>103.05</v>
      </c>
      <c r="AA7" t="s">
        <v>147</v>
      </c>
      <c r="AB7" t="s">
        <v>148</v>
      </c>
      <c r="AC7" t="s">
        <v>149</v>
      </c>
      <c r="AD7" t="s">
        <v>150</v>
      </c>
      <c r="AE7" t="s">
        <v>151</v>
      </c>
      <c r="AF7" t="s">
        <v>152</v>
      </c>
      <c r="AG7" s="3"/>
      <c r="AH7" s="3"/>
    </row>
    <row r="8" spans="1:34" x14ac:dyDescent="0.45">
      <c r="A8">
        <v>200</v>
      </c>
      <c r="B8">
        <v>2</v>
      </c>
      <c r="C8" s="55">
        <v>6</v>
      </c>
      <c r="D8" t="s">
        <v>36</v>
      </c>
      <c r="E8">
        <f>COUNTIF(Retro!$I8,Retro!$M8)</f>
        <v>1</v>
      </c>
      <c r="F8">
        <f>COUNTIF(Retro!$I8,"&lt;&gt;"&amp;Retro!$M8)</f>
        <v>0</v>
      </c>
      <c r="G8" s="55">
        <v>1</v>
      </c>
      <c r="H8" t="str">
        <f>MID(Retro!$O8,1,FIND(":",Retro!$O8)-1)</f>
        <v>QB</v>
      </c>
      <c r="I8">
        <f>INT(MID(Retro!$L8,1,1))</f>
        <v>1</v>
      </c>
      <c r="J8">
        <v>14668</v>
      </c>
      <c r="K8">
        <v>2884</v>
      </c>
      <c r="L8">
        <v>13</v>
      </c>
      <c r="M8">
        <v>1</v>
      </c>
      <c r="N8">
        <v>42</v>
      </c>
      <c r="O8" t="s">
        <v>36</v>
      </c>
      <c r="P8" t="s">
        <v>97</v>
      </c>
      <c r="Q8" t="s">
        <v>428</v>
      </c>
      <c r="R8" t="s">
        <v>429</v>
      </c>
      <c r="S8" t="s">
        <v>430</v>
      </c>
      <c r="T8" t="s">
        <v>431</v>
      </c>
      <c r="U8"/>
      <c r="V8">
        <v>3</v>
      </c>
      <c r="W8">
        <v>58600</v>
      </c>
      <c r="X8">
        <v>52.9</v>
      </c>
      <c r="Y8">
        <v>64.19</v>
      </c>
      <c r="Z8">
        <v>96.23</v>
      </c>
      <c r="AA8" t="s">
        <v>153</v>
      </c>
      <c r="AB8" t="s">
        <v>154</v>
      </c>
      <c r="AC8" t="s">
        <v>155</v>
      </c>
      <c r="AD8" t="s">
        <v>156</v>
      </c>
      <c r="AE8" t="s">
        <v>157</v>
      </c>
      <c r="AF8" t="s">
        <v>384</v>
      </c>
      <c r="AG8" s="3"/>
      <c r="AH8" s="3"/>
    </row>
    <row r="9" spans="1:34" x14ac:dyDescent="0.45">
      <c r="A9">
        <v>73.44</v>
      </c>
      <c r="B9">
        <v>16</v>
      </c>
      <c r="C9" s="55">
        <v>1</v>
      </c>
      <c r="D9" t="s">
        <v>78</v>
      </c>
      <c r="E9">
        <f>COUNTIF(Retro!$I9,Retro!$M9)</f>
        <v>1</v>
      </c>
      <c r="F9">
        <f>COUNTIF(Retro!$I9,"&lt;&gt;"&amp;Retro!$M9)</f>
        <v>0</v>
      </c>
      <c r="G9">
        <v>1</v>
      </c>
      <c r="H9" t="str">
        <f>MID(Retro!$O9,1,FIND(":",Retro!$O9)-1)</f>
        <v>QB</v>
      </c>
      <c r="I9">
        <f>INT(MID(Retro!$L9,1,1))</f>
        <v>1</v>
      </c>
      <c r="J9" s="55">
        <v>32522</v>
      </c>
      <c r="K9">
        <v>5988</v>
      </c>
      <c r="L9">
        <v>16</v>
      </c>
      <c r="M9">
        <v>1</v>
      </c>
      <c r="N9">
        <v>12</v>
      </c>
      <c r="O9" t="s">
        <v>78</v>
      </c>
      <c r="P9" t="s">
        <v>86</v>
      </c>
      <c r="Q9" t="s">
        <v>88</v>
      </c>
      <c r="R9" t="s">
        <v>125</v>
      </c>
      <c r="S9" t="s">
        <v>158</v>
      </c>
      <c r="T9" t="s">
        <v>159</v>
      </c>
      <c r="U9"/>
      <c r="V9">
        <v>4</v>
      </c>
      <c r="W9">
        <v>58200</v>
      </c>
      <c r="X9">
        <v>96.32</v>
      </c>
      <c r="Y9">
        <v>84.7</v>
      </c>
      <c r="Z9">
        <v>91.97</v>
      </c>
      <c r="AA9" t="s">
        <v>160</v>
      </c>
      <c r="AB9" t="s">
        <v>161</v>
      </c>
      <c r="AC9" t="s">
        <v>162</v>
      </c>
      <c r="AD9" t="s">
        <v>163</v>
      </c>
      <c r="AE9" t="s">
        <v>164</v>
      </c>
      <c r="AF9" t="s">
        <v>165</v>
      </c>
      <c r="AG9" s="3"/>
      <c r="AH9" s="3"/>
    </row>
    <row r="10" spans="1:34" x14ac:dyDescent="0.45">
      <c r="A10" s="49">
        <v>500</v>
      </c>
      <c r="B10" s="3">
        <v>1</v>
      </c>
      <c r="C10" s="3">
        <v>1</v>
      </c>
      <c r="D10" s="3" t="s">
        <v>25</v>
      </c>
      <c r="E10" s="3">
        <f>COUNTIF(Retro!$I10,Retro!$M10)</f>
        <v>0</v>
      </c>
      <c r="F10" s="55">
        <f>COUNTIF(Retro!$I10,"&lt;&gt;"&amp;Retro!$M10)</f>
        <v>1</v>
      </c>
      <c r="G10" s="55">
        <v>2</v>
      </c>
      <c r="H10" s="61" t="str">
        <f>MID(Retro!$O10,1,FIND(":",Retro!$O10)-1)</f>
        <v>RB1</v>
      </c>
      <c r="I10" s="55">
        <f>INT(MID(Retro!$L10,1,1))</f>
        <v>1</v>
      </c>
      <c r="J10" s="55">
        <v>30089</v>
      </c>
      <c r="K10" s="55">
        <v>5736</v>
      </c>
      <c r="L10" s="55">
        <v>13</v>
      </c>
      <c r="M10" s="55">
        <v>3</v>
      </c>
      <c r="N10" s="55">
        <v>20</v>
      </c>
      <c r="O10" s="55" t="s">
        <v>385</v>
      </c>
      <c r="P10" s="55" t="s">
        <v>25</v>
      </c>
      <c r="Q10" s="55" t="s">
        <v>104</v>
      </c>
      <c r="R10" s="55" t="s">
        <v>166</v>
      </c>
      <c r="S10" s="55" t="s">
        <v>386</v>
      </c>
      <c r="T10" s="55" t="s">
        <v>387</v>
      </c>
      <c r="U10" s="55"/>
      <c r="V10" s="55">
        <v>4</v>
      </c>
      <c r="W10" s="55">
        <v>59400</v>
      </c>
      <c r="X10" s="55">
        <v>76.89</v>
      </c>
      <c r="Y10" s="55">
        <v>93.8</v>
      </c>
      <c r="Z10" s="55">
        <v>106.27</v>
      </c>
      <c r="AA10" s="55" t="s">
        <v>168</v>
      </c>
      <c r="AB10" s="55" t="s">
        <v>169</v>
      </c>
      <c r="AC10" s="55" t="s">
        <v>170</v>
      </c>
      <c r="AD10" s="55" t="s">
        <v>171</v>
      </c>
      <c r="AE10" s="55" t="s">
        <v>172</v>
      </c>
      <c r="AF10" s="55" t="s">
        <v>173</v>
      </c>
      <c r="AG10" s="3"/>
      <c r="AH10" s="3"/>
    </row>
    <row r="11" spans="1:34" x14ac:dyDescent="0.45">
      <c r="A11">
        <v>500</v>
      </c>
      <c r="B11">
        <v>1</v>
      </c>
      <c r="C11" s="55">
        <v>11</v>
      </c>
      <c r="D11" t="s">
        <v>357</v>
      </c>
      <c r="E11">
        <f>COUNTIF(Retro!$I11,Retro!$M11)</f>
        <v>0</v>
      </c>
      <c r="F11">
        <f>COUNTIF(Retro!$I11,"&lt;&gt;"&amp;Retro!$M11)</f>
        <v>1</v>
      </c>
      <c r="G11" s="55">
        <v>1</v>
      </c>
      <c r="H11" t="str">
        <f>MID(Retro!$O11,1,FIND(":",Retro!$O11)-1)</f>
        <v>RB2</v>
      </c>
      <c r="I11">
        <f>INT(MID(Retro!$L11,1,1))</f>
        <v>2</v>
      </c>
      <c r="J11" s="55">
        <v>54196</v>
      </c>
      <c r="K11">
        <v>9605</v>
      </c>
      <c r="L11">
        <v>29</v>
      </c>
      <c r="M11">
        <v>9</v>
      </c>
      <c r="N11">
        <v>16</v>
      </c>
      <c r="O11" t="s">
        <v>73</v>
      </c>
      <c r="P11" t="s">
        <v>45</v>
      </c>
      <c r="Q11" t="s">
        <v>103</v>
      </c>
      <c r="R11" t="s">
        <v>46</v>
      </c>
      <c r="S11" t="s">
        <v>174</v>
      </c>
      <c r="T11" t="s">
        <v>59</v>
      </c>
      <c r="U11"/>
      <c r="V11">
        <v>5</v>
      </c>
      <c r="W11">
        <v>46800</v>
      </c>
      <c r="X11">
        <v>56.7</v>
      </c>
      <c r="Y11">
        <v>60.4</v>
      </c>
      <c r="Z11">
        <v>96.31</v>
      </c>
      <c r="AA11" t="s">
        <v>175</v>
      </c>
      <c r="AB11" t="s">
        <v>177</v>
      </c>
      <c r="AC11" t="s">
        <v>179</v>
      </c>
      <c r="AD11" t="s">
        <v>178</v>
      </c>
      <c r="AE11" t="s">
        <v>180</v>
      </c>
      <c r="AF11" t="s">
        <v>176</v>
      </c>
      <c r="AG11" s="3"/>
      <c r="AH11" s="3"/>
    </row>
    <row r="12" spans="1:34" x14ac:dyDescent="0.45">
      <c r="A12">
        <v>500</v>
      </c>
      <c r="B12">
        <v>1</v>
      </c>
      <c r="C12" s="55">
        <v>2</v>
      </c>
      <c r="D12" t="s">
        <v>52</v>
      </c>
      <c r="E12">
        <f>COUNTIF(Retro!$I12,Retro!$M12)</f>
        <v>0</v>
      </c>
      <c r="F12">
        <f>COUNTIF(Retro!$I12,"&lt;&gt;"&amp;Retro!$M12)</f>
        <v>1</v>
      </c>
      <c r="G12" s="55">
        <v>1</v>
      </c>
      <c r="H12" t="str">
        <f>MID(Retro!$O12,1,FIND(":",Retro!$O12)-1)</f>
        <v>RB2</v>
      </c>
      <c r="I12">
        <f>INT(MID(Retro!$L12,1,1))</f>
        <v>2</v>
      </c>
      <c r="J12" s="55">
        <v>45325</v>
      </c>
      <c r="K12">
        <v>8121</v>
      </c>
      <c r="L12">
        <v>23</v>
      </c>
      <c r="M12">
        <v>8</v>
      </c>
      <c r="N12">
        <v>15</v>
      </c>
      <c r="O12" t="s">
        <v>20</v>
      </c>
      <c r="P12" t="s">
        <v>12</v>
      </c>
      <c r="Q12" t="s">
        <v>18</v>
      </c>
      <c r="R12" t="s">
        <v>37</v>
      </c>
      <c r="S12" t="s">
        <v>82</v>
      </c>
      <c r="T12" t="s">
        <v>65</v>
      </c>
      <c r="U12"/>
      <c r="V12">
        <v>3</v>
      </c>
      <c r="W12">
        <v>58400</v>
      </c>
      <c r="X12">
        <v>76.53</v>
      </c>
      <c r="Y12">
        <v>81.25</v>
      </c>
      <c r="Z12">
        <v>155.37</v>
      </c>
      <c r="AA12" t="s">
        <v>181</v>
      </c>
      <c r="AB12" t="s">
        <v>182</v>
      </c>
      <c r="AC12" t="s">
        <v>183</v>
      </c>
      <c r="AD12" t="s">
        <v>185</v>
      </c>
      <c r="AE12" t="s">
        <v>184</v>
      </c>
      <c r="AF12" t="s">
        <v>186</v>
      </c>
      <c r="AG12" s="3"/>
      <c r="AH12" s="3"/>
    </row>
    <row r="13" spans="1:34" x14ac:dyDescent="0.45">
      <c r="A13">
        <v>215</v>
      </c>
      <c r="B13">
        <v>5</v>
      </c>
      <c r="C13" s="55">
        <v>1</v>
      </c>
      <c r="D13" t="s">
        <v>355</v>
      </c>
      <c r="E13">
        <f>COUNTIF(Retro!$I13,Retro!$M13)</f>
        <v>1</v>
      </c>
      <c r="F13">
        <f>COUNTIF(Retro!$I13,"&lt;&gt;"&amp;Retro!$M13)</f>
        <v>0</v>
      </c>
      <c r="G13">
        <v>1</v>
      </c>
      <c r="H13" t="str">
        <f>MID(Retro!$O13,1,FIND(":",Retro!$O13)-1)</f>
        <v>QB</v>
      </c>
      <c r="I13">
        <f>INT(MID(Retro!$L13,1,1))</f>
        <v>2</v>
      </c>
      <c r="J13" s="55">
        <v>88847</v>
      </c>
      <c r="K13">
        <v>15795</v>
      </c>
      <c r="L13">
        <v>23</v>
      </c>
      <c r="M13">
        <v>2</v>
      </c>
      <c r="N13">
        <v>17</v>
      </c>
      <c r="O13" t="s">
        <v>187</v>
      </c>
      <c r="P13" t="s">
        <v>56</v>
      </c>
      <c r="Q13" t="s">
        <v>188</v>
      </c>
      <c r="R13" t="s">
        <v>189</v>
      </c>
      <c r="S13" t="s">
        <v>393</v>
      </c>
      <c r="T13" t="s">
        <v>394</v>
      </c>
      <c r="U13"/>
      <c r="V13">
        <v>2</v>
      </c>
      <c r="W13">
        <v>58900</v>
      </c>
      <c r="X13">
        <v>59.12</v>
      </c>
      <c r="Y13">
        <v>67.010000000000005</v>
      </c>
      <c r="Z13">
        <v>94.93</v>
      </c>
      <c r="AA13" t="s">
        <v>190</v>
      </c>
      <c r="AB13" t="s">
        <v>191</v>
      </c>
      <c r="AC13" t="s">
        <v>192</v>
      </c>
      <c r="AD13" t="s">
        <v>193</v>
      </c>
      <c r="AE13" t="s">
        <v>194</v>
      </c>
      <c r="AF13" t="s">
        <v>195</v>
      </c>
      <c r="AG13" s="3"/>
      <c r="AH13" s="3"/>
    </row>
    <row r="14" spans="1:34" x14ac:dyDescent="0.45">
      <c r="A14">
        <v>750</v>
      </c>
      <c r="B14">
        <v>1</v>
      </c>
      <c r="C14" s="55">
        <v>1</v>
      </c>
      <c r="D14" t="s">
        <v>391</v>
      </c>
      <c r="E14">
        <f>COUNTIF(Retro!$I14,Retro!$M14)</f>
        <v>0</v>
      </c>
      <c r="F14">
        <f>COUNTIF(Retro!$I14,"&lt;&gt;"&amp;Retro!$M14)</f>
        <v>1</v>
      </c>
      <c r="G14">
        <v>1</v>
      </c>
      <c r="H14" t="str">
        <f>MID(Retro!$O14,1,FIND(":",Retro!$O14)-1)</f>
        <v>QB</v>
      </c>
      <c r="I14">
        <f>INT(MID(Retro!$L14,1,1))</f>
        <v>1</v>
      </c>
      <c r="J14" s="55">
        <v>36784</v>
      </c>
      <c r="K14">
        <v>6925</v>
      </c>
      <c r="L14">
        <v>13</v>
      </c>
      <c r="M14">
        <v>3</v>
      </c>
      <c r="N14">
        <v>23</v>
      </c>
      <c r="O14" t="s">
        <v>57</v>
      </c>
      <c r="P14" t="s">
        <v>391</v>
      </c>
      <c r="Q14" t="s">
        <v>51</v>
      </c>
      <c r="R14" t="s">
        <v>196</v>
      </c>
      <c r="S14" t="s">
        <v>16</v>
      </c>
      <c r="T14" t="s">
        <v>392</v>
      </c>
      <c r="U14"/>
      <c r="V14">
        <v>4</v>
      </c>
      <c r="W14">
        <v>59800</v>
      </c>
      <c r="X14">
        <v>56.47</v>
      </c>
      <c r="Y14">
        <v>64.47</v>
      </c>
      <c r="Z14">
        <v>161.44</v>
      </c>
      <c r="AA14" t="s">
        <v>197</v>
      </c>
      <c r="AB14" t="s">
        <v>198</v>
      </c>
      <c r="AC14" t="s">
        <v>199</v>
      </c>
      <c r="AD14" t="s">
        <v>200</v>
      </c>
      <c r="AE14" t="s">
        <v>201</v>
      </c>
      <c r="AF14" t="s">
        <v>202</v>
      </c>
      <c r="AG14" s="3"/>
      <c r="AH14" s="3"/>
    </row>
    <row r="15" spans="1:34" x14ac:dyDescent="0.45">
      <c r="A15">
        <v>18.25</v>
      </c>
      <c r="B15">
        <v>73</v>
      </c>
      <c r="C15" s="55">
        <v>1</v>
      </c>
      <c r="D15" t="s">
        <v>47</v>
      </c>
      <c r="E15">
        <f>COUNTIF(Retro!$I15,Retro!$M15)</f>
        <v>1</v>
      </c>
      <c r="F15">
        <f>COUNTIF(Retro!$I15,"&lt;&gt;"&amp;Retro!$M15)</f>
        <v>0</v>
      </c>
      <c r="G15">
        <v>1</v>
      </c>
      <c r="H15" t="str">
        <f>MID(Retro!$O15,1,FIND(":",Retro!$O15)-1)</f>
        <v>QB</v>
      </c>
      <c r="I15">
        <f>INT(MID(Retro!$L15,1,1))</f>
        <v>2</v>
      </c>
      <c r="J15" s="55">
        <v>35310</v>
      </c>
      <c r="K15">
        <v>6705</v>
      </c>
      <c r="L15">
        <v>24</v>
      </c>
      <c r="M15">
        <v>2</v>
      </c>
      <c r="N15">
        <v>19</v>
      </c>
      <c r="O15" t="s">
        <v>63</v>
      </c>
      <c r="P15" t="s">
        <v>48</v>
      </c>
      <c r="Q15" t="s">
        <v>203</v>
      </c>
      <c r="R15" t="s">
        <v>388</v>
      </c>
      <c r="S15" t="s">
        <v>389</v>
      </c>
      <c r="T15" t="s">
        <v>390</v>
      </c>
      <c r="U15"/>
      <c r="V15">
        <v>5</v>
      </c>
      <c r="W15">
        <v>60000</v>
      </c>
      <c r="X15">
        <v>64.819999999999993</v>
      </c>
      <c r="Y15">
        <v>72.069999999999993</v>
      </c>
      <c r="Z15">
        <v>115.91</v>
      </c>
      <c r="AA15" t="s">
        <v>205</v>
      </c>
      <c r="AB15" t="s">
        <v>206</v>
      </c>
      <c r="AC15" t="s">
        <v>207</v>
      </c>
      <c r="AD15" t="s">
        <v>208</v>
      </c>
      <c r="AE15" t="s">
        <v>209</v>
      </c>
      <c r="AF15" t="s">
        <v>210</v>
      </c>
      <c r="AG15" s="3"/>
      <c r="AH15" s="3"/>
    </row>
    <row r="16" spans="1:34" x14ac:dyDescent="0.45">
      <c r="A16">
        <v>6.54</v>
      </c>
      <c r="B16">
        <v>452</v>
      </c>
      <c r="C16" s="55">
        <v>1</v>
      </c>
      <c r="D16" t="s">
        <v>66</v>
      </c>
      <c r="E16">
        <f>COUNTIF(Retro!$I16,Retro!$M16)</f>
        <v>0</v>
      </c>
      <c r="F16">
        <f>COUNTIF(Retro!$I16,"&lt;&gt;"&amp;Retro!$M16)</f>
        <v>1</v>
      </c>
      <c r="G16">
        <v>1</v>
      </c>
      <c r="H16" t="str">
        <f>MID(Retro!$O16,1,FIND(":",Retro!$O16)-1)</f>
        <v>QB</v>
      </c>
      <c r="I16">
        <f>INT(MID(Retro!$L16,1,1))</f>
        <v>2</v>
      </c>
      <c r="J16" s="55">
        <v>4973</v>
      </c>
      <c r="K16">
        <v>856</v>
      </c>
      <c r="L16">
        <v>23</v>
      </c>
      <c r="M16">
        <v>3</v>
      </c>
      <c r="N16">
        <v>24</v>
      </c>
      <c r="O16" t="s">
        <v>21</v>
      </c>
      <c r="P16" t="s">
        <v>19</v>
      </c>
      <c r="Q16" t="s">
        <v>397</v>
      </c>
      <c r="R16" t="s">
        <v>89</v>
      </c>
      <c r="S16" t="s">
        <v>401</v>
      </c>
      <c r="T16" t="s">
        <v>402</v>
      </c>
      <c r="U16"/>
      <c r="V16">
        <v>3</v>
      </c>
      <c r="W16">
        <v>52700</v>
      </c>
      <c r="X16">
        <v>76.44</v>
      </c>
      <c r="Y16">
        <v>86.09</v>
      </c>
      <c r="Z16">
        <v>160.72</v>
      </c>
      <c r="AA16" t="s">
        <v>211</v>
      </c>
      <c r="AB16" t="s">
        <v>212</v>
      </c>
      <c r="AC16" t="s">
        <v>398</v>
      </c>
      <c r="AD16" t="s">
        <v>399</v>
      </c>
      <c r="AE16" t="s">
        <v>213</v>
      </c>
      <c r="AF16" t="s">
        <v>400</v>
      </c>
      <c r="AG16" s="3"/>
      <c r="AH16" s="3"/>
    </row>
    <row r="17" spans="1:34" x14ac:dyDescent="0.45">
      <c r="A17">
        <v>121.36</v>
      </c>
      <c r="B17">
        <v>11</v>
      </c>
      <c r="C17" s="55">
        <v>8</v>
      </c>
      <c r="D17" t="s">
        <v>25</v>
      </c>
      <c r="E17">
        <f>COUNTIF(Retro!$I17,Retro!$M17)</f>
        <v>0</v>
      </c>
      <c r="F17">
        <f>COUNTIF(Retro!$I17,"&lt;&gt;"&amp;Retro!$M17)</f>
        <v>1</v>
      </c>
      <c r="G17">
        <v>1</v>
      </c>
      <c r="H17" t="str">
        <f>MID(Retro!$O17,1,FIND(":",Retro!$O17)-1)</f>
        <v>WR1</v>
      </c>
      <c r="I17">
        <f>INT(MID(Retro!$L17,1,1))</f>
        <v>1</v>
      </c>
      <c r="J17" s="55">
        <v>68287</v>
      </c>
      <c r="K17">
        <v>12679</v>
      </c>
      <c r="L17">
        <v>16</v>
      </c>
      <c r="M17">
        <v>6</v>
      </c>
      <c r="N17">
        <v>31</v>
      </c>
      <c r="O17" t="s">
        <v>216</v>
      </c>
      <c r="P17" t="s">
        <v>25</v>
      </c>
      <c r="Q17" t="s">
        <v>386</v>
      </c>
      <c r="R17" t="s">
        <v>217</v>
      </c>
      <c r="S17" t="s">
        <v>218</v>
      </c>
      <c r="T17" t="s">
        <v>396</v>
      </c>
      <c r="U17"/>
      <c r="V17">
        <v>3</v>
      </c>
      <c r="W17">
        <v>51400</v>
      </c>
      <c r="X17">
        <v>59.97</v>
      </c>
      <c r="Y17">
        <v>64.19</v>
      </c>
      <c r="Z17">
        <v>107.42</v>
      </c>
      <c r="AA17" t="s">
        <v>219</v>
      </c>
      <c r="AB17" t="s">
        <v>220</v>
      </c>
      <c r="AC17" t="s">
        <v>221</v>
      </c>
      <c r="AD17" t="s">
        <v>222</v>
      </c>
      <c r="AE17" t="s">
        <v>223</v>
      </c>
      <c r="AF17" t="s">
        <v>224</v>
      </c>
      <c r="AG17" s="3"/>
      <c r="AH17" s="3"/>
    </row>
    <row r="18" spans="1:34" x14ac:dyDescent="0.45">
      <c r="A18">
        <v>300</v>
      </c>
      <c r="B18">
        <v>3</v>
      </c>
      <c r="C18" s="55">
        <v>1</v>
      </c>
      <c r="D18" t="s">
        <v>45</v>
      </c>
      <c r="E18">
        <f>COUNTIF(Retro!$I18,Retro!$M18)</f>
        <v>1</v>
      </c>
      <c r="F18">
        <f>COUNTIF(Retro!$I18,"&lt;&gt;"&amp;Retro!$M18)</f>
        <v>0</v>
      </c>
      <c r="G18">
        <v>1</v>
      </c>
      <c r="H18" t="str">
        <f>MID(Retro!$O18,1,FIND(":",Retro!$O18)-1)</f>
        <v>QB</v>
      </c>
      <c r="I18">
        <f>INT(MID(Retro!$L18,1,1))</f>
        <v>1</v>
      </c>
      <c r="J18" s="55">
        <v>56121</v>
      </c>
      <c r="K18">
        <v>10717</v>
      </c>
      <c r="L18">
        <v>14</v>
      </c>
      <c r="M18">
        <v>1</v>
      </c>
      <c r="N18">
        <v>23</v>
      </c>
      <c r="O18" t="s">
        <v>45</v>
      </c>
      <c r="P18" t="s">
        <v>225</v>
      </c>
      <c r="Q18" t="s">
        <v>102</v>
      </c>
      <c r="R18" t="s">
        <v>59</v>
      </c>
      <c r="S18" t="s">
        <v>174</v>
      </c>
      <c r="T18" t="s">
        <v>395</v>
      </c>
      <c r="U18"/>
      <c r="V18">
        <v>4</v>
      </c>
      <c r="W18">
        <v>58700</v>
      </c>
      <c r="X18">
        <v>65.11</v>
      </c>
      <c r="Y18">
        <v>76.31</v>
      </c>
      <c r="Z18">
        <v>126.22</v>
      </c>
      <c r="AA18" t="s">
        <v>227</v>
      </c>
      <c r="AB18" t="s">
        <v>228</v>
      </c>
      <c r="AC18" t="s">
        <v>230</v>
      </c>
      <c r="AD18" t="s">
        <v>231</v>
      </c>
      <c r="AE18" t="s">
        <v>229</v>
      </c>
      <c r="AF18" t="s">
        <v>232</v>
      </c>
      <c r="AG18" s="3"/>
      <c r="AH18" s="3"/>
    </row>
    <row r="19" spans="1:34" x14ac:dyDescent="0.45">
      <c r="A19">
        <v>500</v>
      </c>
      <c r="B19">
        <v>1</v>
      </c>
      <c r="C19" s="55">
        <v>2</v>
      </c>
      <c r="D19" t="s">
        <v>43</v>
      </c>
      <c r="E19">
        <f>COUNTIF(Retro!$I19,Retro!$M19)</f>
        <v>0</v>
      </c>
      <c r="F19">
        <f>COUNTIF(Retro!$I19,"&lt;&gt;"&amp;Retro!$M19)</f>
        <v>1</v>
      </c>
      <c r="G19">
        <v>1</v>
      </c>
      <c r="H19" t="str">
        <f>MID(Retro!$O19,1,FIND(":",Retro!$O19)-1)</f>
        <v>RB</v>
      </c>
      <c r="I19">
        <f>INT(MID(Retro!$L19,1,1))</f>
        <v>1</v>
      </c>
      <c r="J19" s="55">
        <v>8942</v>
      </c>
      <c r="K19">
        <v>1883</v>
      </c>
      <c r="L19">
        <v>13</v>
      </c>
      <c r="M19">
        <v>4</v>
      </c>
      <c r="N19">
        <v>47</v>
      </c>
      <c r="O19" t="s">
        <v>61</v>
      </c>
      <c r="P19" t="s">
        <v>43</v>
      </c>
      <c r="Q19" t="s">
        <v>235</v>
      </c>
      <c r="R19" t="s">
        <v>407</v>
      </c>
      <c r="S19" t="s">
        <v>432</v>
      </c>
      <c r="T19" t="s">
        <v>357</v>
      </c>
      <c r="U19"/>
      <c r="V19">
        <v>2</v>
      </c>
      <c r="W19">
        <v>59700</v>
      </c>
      <c r="X19">
        <v>62.65</v>
      </c>
      <c r="Y19">
        <v>68.75</v>
      </c>
      <c r="Z19">
        <v>139.62</v>
      </c>
      <c r="AA19" t="s">
        <v>239</v>
      </c>
      <c r="AB19" t="s">
        <v>242</v>
      </c>
      <c r="AC19" t="s">
        <v>241</v>
      </c>
      <c r="AD19" t="s">
        <v>243</v>
      </c>
      <c r="AE19" t="s">
        <v>240</v>
      </c>
      <c r="AF19" t="s">
        <v>408</v>
      </c>
      <c r="AG19" s="3"/>
      <c r="AH19" s="3"/>
    </row>
    <row r="20" spans="1:34" x14ac:dyDescent="0.45">
      <c r="A20">
        <v>17.600000000000001</v>
      </c>
      <c r="B20">
        <v>102</v>
      </c>
      <c r="C20" s="55">
        <v>1</v>
      </c>
      <c r="D20" t="s">
        <v>37</v>
      </c>
      <c r="E20">
        <f>COUNTIF(Retro!$I20,Retro!$M20)</f>
        <v>0</v>
      </c>
      <c r="F20">
        <f>COUNTIF(Retro!$I20,"&lt;&gt;"&amp;Retro!$M20)</f>
        <v>1</v>
      </c>
      <c r="G20">
        <v>1</v>
      </c>
      <c r="H20" t="str">
        <f>MID(Retro!$O20,1,FIND(":",Retro!$O20)-1)</f>
        <v>QB</v>
      </c>
      <c r="I20">
        <f>INT(MID(Retro!$L20,1,1))</f>
        <v>3</v>
      </c>
      <c r="J20" s="55">
        <v>77753</v>
      </c>
      <c r="K20">
        <v>14109</v>
      </c>
      <c r="L20">
        <v>34</v>
      </c>
      <c r="M20">
        <v>4</v>
      </c>
      <c r="N20">
        <v>15</v>
      </c>
      <c r="O20" t="s">
        <v>45</v>
      </c>
      <c r="P20" t="s">
        <v>55</v>
      </c>
      <c r="Q20" t="s">
        <v>102</v>
      </c>
      <c r="R20" t="s">
        <v>17</v>
      </c>
      <c r="S20" t="s">
        <v>76</v>
      </c>
      <c r="T20" t="s">
        <v>14</v>
      </c>
      <c r="U20"/>
      <c r="V20">
        <v>3</v>
      </c>
      <c r="W20">
        <v>59600</v>
      </c>
      <c r="X20">
        <v>77.59</v>
      </c>
      <c r="Y20">
        <v>89.75</v>
      </c>
      <c r="Z20">
        <v>122.94</v>
      </c>
      <c r="AA20" t="s">
        <v>262</v>
      </c>
      <c r="AB20" t="s">
        <v>263</v>
      </c>
      <c r="AC20" t="s">
        <v>264</v>
      </c>
      <c r="AD20" t="s">
        <v>265</v>
      </c>
      <c r="AE20" t="s">
        <v>266</v>
      </c>
      <c r="AF20" t="s">
        <v>267</v>
      </c>
      <c r="AG20" s="3"/>
      <c r="AH20" s="3"/>
    </row>
    <row r="21" spans="1:34" x14ac:dyDescent="0.45">
      <c r="A21" s="55">
        <v>90</v>
      </c>
      <c r="B21" s="55">
        <v>8</v>
      </c>
      <c r="C21" s="55">
        <v>1</v>
      </c>
      <c r="D21" s="55" t="s">
        <v>25</v>
      </c>
      <c r="E21" s="55">
        <f>COUNTIF(Retro!$I21,Retro!$M21)</f>
        <v>0</v>
      </c>
      <c r="F21" s="55">
        <f>COUNTIF(Retro!$I21,"&lt;&gt;"&amp;Retro!$M21)</f>
        <v>1</v>
      </c>
      <c r="G21" s="55">
        <v>1</v>
      </c>
      <c r="H21" s="55" t="str">
        <f>MID(Retro!$O21,1,FIND(":",Retro!$O21)-1)</f>
        <v>RB1</v>
      </c>
      <c r="I21" s="55">
        <f>INT(MID(Retro!$L21,1,1))</f>
        <v>1</v>
      </c>
      <c r="J21" s="55">
        <v>1922</v>
      </c>
      <c r="K21" s="55">
        <v>467</v>
      </c>
      <c r="L21" s="55">
        <v>12</v>
      </c>
      <c r="M21" s="55">
        <v>2</v>
      </c>
      <c r="N21" s="55">
        <v>26</v>
      </c>
      <c r="O21" s="55" t="s">
        <v>354</v>
      </c>
      <c r="P21" s="55" t="s">
        <v>25</v>
      </c>
      <c r="Q21" s="55" t="s">
        <v>44</v>
      </c>
      <c r="R21" s="55" t="s">
        <v>41</v>
      </c>
      <c r="S21" s="55" t="s">
        <v>403</v>
      </c>
      <c r="T21" s="55" t="s">
        <v>404</v>
      </c>
      <c r="U21" s="55"/>
      <c r="V21" s="55">
        <v>3</v>
      </c>
      <c r="W21" s="55">
        <v>58600</v>
      </c>
      <c r="X21" s="55">
        <v>75.39</v>
      </c>
      <c r="Y21" s="55">
        <v>86.55</v>
      </c>
      <c r="Z21" s="55">
        <v>132.80000000000001</v>
      </c>
      <c r="AA21" s="55" t="s">
        <v>250</v>
      </c>
      <c r="AB21" s="55" t="s">
        <v>251</v>
      </c>
      <c r="AC21" s="55" t="s">
        <v>252</v>
      </c>
      <c r="AD21" s="55" t="s">
        <v>253</v>
      </c>
      <c r="AE21" s="55" t="s">
        <v>254</v>
      </c>
      <c r="AF21" s="55" t="s">
        <v>255</v>
      </c>
      <c r="AG21" s="3"/>
      <c r="AH21" s="3"/>
    </row>
    <row r="22" spans="1:34" x14ac:dyDescent="0.45">
      <c r="A22">
        <v>500</v>
      </c>
      <c r="B22">
        <v>1</v>
      </c>
      <c r="C22" s="55">
        <v>2</v>
      </c>
      <c r="D22" t="s">
        <v>49</v>
      </c>
      <c r="E22">
        <f>COUNTIF(Retro!$I22,Retro!$M22)</f>
        <v>0</v>
      </c>
      <c r="F22">
        <f>COUNTIF(Retro!$I22,"&lt;&gt;"&amp;Retro!$M22)</f>
        <v>1</v>
      </c>
      <c r="G22">
        <v>1</v>
      </c>
      <c r="H22" t="str">
        <f>MID(Retro!$O22,1,FIND(":",Retro!$O22)-1)</f>
        <v>RB1</v>
      </c>
      <c r="I22">
        <f>INT(MID(Retro!$L22,1,1))</f>
        <v>1</v>
      </c>
      <c r="J22" s="55">
        <v>9078</v>
      </c>
      <c r="K22">
        <v>1925</v>
      </c>
      <c r="L22">
        <v>12</v>
      </c>
      <c r="M22">
        <v>5</v>
      </c>
      <c r="N22">
        <v>35</v>
      </c>
      <c r="O22" t="s">
        <v>405</v>
      </c>
      <c r="P22" t="s">
        <v>49</v>
      </c>
      <c r="Q22" t="s">
        <v>132</v>
      </c>
      <c r="R22" t="s">
        <v>39</v>
      </c>
      <c r="S22" t="s">
        <v>77</v>
      </c>
      <c r="T22" t="s">
        <v>406</v>
      </c>
      <c r="U22"/>
      <c r="V22">
        <v>3</v>
      </c>
      <c r="W22">
        <v>54100</v>
      </c>
      <c r="X22">
        <v>65.19</v>
      </c>
      <c r="Y22">
        <v>70.650000000000006</v>
      </c>
      <c r="Z22">
        <v>125.17</v>
      </c>
      <c r="AA22" t="s">
        <v>274</v>
      </c>
      <c r="AB22" t="s">
        <v>276</v>
      </c>
      <c r="AC22" t="s">
        <v>275</v>
      </c>
      <c r="AD22" t="s">
        <v>277</v>
      </c>
      <c r="AE22" t="s">
        <v>278</v>
      </c>
      <c r="AF22" t="s">
        <v>279</v>
      </c>
      <c r="AG22" s="3"/>
      <c r="AH22" s="3"/>
    </row>
    <row r="23" spans="1:34" x14ac:dyDescent="0.45">
      <c r="A23" s="49">
        <v>500</v>
      </c>
      <c r="B23" s="3">
        <v>1</v>
      </c>
      <c r="C23" s="3">
        <v>1</v>
      </c>
      <c r="D23" s="3" t="s">
        <v>47</v>
      </c>
      <c r="E23" s="3">
        <f>COUNTIF(Retro!$I23,Retro!$M23)</f>
        <v>0</v>
      </c>
      <c r="F23" s="55">
        <f>COUNTIF(Retro!$I23,"&lt;&gt;"&amp;Retro!$M23)</f>
        <v>1</v>
      </c>
      <c r="G23" s="61">
        <v>3</v>
      </c>
      <c r="H23" s="61" t="str">
        <f>MID(Retro!$O23,1,FIND(":",Retro!$O23)-1)</f>
        <v>TE2</v>
      </c>
      <c r="I23" s="55">
        <f>INT(MID(Retro!$L23,1,1))</f>
        <v>1</v>
      </c>
      <c r="J23" s="55">
        <v>992</v>
      </c>
      <c r="K23" s="55">
        <v>298</v>
      </c>
      <c r="L23" s="55">
        <v>12</v>
      </c>
      <c r="M23" s="55">
        <v>22</v>
      </c>
      <c r="N23" s="55">
        <v>22</v>
      </c>
      <c r="O23" s="55" t="s">
        <v>412</v>
      </c>
      <c r="P23" s="55" t="s">
        <v>47</v>
      </c>
      <c r="Q23" s="55" t="s">
        <v>58</v>
      </c>
      <c r="R23" s="55" t="s">
        <v>48</v>
      </c>
      <c r="S23" s="55" t="s">
        <v>413</v>
      </c>
      <c r="T23" s="55" t="s">
        <v>101</v>
      </c>
      <c r="U23" s="55"/>
      <c r="V23" s="55">
        <v>3</v>
      </c>
      <c r="W23" s="55">
        <v>59300</v>
      </c>
      <c r="X23" s="55">
        <v>62.36</v>
      </c>
      <c r="Y23" s="55">
        <v>63.85</v>
      </c>
      <c r="Z23" s="55">
        <v>167.34</v>
      </c>
      <c r="AA23" s="55" t="s">
        <v>285</v>
      </c>
      <c r="AB23" s="55" t="s">
        <v>290</v>
      </c>
      <c r="AC23" s="55" t="s">
        <v>287</v>
      </c>
      <c r="AD23" s="55" t="s">
        <v>288</v>
      </c>
      <c r="AE23" s="55" t="s">
        <v>289</v>
      </c>
      <c r="AF23" s="55" t="s">
        <v>286</v>
      </c>
      <c r="AG23" s="3"/>
      <c r="AH23" s="3"/>
    </row>
    <row r="24" spans="1:34" x14ac:dyDescent="0.45">
      <c r="A24" s="49">
        <v>237.86</v>
      </c>
      <c r="B24" s="3">
        <v>7</v>
      </c>
      <c r="C24" s="3">
        <v>1</v>
      </c>
      <c r="D24" s="3" t="s">
        <v>71</v>
      </c>
      <c r="E24" s="3">
        <f>COUNTIF(Retro!$I24,Retro!$M24)</f>
        <v>0</v>
      </c>
      <c r="F24" s="55">
        <f>COUNTIF(Retro!$I24,"&lt;&gt;"&amp;Retro!$M24)</f>
        <v>1</v>
      </c>
      <c r="G24" s="61">
        <v>2</v>
      </c>
      <c r="H24" s="61" t="str">
        <f>MID(Retro!$O24,1,FIND(":",Retro!$O24)-1)</f>
        <v>WR1</v>
      </c>
      <c r="I24" s="55">
        <f>INT(MID(Retro!$L24,1,1))</f>
        <v>2</v>
      </c>
      <c r="J24" s="55">
        <v>35517</v>
      </c>
      <c r="K24" s="55">
        <v>6303</v>
      </c>
      <c r="L24" s="55">
        <v>23</v>
      </c>
      <c r="M24" s="55">
        <v>3</v>
      </c>
      <c r="N24" s="55">
        <v>21</v>
      </c>
      <c r="O24" s="55" t="s">
        <v>19</v>
      </c>
      <c r="P24" s="55" t="s">
        <v>21</v>
      </c>
      <c r="Q24" s="55" t="s">
        <v>225</v>
      </c>
      <c r="R24" s="55" t="s">
        <v>395</v>
      </c>
      <c r="S24" s="55" t="s">
        <v>90</v>
      </c>
      <c r="T24" s="55" t="s">
        <v>226</v>
      </c>
      <c r="U24" s="55"/>
      <c r="V24" s="55">
        <v>3</v>
      </c>
      <c r="W24" s="55">
        <v>60000</v>
      </c>
      <c r="X24" s="55">
        <v>67.290000000000006</v>
      </c>
      <c r="Y24" s="55">
        <v>73.650000000000006</v>
      </c>
      <c r="Z24" s="55">
        <v>123.32</v>
      </c>
      <c r="AA24" s="55" t="s">
        <v>334</v>
      </c>
      <c r="AB24" s="55" t="s">
        <v>335</v>
      </c>
      <c r="AC24" s="55" t="s">
        <v>336</v>
      </c>
      <c r="AD24" s="55" t="s">
        <v>337</v>
      </c>
      <c r="AE24" s="55" t="s">
        <v>338</v>
      </c>
      <c r="AF24" s="55" t="s">
        <v>339</v>
      </c>
      <c r="AG24" s="3"/>
      <c r="AH24" s="3"/>
    </row>
    <row r="25" spans="1:34" x14ac:dyDescent="0.45">
      <c r="A25">
        <v>300</v>
      </c>
      <c r="B25">
        <v>3</v>
      </c>
      <c r="C25" s="55">
        <v>1</v>
      </c>
      <c r="D25" t="s">
        <v>354</v>
      </c>
      <c r="E25">
        <f>COUNTIF(Retro!$I25,Retro!$M25)</f>
        <v>0</v>
      </c>
      <c r="F25">
        <f>COUNTIF(Retro!$I25,"&lt;&gt;"&amp;Retro!$M25)</f>
        <v>1</v>
      </c>
      <c r="G25">
        <v>1</v>
      </c>
      <c r="H25" t="str">
        <f>MID(Retro!$O25,1,FIND(":",Retro!$O25)-1)</f>
        <v>RB1</v>
      </c>
      <c r="I25">
        <f>INT(MID(Retro!$L25,1,1))</f>
        <v>1</v>
      </c>
      <c r="J25" s="55">
        <v>6289</v>
      </c>
      <c r="K25">
        <v>1349</v>
      </c>
      <c r="L25">
        <v>12</v>
      </c>
      <c r="M25">
        <v>2</v>
      </c>
      <c r="N25">
        <v>14</v>
      </c>
      <c r="O25" t="s">
        <v>402</v>
      </c>
      <c r="P25" t="s">
        <v>354</v>
      </c>
      <c r="Q25" t="s">
        <v>294</v>
      </c>
      <c r="R25" t="s">
        <v>22</v>
      </c>
      <c r="S25" t="s">
        <v>409</v>
      </c>
      <c r="T25" t="s">
        <v>410</v>
      </c>
      <c r="U25"/>
      <c r="V25">
        <v>3</v>
      </c>
      <c r="W25">
        <v>59800</v>
      </c>
      <c r="X25">
        <v>74.73</v>
      </c>
      <c r="Y25">
        <v>85.1</v>
      </c>
      <c r="Z25">
        <v>113.1</v>
      </c>
      <c r="AA25" t="s">
        <v>298</v>
      </c>
      <c r="AB25" t="s">
        <v>299</v>
      </c>
      <c r="AC25" t="s">
        <v>300</v>
      </c>
      <c r="AD25" t="s">
        <v>301</v>
      </c>
      <c r="AE25" t="s">
        <v>302</v>
      </c>
      <c r="AF25" t="s">
        <v>303</v>
      </c>
      <c r="AG25" s="3"/>
      <c r="AH25" s="3"/>
    </row>
    <row r="26" spans="1:34" x14ac:dyDescent="0.45">
      <c r="A26">
        <v>166.67</v>
      </c>
      <c r="B26">
        <v>3</v>
      </c>
      <c r="C26" s="55">
        <v>25</v>
      </c>
      <c r="D26" t="s">
        <v>18</v>
      </c>
      <c r="E26">
        <f>COUNTIF(Retro!$I26,Retro!$M26)</f>
        <v>1</v>
      </c>
      <c r="F26">
        <f>COUNTIF(Retro!$I26,"&lt;&gt;"&amp;Retro!$M26)</f>
        <v>0</v>
      </c>
      <c r="G26">
        <v>1</v>
      </c>
      <c r="H26" t="str">
        <f>MID(Retro!$O26,1,FIND(":",Retro!$O26)-1)</f>
        <v>RB1</v>
      </c>
      <c r="I26">
        <f>INT(MID(Retro!$L26,1,1))</f>
        <v>1</v>
      </c>
      <c r="J26" s="55">
        <v>18281</v>
      </c>
      <c r="K26">
        <v>3478</v>
      </c>
      <c r="L26">
        <v>13</v>
      </c>
      <c r="M26">
        <v>1</v>
      </c>
      <c r="N26">
        <v>18</v>
      </c>
      <c r="O26" t="s">
        <v>18</v>
      </c>
      <c r="P26" t="s">
        <v>37</v>
      </c>
      <c r="Q26" t="s">
        <v>414</v>
      </c>
      <c r="R26" t="s">
        <v>415</v>
      </c>
      <c r="S26" t="s">
        <v>416</v>
      </c>
      <c r="T26" t="s">
        <v>417</v>
      </c>
      <c r="U26"/>
      <c r="V26">
        <v>4</v>
      </c>
      <c r="W26">
        <v>56500</v>
      </c>
      <c r="X26">
        <v>58.59</v>
      </c>
      <c r="Y26">
        <v>66.150000000000006</v>
      </c>
      <c r="Z26">
        <v>118.85</v>
      </c>
      <c r="AA26" t="s">
        <v>310</v>
      </c>
      <c r="AB26" t="s">
        <v>311</v>
      </c>
      <c r="AC26" t="s">
        <v>312</v>
      </c>
      <c r="AD26" t="s">
        <v>313</v>
      </c>
      <c r="AE26" t="s">
        <v>314</v>
      </c>
      <c r="AF26" t="s">
        <v>315</v>
      </c>
      <c r="AG26" s="3"/>
      <c r="AH26" s="3"/>
    </row>
    <row r="27" spans="1:34" x14ac:dyDescent="0.45">
      <c r="A27">
        <v>400</v>
      </c>
      <c r="B27">
        <v>1</v>
      </c>
      <c r="C27" s="55">
        <v>2</v>
      </c>
      <c r="D27" t="s">
        <v>355</v>
      </c>
      <c r="E27">
        <f>COUNTIF(Retro!$I27,Retro!$M27)</f>
        <v>1</v>
      </c>
      <c r="F27">
        <f>COUNTIF(Retro!$I27,"&lt;&gt;"&amp;Retro!$M27)</f>
        <v>0</v>
      </c>
      <c r="G27">
        <v>1</v>
      </c>
      <c r="H27" t="str">
        <f>MID(Retro!$O27,1,FIND(":",Retro!$O27)-1)</f>
        <v>WR1</v>
      </c>
      <c r="I27">
        <f>INT(MID(Retro!$L27,1,1))</f>
        <v>1</v>
      </c>
      <c r="J27" s="55">
        <v>28628</v>
      </c>
      <c r="K27">
        <v>5364</v>
      </c>
      <c r="L27">
        <v>14</v>
      </c>
      <c r="M27">
        <v>1</v>
      </c>
      <c r="N27">
        <v>15</v>
      </c>
      <c r="O27" t="s">
        <v>355</v>
      </c>
      <c r="P27" t="s">
        <v>38</v>
      </c>
      <c r="Q27" t="s">
        <v>393</v>
      </c>
      <c r="R27" t="s">
        <v>189</v>
      </c>
      <c r="S27" t="s">
        <v>40</v>
      </c>
      <c r="T27" t="s">
        <v>411</v>
      </c>
      <c r="U27"/>
      <c r="V27">
        <v>3</v>
      </c>
      <c r="W27">
        <v>58800</v>
      </c>
      <c r="X27">
        <v>69.44</v>
      </c>
      <c r="Y27">
        <v>79.25</v>
      </c>
      <c r="Z27">
        <v>113.41</v>
      </c>
      <c r="AA27" t="s">
        <v>322</v>
      </c>
      <c r="AB27" t="s">
        <v>323</v>
      </c>
      <c r="AC27" t="s">
        <v>324</v>
      </c>
      <c r="AD27" t="s">
        <v>325</v>
      </c>
      <c r="AE27" t="s">
        <v>326</v>
      </c>
      <c r="AF27" t="s">
        <v>327</v>
      </c>
      <c r="AG27" s="3"/>
      <c r="AH27" s="3"/>
    </row>
    <row r="28" spans="1:34" x14ac:dyDescent="0.45">
      <c r="A28">
        <v>23.15</v>
      </c>
      <c r="B28">
        <v>84</v>
      </c>
      <c r="C28" s="55">
        <v>1</v>
      </c>
      <c r="D28" t="s">
        <v>72</v>
      </c>
      <c r="E28">
        <f>COUNTIF(Retro!$I28,Retro!$M28)</f>
        <v>1</v>
      </c>
      <c r="F28">
        <f>COUNTIF(Retro!$I28,"&lt;&gt;"&amp;Retro!$M28)</f>
        <v>0</v>
      </c>
      <c r="G28">
        <v>1</v>
      </c>
      <c r="H28" t="str">
        <f>MID(Retro!$O28,1,FIND(":",Retro!$O28)-1)</f>
        <v>QB</v>
      </c>
      <c r="I28">
        <f>INT(MID(Retro!$L28,1,1))</f>
        <v>2</v>
      </c>
      <c r="J28" s="55">
        <v>64130</v>
      </c>
      <c r="K28">
        <v>11503</v>
      </c>
      <c r="L28">
        <v>27</v>
      </c>
      <c r="M28">
        <v>2</v>
      </c>
      <c r="N28">
        <v>15</v>
      </c>
      <c r="O28" t="s">
        <v>78</v>
      </c>
      <c r="P28" t="s">
        <v>421</v>
      </c>
      <c r="Q28" t="s">
        <v>75</v>
      </c>
      <c r="R28" t="s">
        <v>79</v>
      </c>
      <c r="S28" t="s">
        <v>125</v>
      </c>
      <c r="T28" t="s">
        <v>83</v>
      </c>
      <c r="U28"/>
      <c r="V28">
        <v>5</v>
      </c>
      <c r="W28">
        <v>58900</v>
      </c>
      <c r="X28">
        <v>75.05</v>
      </c>
      <c r="Y28">
        <v>85.7</v>
      </c>
      <c r="Z28">
        <v>120.72</v>
      </c>
      <c r="AA28" t="s">
        <v>347</v>
      </c>
      <c r="AB28" t="s">
        <v>348</v>
      </c>
      <c r="AC28" t="s">
        <v>352</v>
      </c>
      <c r="AD28" t="s">
        <v>350</v>
      </c>
      <c r="AE28" t="s">
        <v>349</v>
      </c>
      <c r="AF28" t="s">
        <v>351</v>
      </c>
      <c r="AG28" s="3"/>
      <c r="AH28" s="3"/>
    </row>
    <row r="29" spans="1:34" x14ac:dyDescent="0.45">
      <c r="A29">
        <v>185</v>
      </c>
      <c r="B29">
        <v>5</v>
      </c>
      <c r="C29" s="55">
        <v>4</v>
      </c>
      <c r="D29" t="s">
        <v>84</v>
      </c>
      <c r="E29">
        <f>COUNTIF(Retro!$I29,Retro!$M29)</f>
        <v>0</v>
      </c>
      <c r="F29">
        <f>COUNTIF(Retro!$I29,"&lt;&gt;"&amp;Retro!$M29)</f>
        <v>1</v>
      </c>
      <c r="G29">
        <v>1</v>
      </c>
      <c r="H29" t="str">
        <f>MID(Retro!$O29,1,FIND(":",Retro!$O29)-1)</f>
        <v>TE1</v>
      </c>
      <c r="I29">
        <f>INT(MID(Retro!$L29,1,1))</f>
        <v>2</v>
      </c>
      <c r="J29" s="55">
        <v>29325</v>
      </c>
      <c r="K29">
        <v>5723</v>
      </c>
      <c r="L29">
        <v>23</v>
      </c>
      <c r="M29">
        <v>5</v>
      </c>
      <c r="N29">
        <v>24</v>
      </c>
      <c r="O29" t="s">
        <v>418</v>
      </c>
      <c r="P29" t="s">
        <v>85</v>
      </c>
      <c r="Q29" t="s">
        <v>58</v>
      </c>
      <c r="R29" t="s">
        <v>419</v>
      </c>
      <c r="S29" t="s">
        <v>420</v>
      </c>
      <c r="T29" t="s">
        <v>64</v>
      </c>
      <c r="U29"/>
      <c r="V29">
        <v>3</v>
      </c>
      <c r="W29">
        <v>53800</v>
      </c>
      <c r="X29">
        <v>61.57</v>
      </c>
      <c r="Y29">
        <v>67.55</v>
      </c>
      <c r="Z29">
        <v>142.86000000000001</v>
      </c>
      <c r="AA29" t="s">
        <v>372</v>
      </c>
      <c r="AB29" t="s">
        <v>373</v>
      </c>
      <c r="AC29" t="s">
        <v>375</v>
      </c>
      <c r="AD29" t="s">
        <v>374</v>
      </c>
      <c r="AE29" t="s">
        <v>378</v>
      </c>
      <c r="AF29" t="s">
        <v>376</v>
      </c>
      <c r="AG29" s="3"/>
      <c r="AH29" s="3"/>
    </row>
    <row r="30" spans="1:34" x14ac:dyDescent="0.45">
      <c r="A30">
        <v>500</v>
      </c>
      <c r="B30">
        <v>1</v>
      </c>
      <c r="C30" s="55">
        <v>1</v>
      </c>
      <c r="D30" t="s">
        <v>13</v>
      </c>
      <c r="E30">
        <f>COUNTIF(Retro!$I30,Retro!$M30)</f>
        <v>0</v>
      </c>
      <c r="F30">
        <f>COUNTIF(Retro!$I30,"&lt;&gt;"&amp;Retro!$M30)</f>
        <v>1</v>
      </c>
      <c r="G30">
        <v>1</v>
      </c>
      <c r="H30" t="str">
        <f>MID(Retro!$O30,1,FIND(":",Retro!$O30)-1)</f>
        <v>QB</v>
      </c>
      <c r="I30">
        <f>INT(MID(Retro!$L30,1,1))</f>
        <v>1</v>
      </c>
      <c r="J30" s="55">
        <v>14639</v>
      </c>
      <c r="K30">
        <v>3064</v>
      </c>
      <c r="L30">
        <v>12</v>
      </c>
      <c r="M30">
        <v>2</v>
      </c>
      <c r="N30">
        <v>27</v>
      </c>
      <c r="O30" t="s">
        <v>45</v>
      </c>
      <c r="P30" t="s">
        <v>13</v>
      </c>
      <c r="Q30" t="s">
        <v>100</v>
      </c>
      <c r="R30" t="s">
        <v>422</v>
      </c>
      <c r="S30" t="s">
        <v>423</v>
      </c>
      <c r="T30" t="s">
        <v>424</v>
      </c>
      <c r="U30"/>
      <c r="V30">
        <v>4</v>
      </c>
      <c r="W30">
        <v>56500</v>
      </c>
      <c r="X30">
        <v>72.819999999999993</v>
      </c>
      <c r="Y30">
        <v>85.5</v>
      </c>
      <c r="Z30">
        <v>116.24</v>
      </c>
      <c r="AA30" t="s">
        <v>362</v>
      </c>
      <c r="AB30" t="s">
        <v>363</v>
      </c>
      <c r="AC30" t="s">
        <v>366</v>
      </c>
      <c r="AD30" t="s">
        <v>364</v>
      </c>
      <c r="AE30" t="s">
        <v>365</v>
      </c>
      <c r="AF30" t="s">
        <v>367</v>
      </c>
      <c r="AG30" s="3"/>
      <c r="AH30" s="3"/>
    </row>
    <row r="31" spans="1:34" x14ac:dyDescent="0.45">
      <c r="A31">
        <v>416.67</v>
      </c>
      <c r="B31">
        <v>3</v>
      </c>
      <c r="C31" s="55">
        <v>1</v>
      </c>
      <c r="D31" t="s">
        <v>12</v>
      </c>
      <c r="E31">
        <f>COUNTIF(Retro!$I31,Retro!$M31)</f>
        <v>1</v>
      </c>
      <c r="F31">
        <f>COUNTIF(Retro!$I31,"&lt;&gt;"&amp;Retro!$M31)</f>
        <v>0</v>
      </c>
      <c r="G31">
        <v>1</v>
      </c>
      <c r="H31" t="str">
        <f>MID(Retro!$O31,1,FIND(":",Retro!$O31)-1)</f>
        <v>QB</v>
      </c>
      <c r="I31">
        <f>INT(MID(Retro!$L31,1,1))</f>
        <v>1</v>
      </c>
      <c r="J31" s="55">
        <v>5640</v>
      </c>
      <c r="K31">
        <v>1291</v>
      </c>
      <c r="L31">
        <v>12</v>
      </c>
      <c r="M31">
        <v>1</v>
      </c>
      <c r="N31">
        <v>31</v>
      </c>
      <c r="O31" t="s">
        <v>12</v>
      </c>
      <c r="P31" t="s">
        <v>473</v>
      </c>
      <c r="Q31" t="s">
        <v>166</v>
      </c>
      <c r="R31" t="s">
        <v>82</v>
      </c>
      <c r="S31" t="s">
        <v>53</v>
      </c>
      <c r="T31" t="s">
        <v>480</v>
      </c>
      <c r="U31"/>
      <c r="V31">
        <v>5</v>
      </c>
      <c r="W31">
        <v>59600</v>
      </c>
      <c r="X31">
        <v>60.41</v>
      </c>
      <c r="Y31">
        <v>72.2</v>
      </c>
      <c r="Z31">
        <v>105.04</v>
      </c>
      <c r="AA31" t="s">
        <v>474</v>
      </c>
      <c r="AB31" t="s">
        <v>475</v>
      </c>
      <c r="AC31" t="s">
        <v>476</v>
      </c>
      <c r="AD31" t="s">
        <v>477</v>
      </c>
      <c r="AE31" t="s">
        <v>478</v>
      </c>
      <c r="AF31" t="s">
        <v>479</v>
      </c>
      <c r="AG31" s="3"/>
      <c r="AH31" s="3"/>
    </row>
    <row r="32" spans="1:34" x14ac:dyDescent="0.45">
      <c r="A32">
        <v>500</v>
      </c>
      <c r="B32">
        <v>1</v>
      </c>
      <c r="C32" s="55">
        <v>2</v>
      </c>
      <c r="D32" t="s">
        <v>355</v>
      </c>
      <c r="E32">
        <f>COUNTIF(Retro!$I32,Retro!$M32)</f>
        <v>0</v>
      </c>
      <c r="F32">
        <f>COUNTIF(Retro!$I32,"&lt;&gt;"&amp;Retro!$M32)</f>
        <v>1</v>
      </c>
      <c r="G32">
        <v>1</v>
      </c>
      <c r="H32" t="str">
        <f>MID(Retro!$O32,1,FIND(":",Retro!$O32)-1)</f>
        <v>QB</v>
      </c>
      <c r="I32">
        <f>INT(MID(Retro!$L32,1,1))</f>
        <v>1</v>
      </c>
      <c r="J32" s="55">
        <v>1</v>
      </c>
      <c r="K32">
        <v>1</v>
      </c>
      <c r="L32">
        <v>12</v>
      </c>
      <c r="M32">
        <v>3</v>
      </c>
      <c r="N32">
        <v>40</v>
      </c>
      <c r="O32" t="s">
        <v>56</v>
      </c>
      <c r="P32" t="s">
        <v>355</v>
      </c>
      <c r="Q32" t="s">
        <v>496</v>
      </c>
      <c r="R32" t="s">
        <v>49</v>
      </c>
      <c r="S32" t="s">
        <v>424</v>
      </c>
      <c r="T32" t="s">
        <v>497</v>
      </c>
      <c r="U32"/>
      <c r="V32">
        <v>4</v>
      </c>
      <c r="W32">
        <v>50800</v>
      </c>
      <c r="X32">
        <v>66.2</v>
      </c>
      <c r="Y32">
        <v>74.7</v>
      </c>
      <c r="Z32">
        <v>127.82</v>
      </c>
      <c r="AA32" t="s">
        <v>498</v>
      </c>
      <c r="AB32" t="s">
        <v>499</v>
      </c>
      <c r="AC32" t="s">
        <v>500</v>
      </c>
      <c r="AD32" t="s">
        <v>501</v>
      </c>
      <c r="AE32" t="s">
        <v>502</v>
      </c>
      <c r="AF32" t="s">
        <v>503</v>
      </c>
    </row>
    <row r="33" spans="1:32" x14ac:dyDescent="0.45">
      <c r="A33">
        <v>800</v>
      </c>
      <c r="B33">
        <v>1</v>
      </c>
      <c r="C33" s="55">
        <v>4</v>
      </c>
      <c r="D33" t="s">
        <v>57</v>
      </c>
      <c r="E33">
        <f>COUNTIF(Retro!$I33,Retro!$M33)</f>
        <v>0</v>
      </c>
      <c r="F33">
        <f>COUNTIF(Retro!$I33,"&lt;&gt;"&amp;Retro!$M33)</f>
        <v>1</v>
      </c>
      <c r="G33">
        <v>2</v>
      </c>
      <c r="H33" t="str">
        <f>MID(Retro!$O33,1,FIND(":",Retro!$O33)-1)</f>
        <v>WR1</v>
      </c>
      <c r="I33">
        <f>INT(MID(Retro!$L33,1,1))</f>
        <v>1</v>
      </c>
      <c r="J33" s="55">
        <v>13640</v>
      </c>
      <c r="K33" s="55">
        <v>2832</v>
      </c>
      <c r="L33" s="55">
        <v>14</v>
      </c>
      <c r="M33" s="55">
        <v>8</v>
      </c>
      <c r="N33" s="55">
        <v>14</v>
      </c>
      <c r="O33" s="55" t="s">
        <v>188</v>
      </c>
      <c r="P33" s="55" t="s">
        <v>57</v>
      </c>
      <c r="Q33" s="55" t="s">
        <v>187</v>
      </c>
      <c r="R33" s="55" t="s">
        <v>507</v>
      </c>
      <c r="S33" s="55" t="s">
        <v>508</v>
      </c>
      <c r="T33" s="55" t="s">
        <v>506</v>
      </c>
      <c r="U33" s="55"/>
      <c r="V33" s="55">
        <v>2</v>
      </c>
      <c r="W33" s="55">
        <v>58900</v>
      </c>
      <c r="X33" s="55">
        <v>62.43</v>
      </c>
      <c r="Y33" s="55">
        <v>67.05</v>
      </c>
      <c r="Z33" s="55">
        <v>111.89</v>
      </c>
      <c r="AA33" s="55" t="s">
        <v>514</v>
      </c>
      <c r="AB33" s="55" t="s">
        <v>510</v>
      </c>
      <c r="AC33" s="55" t="s">
        <v>509</v>
      </c>
      <c r="AD33" s="55" t="s">
        <v>512</v>
      </c>
      <c r="AE33" s="55" t="s">
        <v>513</v>
      </c>
      <c r="AF33" s="55" t="s">
        <v>511</v>
      </c>
    </row>
    <row r="34" spans="1:32" x14ac:dyDescent="0.45">
      <c r="A34" s="3">
        <v>800</v>
      </c>
      <c r="B34" s="3">
        <v>1</v>
      </c>
      <c r="C34" s="3">
        <v>3</v>
      </c>
      <c r="D34" s="3" t="s">
        <v>63</v>
      </c>
      <c r="E34" s="3">
        <f>COUNTIF(Retro!$I34,Retro!$M34)</f>
        <v>0</v>
      </c>
      <c r="F34" s="3">
        <f>COUNTIF(Retro!$I34,"&lt;&gt;"&amp;Retro!$M34)</f>
        <v>1</v>
      </c>
      <c r="G34" s="55">
        <v>1</v>
      </c>
      <c r="H34" s="18" t="str">
        <f>MID(Retro!$O34,1,FIND(":",Retro!$O34)-1)</f>
        <v>D</v>
      </c>
      <c r="I34" s="18">
        <f>INT(MID(Retro!$L34,1,1))</f>
        <v>1</v>
      </c>
      <c r="J34" s="55">
        <v>11961</v>
      </c>
      <c r="K34" s="55">
        <v>2457</v>
      </c>
      <c r="L34" s="55">
        <v>12</v>
      </c>
      <c r="M34" s="55">
        <v>10</v>
      </c>
      <c r="N34" s="55">
        <v>15</v>
      </c>
      <c r="O34" s="55" t="s">
        <v>515</v>
      </c>
      <c r="P34" s="55" t="s">
        <v>63</v>
      </c>
      <c r="Q34" s="55" t="s">
        <v>516</v>
      </c>
      <c r="R34" s="55" t="s">
        <v>517</v>
      </c>
      <c r="S34" s="55" t="s">
        <v>518</v>
      </c>
      <c r="T34" s="55" t="s">
        <v>519</v>
      </c>
      <c r="U34" s="55"/>
      <c r="V34" s="55">
        <v>3</v>
      </c>
      <c r="W34" s="55">
        <v>54200</v>
      </c>
      <c r="X34" s="55">
        <v>57.18</v>
      </c>
      <c r="Y34" s="55">
        <v>61.05</v>
      </c>
      <c r="Z34" s="55">
        <v>72</v>
      </c>
      <c r="AA34" s="55" t="s">
        <v>520</v>
      </c>
      <c r="AB34" s="55" t="s">
        <v>521</v>
      </c>
      <c r="AC34" s="55" t="s">
        <v>522</v>
      </c>
      <c r="AD34" s="55" t="s">
        <v>523</v>
      </c>
      <c r="AE34" s="55" t="s">
        <v>524</v>
      </c>
      <c r="AF34" s="55" t="s">
        <v>525</v>
      </c>
    </row>
    <row r="35" spans="1:32" s="10" customFormat="1" x14ac:dyDescent="0.45">
      <c r="A35" s="3"/>
      <c r="B35" s="3"/>
      <c r="C35" s="3"/>
      <c r="D35" s="3"/>
      <c r="E35" s="3"/>
      <c r="F35" s="3"/>
      <c r="G35" s="55"/>
      <c r="H35" s="19"/>
      <c r="I35" s="19"/>
      <c r="J35" s="55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"/>
      <c r="AC35" s="3"/>
      <c r="AD35" s="3"/>
      <c r="AE35" s="3"/>
      <c r="AF35" s="3"/>
    </row>
    <row r="37" spans="1:32" s="16" customFormat="1" x14ac:dyDescent="0.45"/>
    <row r="38" spans="1:32" x14ac:dyDescent="0.45">
      <c r="A38" s="48"/>
      <c r="B38" s="55"/>
      <c r="C38" s="55"/>
      <c r="D38" s="55"/>
      <c r="E38" s="47"/>
      <c r="F38" s="16"/>
      <c r="H38" s="20"/>
      <c r="I38" s="20"/>
      <c r="J38" s="55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6"/>
      <c r="AC38" s="16"/>
      <c r="AD38" s="16"/>
      <c r="AE38" s="55"/>
      <c r="AF38" s="16"/>
    </row>
    <row r="39" spans="1:32" x14ac:dyDescent="0.45">
      <c r="H39" s="21"/>
      <c r="I39" s="21"/>
      <c r="J39" s="55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32" s="17" customFormat="1" x14ac:dyDescent="0.45">
      <c r="A40" s="3"/>
      <c r="B40" s="3"/>
      <c r="C40" s="3"/>
      <c r="D40" s="3"/>
      <c r="E40" s="3"/>
      <c r="F40" s="3"/>
      <c r="G40" s="55"/>
      <c r="H40" s="22"/>
      <c r="I40" s="22"/>
      <c r="J40" s="55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3"/>
      <c r="AC40" s="3"/>
      <c r="AD40" s="3"/>
      <c r="AE40" s="3"/>
      <c r="AF40" s="3"/>
    </row>
    <row r="41" spans="1:32" x14ac:dyDescent="0.45">
      <c r="A41" s="48"/>
      <c r="B41" s="55"/>
      <c r="C41" s="55"/>
      <c r="D41" s="55"/>
      <c r="E41" s="47"/>
      <c r="F41" s="17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7"/>
      <c r="AC41" s="17"/>
      <c r="AD41" s="17"/>
      <c r="AE41" s="55"/>
      <c r="AF41" s="17"/>
    </row>
    <row r="42" spans="1:32" x14ac:dyDescent="0.45"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32" x14ac:dyDescent="0.45"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32" x14ac:dyDescent="0.45"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32" x14ac:dyDescent="0.45"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32" x14ac:dyDescent="0.45"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32" x14ac:dyDescent="0.45"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32" x14ac:dyDescent="0.45"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8:27" x14ac:dyDescent="0.45"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8:27" x14ac:dyDescent="0.45"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8:27" x14ac:dyDescent="0.45"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8:27" x14ac:dyDescent="0.45"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8:27" x14ac:dyDescent="0.45"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8:27" x14ac:dyDescent="0.45"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8:27" x14ac:dyDescent="0.45"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8:27" x14ac:dyDescent="0.45"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8:27" x14ac:dyDescent="0.45"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8:27" x14ac:dyDescent="0.45"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8:27" x14ac:dyDescent="0.45"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8:27" x14ac:dyDescent="0.45"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8:27" x14ac:dyDescent="0.45"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8:27" x14ac:dyDescent="0.45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4" spans="8:27" x14ac:dyDescent="0.45"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8:8" x14ac:dyDescent="0.45">
      <c r="H65"/>
    </row>
    <row r="66" spans="8:8" x14ac:dyDescent="0.45">
      <c r="H66"/>
    </row>
    <row r="67" spans="8:8" x14ac:dyDescent="0.45">
      <c r="H67"/>
    </row>
    <row r="68" spans="8:8" x14ac:dyDescent="0.45">
      <c r="H68"/>
    </row>
    <row r="69" spans="8:8" x14ac:dyDescent="0.45">
      <c r="H69"/>
    </row>
  </sheetData>
  <sortState xmlns:xlrd2="http://schemas.microsoft.com/office/spreadsheetml/2017/richdata2" ref="H34:H67">
    <sortCondition ref="H34:H67"/>
  </sortState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X99"/>
  <sheetViews>
    <sheetView workbookViewId="0">
      <pane ySplit="1" topLeftCell="A2" activePane="bottomLeft" state="frozen"/>
      <selection pane="bottomLeft" activeCell="I8" sqref="I8"/>
    </sheetView>
  </sheetViews>
  <sheetFormatPr defaultRowHeight="14.25" x14ac:dyDescent="0.45"/>
  <cols>
    <col min="1" max="1" width="9.1328125" style="69" bestFit="1" customWidth="1"/>
    <col min="2" max="2" width="6.6640625" style="69" bestFit="1" customWidth="1"/>
    <col min="3" max="3" width="9.9296875" style="69" bestFit="1" customWidth="1"/>
    <col min="4" max="4" width="5.796875" style="69" bestFit="1" customWidth="1"/>
    <col min="5" max="5" width="5.6640625" style="69" bestFit="1" customWidth="1"/>
    <col min="6" max="8" width="8.86328125" style="69" bestFit="1" customWidth="1"/>
    <col min="9" max="9" width="7.9296875" style="69" bestFit="1" customWidth="1"/>
    <col min="10" max="10" width="8.59765625" style="69" bestFit="1" customWidth="1"/>
    <col min="11" max="11" width="6.86328125" style="69" bestFit="1" customWidth="1"/>
    <col min="12" max="12" width="7.796875" style="69" bestFit="1" customWidth="1"/>
    <col min="13" max="13" width="7.1328125" style="69" bestFit="1" customWidth="1"/>
    <col min="14" max="14" width="8.9296875" style="69" bestFit="1" customWidth="1"/>
    <col min="15" max="15" width="8.06640625" style="69" bestFit="1" customWidth="1"/>
    <col min="16" max="16" width="9.73046875" style="69" bestFit="1" customWidth="1"/>
    <col min="17" max="17" width="7.73046875" style="69" bestFit="1" customWidth="1"/>
    <col min="18" max="18" width="9.796875" style="69" bestFit="1" customWidth="1"/>
    <col min="19" max="19" width="7.73046875" style="69" bestFit="1" customWidth="1"/>
    <col min="20" max="20" width="8.265625" style="69" bestFit="1" customWidth="1"/>
    <col min="21" max="30" width="14.73046875" style="69" bestFit="1" customWidth="1"/>
    <col min="31" max="31" width="14" style="69" bestFit="1" customWidth="1"/>
    <col min="32" max="32" width="15" style="69" bestFit="1" customWidth="1"/>
    <col min="33" max="34" width="8.19921875" style="69" bestFit="1" customWidth="1"/>
    <col min="35" max="36" width="10.9296875" style="69" bestFit="1" customWidth="1"/>
    <col min="37" max="37" width="10.19921875" style="69" bestFit="1" customWidth="1"/>
    <col min="38" max="16384" width="9.06640625" style="69"/>
  </cols>
  <sheetData>
    <row r="1" spans="1:24" s="66" customFormat="1" x14ac:dyDescent="0.45">
      <c r="A1" s="62" t="s">
        <v>27</v>
      </c>
      <c r="B1" s="63" t="s">
        <v>34</v>
      </c>
      <c r="C1" s="64" t="s">
        <v>463</v>
      </c>
      <c r="D1" s="63" t="s">
        <v>35</v>
      </c>
      <c r="E1" s="64" t="s">
        <v>464</v>
      </c>
      <c r="F1" s="63" t="s">
        <v>28</v>
      </c>
      <c r="G1" s="64" t="s">
        <v>466</v>
      </c>
      <c r="H1" s="64" t="s">
        <v>465</v>
      </c>
      <c r="I1" s="63" t="s">
        <v>29</v>
      </c>
      <c r="J1" s="64" t="s">
        <v>467</v>
      </c>
      <c r="K1" s="64" t="s">
        <v>468</v>
      </c>
      <c r="L1" s="63" t="s">
        <v>30</v>
      </c>
      <c r="M1" s="64" t="s">
        <v>469</v>
      </c>
      <c r="N1" s="63" t="s">
        <v>31</v>
      </c>
      <c r="O1" s="64" t="s">
        <v>470</v>
      </c>
      <c r="P1" s="63" t="s">
        <v>32</v>
      </c>
      <c r="Q1" s="64" t="s">
        <v>471</v>
      </c>
      <c r="R1" s="63" t="s">
        <v>33</v>
      </c>
      <c r="S1" s="64" t="s">
        <v>472</v>
      </c>
      <c r="T1" s="65" t="s">
        <v>81</v>
      </c>
      <c r="U1" s="65"/>
      <c r="V1" s="65"/>
      <c r="W1" s="65"/>
      <c r="X1" s="65"/>
    </row>
    <row r="2" spans="1:24" x14ac:dyDescent="0.45">
      <c r="A2" s="67" t="s">
        <v>50</v>
      </c>
      <c r="D2" s="69" t="s">
        <v>98</v>
      </c>
      <c r="F2" s="69" t="s">
        <v>43</v>
      </c>
      <c r="I2" s="69" t="s">
        <v>50</v>
      </c>
      <c r="J2" s="69" t="s">
        <v>15</v>
      </c>
      <c r="N2" s="69" t="s">
        <v>51</v>
      </c>
      <c r="R2" s="69" t="s">
        <v>118</v>
      </c>
    </row>
    <row r="3" spans="1:24" x14ac:dyDescent="0.45">
      <c r="A3" s="67" t="s">
        <v>78</v>
      </c>
      <c r="D3" s="69" t="s">
        <v>46</v>
      </c>
      <c r="F3" s="69" t="s">
        <v>78</v>
      </c>
      <c r="G3" s="69" t="s">
        <v>45</v>
      </c>
      <c r="P3" s="69" t="s">
        <v>88</v>
      </c>
      <c r="Q3" s="69" t="s">
        <v>14</v>
      </c>
      <c r="R3" s="69" t="s">
        <v>125</v>
      </c>
    </row>
    <row r="4" spans="1:24" x14ac:dyDescent="0.45">
      <c r="A4" s="67" t="s">
        <v>106</v>
      </c>
      <c r="F4" s="69" t="s">
        <v>12</v>
      </c>
      <c r="G4" s="69" t="s">
        <v>25</v>
      </c>
      <c r="I4" s="69" t="s">
        <v>52</v>
      </c>
      <c r="L4" s="69" t="s">
        <v>105</v>
      </c>
      <c r="N4" s="69" t="s">
        <v>96</v>
      </c>
      <c r="R4" s="69" t="s">
        <v>106</v>
      </c>
    </row>
    <row r="5" spans="1:24" x14ac:dyDescent="0.45">
      <c r="A5" s="67" t="s">
        <v>132</v>
      </c>
      <c r="B5" s="69" t="s">
        <v>99</v>
      </c>
      <c r="F5" s="69" t="s">
        <v>132</v>
      </c>
      <c r="G5" s="69" t="s">
        <v>74</v>
      </c>
      <c r="I5" s="69" t="s">
        <v>93</v>
      </c>
      <c r="P5" s="69" t="s">
        <v>94</v>
      </c>
      <c r="T5" s="69" t="s">
        <v>133</v>
      </c>
    </row>
    <row r="6" spans="1:24" x14ac:dyDescent="0.45">
      <c r="A6" s="67" t="s">
        <v>140</v>
      </c>
      <c r="D6" s="69" t="s">
        <v>16</v>
      </c>
      <c r="F6" s="69" t="s">
        <v>85</v>
      </c>
      <c r="G6" s="69" t="s">
        <v>49</v>
      </c>
      <c r="I6" s="69" t="s">
        <v>84</v>
      </c>
      <c r="L6" s="69" t="s">
        <v>140</v>
      </c>
      <c r="M6" s="69" t="s">
        <v>77</v>
      </c>
    </row>
    <row r="7" spans="1:24" x14ac:dyDescent="0.45">
      <c r="A7" s="67" t="s">
        <v>92</v>
      </c>
      <c r="B7" s="69" t="s">
        <v>91</v>
      </c>
      <c r="D7" s="69" t="s">
        <v>42</v>
      </c>
      <c r="E7" s="69" t="s">
        <v>95</v>
      </c>
      <c r="I7" s="69" t="s">
        <v>92</v>
      </c>
      <c r="J7" s="69" t="s">
        <v>92</v>
      </c>
      <c r="N7" s="69" t="s">
        <v>72</v>
      </c>
    </row>
    <row r="8" spans="1:24" x14ac:dyDescent="0.45">
      <c r="A8" s="67" t="s">
        <v>36</v>
      </c>
      <c r="F8" s="69" t="s">
        <v>36</v>
      </c>
      <c r="G8" s="69" t="s">
        <v>380</v>
      </c>
      <c r="H8" s="69" t="s">
        <v>383</v>
      </c>
      <c r="I8" s="69" t="s">
        <v>379</v>
      </c>
      <c r="J8" s="69" t="s">
        <v>381</v>
      </c>
      <c r="K8" s="69" t="s">
        <v>382</v>
      </c>
    </row>
    <row r="9" spans="1:24" x14ac:dyDescent="0.45">
      <c r="A9" s="67" t="s">
        <v>78</v>
      </c>
      <c r="B9" s="69" t="s">
        <v>159</v>
      </c>
      <c r="D9" s="69" t="s">
        <v>158</v>
      </c>
      <c r="F9" s="69" t="s">
        <v>78</v>
      </c>
      <c r="N9" s="69" t="s">
        <v>86</v>
      </c>
      <c r="P9" s="69" t="s">
        <v>88</v>
      </c>
      <c r="R9" s="69" t="s">
        <v>125</v>
      </c>
    </row>
    <row r="10" spans="1:24" x14ac:dyDescent="0.45">
      <c r="A10" s="67" t="s">
        <v>24</v>
      </c>
      <c r="F10" s="69" t="s">
        <v>25</v>
      </c>
      <c r="I10" s="69" t="s">
        <v>24</v>
      </c>
      <c r="J10" s="69" t="s">
        <v>167</v>
      </c>
      <c r="L10" s="69" t="s">
        <v>105</v>
      </c>
      <c r="N10" s="69" t="s">
        <v>104</v>
      </c>
      <c r="P10" s="69" t="s">
        <v>166</v>
      </c>
    </row>
    <row r="11" spans="1:24" x14ac:dyDescent="0.45">
      <c r="A11" s="67" t="s">
        <v>73</v>
      </c>
      <c r="B11" s="69" t="s">
        <v>103</v>
      </c>
      <c r="D11" s="69" t="s">
        <v>46</v>
      </c>
      <c r="F11" s="69" t="s">
        <v>45</v>
      </c>
      <c r="I11" s="69" t="s">
        <v>73</v>
      </c>
      <c r="J11" s="69" t="s">
        <v>174</v>
      </c>
      <c r="R11" s="69" t="s">
        <v>59</v>
      </c>
    </row>
    <row r="12" spans="1:24" x14ac:dyDescent="0.45">
      <c r="A12" s="67" t="s">
        <v>20</v>
      </c>
      <c r="F12" s="69" t="s">
        <v>12</v>
      </c>
      <c r="I12" s="69" t="s">
        <v>18</v>
      </c>
      <c r="L12" s="69" t="s">
        <v>10</v>
      </c>
      <c r="N12" s="69" t="s">
        <v>37</v>
      </c>
      <c r="P12" s="69" t="s">
        <v>65</v>
      </c>
    </row>
    <row r="13" spans="1:24" x14ac:dyDescent="0.45">
      <c r="A13" s="67" t="s">
        <v>187</v>
      </c>
      <c r="D13" s="69" t="s">
        <v>189</v>
      </c>
      <c r="F13" s="69" t="s">
        <v>56</v>
      </c>
      <c r="G13" s="69" t="s">
        <v>187</v>
      </c>
      <c r="I13" s="69" t="s">
        <v>54</v>
      </c>
      <c r="L13" s="69" t="s">
        <v>70</v>
      </c>
      <c r="N13" s="69" t="s">
        <v>188</v>
      </c>
    </row>
    <row r="14" spans="1:24" x14ac:dyDescent="0.45">
      <c r="A14" s="67" t="s">
        <v>57</v>
      </c>
      <c r="D14" s="69" t="s">
        <v>16</v>
      </c>
      <c r="F14" s="69" t="s">
        <v>57</v>
      </c>
      <c r="I14" s="69" t="s">
        <v>84</v>
      </c>
      <c r="N14" s="69" t="s">
        <v>51</v>
      </c>
      <c r="O14" s="69" t="s">
        <v>196</v>
      </c>
    </row>
    <row r="15" spans="1:24" x14ac:dyDescent="0.45">
      <c r="A15" s="67" t="s">
        <v>63</v>
      </c>
      <c r="F15" s="69" t="s">
        <v>63</v>
      </c>
      <c r="G15" s="69" t="s">
        <v>48</v>
      </c>
      <c r="I15" s="69" t="s">
        <v>62</v>
      </c>
      <c r="J15" s="69" t="s">
        <v>62</v>
      </c>
      <c r="N15" s="69" t="s">
        <v>203</v>
      </c>
      <c r="R15" s="69" t="s">
        <v>204</v>
      </c>
    </row>
    <row r="16" spans="1:24" x14ac:dyDescent="0.45">
      <c r="A16" s="67" t="s">
        <v>21</v>
      </c>
      <c r="F16" s="69" t="s">
        <v>21</v>
      </c>
      <c r="G16" s="69" t="s">
        <v>60</v>
      </c>
      <c r="I16" s="69" t="s">
        <v>66</v>
      </c>
      <c r="J16" s="69" t="s">
        <v>71</v>
      </c>
      <c r="N16" s="69" t="s">
        <v>23</v>
      </c>
      <c r="O16" s="69" t="s">
        <v>19</v>
      </c>
    </row>
    <row r="17" spans="1:20" x14ac:dyDescent="0.45">
      <c r="A17" s="67" t="s">
        <v>216</v>
      </c>
      <c r="D17" s="69" t="s">
        <v>218</v>
      </c>
      <c r="F17" s="69" t="s">
        <v>25</v>
      </c>
      <c r="I17" s="69" t="s">
        <v>217</v>
      </c>
      <c r="L17" s="69" t="s">
        <v>105</v>
      </c>
      <c r="N17" s="69" t="s">
        <v>216</v>
      </c>
      <c r="T17" s="69" t="s">
        <v>107</v>
      </c>
    </row>
    <row r="18" spans="1:20" x14ac:dyDescent="0.45">
      <c r="A18" s="67" t="s">
        <v>45</v>
      </c>
      <c r="F18" s="69" t="s">
        <v>45</v>
      </c>
      <c r="G18" s="69" t="s">
        <v>225</v>
      </c>
      <c r="I18" s="69" t="s">
        <v>11</v>
      </c>
      <c r="L18" s="69" t="s">
        <v>102</v>
      </c>
      <c r="R18" s="69" t="s">
        <v>59</v>
      </c>
      <c r="T18" s="69" t="s">
        <v>226</v>
      </c>
    </row>
    <row r="19" spans="1:20" x14ac:dyDescent="0.45">
      <c r="A19" s="67" t="s">
        <v>233</v>
      </c>
      <c r="F19" s="69" t="s">
        <v>235</v>
      </c>
      <c r="G19" s="69" t="s">
        <v>236</v>
      </c>
      <c r="I19" s="69" t="s">
        <v>233</v>
      </c>
      <c r="L19" s="69" t="s">
        <v>234</v>
      </c>
      <c r="N19" s="69" t="s">
        <v>237</v>
      </c>
      <c r="T19" s="69" t="s">
        <v>238</v>
      </c>
    </row>
    <row r="20" spans="1:20" x14ac:dyDescent="0.45">
      <c r="A20" s="67" t="s">
        <v>244</v>
      </c>
      <c r="F20" s="69" t="s">
        <v>245</v>
      </c>
      <c r="G20" s="69" t="s">
        <v>246</v>
      </c>
      <c r="I20" s="69" t="s">
        <v>244</v>
      </c>
      <c r="J20" s="69" t="s">
        <v>248</v>
      </c>
      <c r="L20" s="69" t="s">
        <v>249</v>
      </c>
      <c r="N20" s="69" t="s">
        <v>247</v>
      </c>
    </row>
    <row r="21" spans="1:20" x14ac:dyDescent="0.45">
      <c r="A21" s="67" t="s">
        <v>256</v>
      </c>
      <c r="F21" s="69" t="s">
        <v>256</v>
      </c>
      <c r="G21" s="69" t="s">
        <v>257</v>
      </c>
      <c r="L21" s="69" t="s">
        <v>258</v>
      </c>
      <c r="M21" s="69" t="s">
        <v>260</v>
      </c>
      <c r="P21" s="69" t="s">
        <v>259</v>
      </c>
      <c r="Q21" s="69" t="s">
        <v>261</v>
      </c>
    </row>
    <row r="22" spans="1:20" x14ac:dyDescent="0.45">
      <c r="A22" s="67" t="s">
        <v>268</v>
      </c>
      <c r="D22" s="69" t="s">
        <v>271</v>
      </c>
      <c r="F22" s="69" t="s">
        <v>269</v>
      </c>
      <c r="G22" s="69" t="s">
        <v>270</v>
      </c>
      <c r="L22" s="69" t="s">
        <v>272</v>
      </c>
      <c r="T22" s="69" t="s">
        <v>273</v>
      </c>
    </row>
    <row r="23" spans="1:20" x14ac:dyDescent="0.45">
      <c r="A23" s="67" t="s">
        <v>291</v>
      </c>
      <c r="D23" s="69" t="s">
        <v>280</v>
      </c>
      <c r="F23" s="69" t="s">
        <v>282</v>
      </c>
      <c r="G23" s="69" t="s">
        <v>281</v>
      </c>
      <c r="I23" s="69" t="s">
        <v>283</v>
      </c>
      <c r="L23" s="69" t="s">
        <v>291</v>
      </c>
      <c r="N23" s="69" t="s">
        <v>284</v>
      </c>
    </row>
    <row r="24" spans="1:20" x14ac:dyDescent="0.45">
      <c r="A24" s="67" t="s">
        <v>292</v>
      </c>
      <c r="B24" s="69" t="s">
        <v>296</v>
      </c>
      <c r="D24" s="69" t="s">
        <v>295</v>
      </c>
      <c r="I24" s="69" t="s">
        <v>293</v>
      </c>
      <c r="J24" s="69" t="s">
        <v>292</v>
      </c>
      <c r="L24" s="69" t="s">
        <v>297</v>
      </c>
      <c r="P24" s="69" t="s">
        <v>294</v>
      </c>
    </row>
    <row r="25" spans="1:20" x14ac:dyDescent="0.45">
      <c r="A25" s="67" t="s">
        <v>304</v>
      </c>
      <c r="B25" s="69" t="s">
        <v>307</v>
      </c>
      <c r="D25" s="69" t="s">
        <v>308</v>
      </c>
      <c r="I25" s="69" t="s">
        <v>304</v>
      </c>
      <c r="L25" s="69" t="s">
        <v>306</v>
      </c>
      <c r="N25" s="69" t="s">
        <v>305</v>
      </c>
      <c r="T25" s="69" t="s">
        <v>309</v>
      </c>
    </row>
    <row r="26" spans="1:20" x14ac:dyDescent="0.45">
      <c r="A26" s="67" t="s">
        <v>316</v>
      </c>
      <c r="B26" s="69" t="s">
        <v>320</v>
      </c>
      <c r="D26" s="69" t="s">
        <v>319</v>
      </c>
      <c r="F26" s="69" t="s">
        <v>317</v>
      </c>
      <c r="I26" s="69" t="s">
        <v>318</v>
      </c>
      <c r="L26" s="69" t="s">
        <v>321</v>
      </c>
      <c r="N26" s="69" t="s">
        <v>316</v>
      </c>
    </row>
    <row r="27" spans="1:20" x14ac:dyDescent="0.45">
      <c r="A27" s="67" t="s">
        <v>328</v>
      </c>
      <c r="B27" s="69" t="s">
        <v>332</v>
      </c>
      <c r="F27" s="69" t="s">
        <v>330</v>
      </c>
      <c r="G27" s="69" t="s">
        <v>329</v>
      </c>
      <c r="N27" s="69" t="s">
        <v>328</v>
      </c>
      <c r="P27" s="69" t="s">
        <v>331</v>
      </c>
      <c r="T27" s="69" t="s">
        <v>333</v>
      </c>
    </row>
    <row r="28" spans="1:20" x14ac:dyDescent="0.45">
      <c r="A28" s="67" t="s">
        <v>341</v>
      </c>
      <c r="D28" s="69" t="s">
        <v>345</v>
      </c>
      <c r="F28" s="69" t="s">
        <v>341</v>
      </c>
      <c r="I28" s="69" t="s">
        <v>342</v>
      </c>
      <c r="L28" s="69" t="s">
        <v>344</v>
      </c>
      <c r="P28" s="69" t="s">
        <v>346</v>
      </c>
      <c r="R28" s="69" t="s">
        <v>343</v>
      </c>
    </row>
    <row r="29" spans="1:20" x14ac:dyDescent="0.45">
      <c r="A29" s="67" t="s">
        <v>368</v>
      </c>
      <c r="D29" s="69" t="s">
        <v>370</v>
      </c>
      <c r="F29" s="69" t="s">
        <v>369</v>
      </c>
      <c r="G29" s="69" t="s">
        <v>281</v>
      </c>
      <c r="I29" s="69" t="s">
        <v>377</v>
      </c>
      <c r="L29" s="69" t="s">
        <v>368</v>
      </c>
      <c r="R29" s="69" t="s">
        <v>371</v>
      </c>
    </row>
    <row r="30" spans="1:20" x14ac:dyDescent="0.45">
      <c r="A30" s="67" t="s">
        <v>256</v>
      </c>
      <c r="F30" s="69" t="s">
        <v>256</v>
      </c>
      <c r="I30" s="69" t="s">
        <v>359</v>
      </c>
      <c r="J30" s="69" t="s">
        <v>361</v>
      </c>
      <c r="L30" s="69" t="s">
        <v>258</v>
      </c>
      <c r="N30" s="69" t="s">
        <v>358</v>
      </c>
      <c r="P30" s="69" t="s">
        <v>360</v>
      </c>
    </row>
    <row r="31" spans="1:20" x14ac:dyDescent="0.45">
      <c r="A31" s="67" t="s">
        <v>12</v>
      </c>
      <c r="B31" s="69" t="s">
        <v>53</v>
      </c>
      <c r="F31" s="69" t="s">
        <v>12</v>
      </c>
      <c r="I31" s="69" t="s">
        <v>473</v>
      </c>
      <c r="L31" s="69" t="s">
        <v>82</v>
      </c>
      <c r="M31" s="69" t="s">
        <v>480</v>
      </c>
      <c r="N31" s="67"/>
      <c r="P31" s="69" t="s">
        <v>166</v>
      </c>
      <c r="R31" s="70"/>
      <c r="S31" s="70"/>
    </row>
    <row r="32" spans="1:20" x14ac:dyDescent="0.45">
      <c r="A32" s="52" t="s">
        <v>56</v>
      </c>
      <c r="F32" s="55" t="s">
        <v>56</v>
      </c>
      <c r="G32" s="55" t="s">
        <v>49</v>
      </c>
      <c r="I32" s="55" t="s">
        <v>424</v>
      </c>
      <c r="N32" s="55" t="s">
        <v>355</v>
      </c>
      <c r="P32" s="55" t="s">
        <v>496</v>
      </c>
      <c r="R32" s="70"/>
      <c r="S32" s="70"/>
      <c r="T32" s="55" t="s">
        <v>497</v>
      </c>
    </row>
    <row r="33" spans="1:20" x14ac:dyDescent="0.45">
      <c r="A33" s="52" t="s">
        <v>187</v>
      </c>
      <c r="B33" s="55" t="s">
        <v>508</v>
      </c>
      <c r="C33" s="55" t="s">
        <v>506</v>
      </c>
      <c r="F33" s="55" t="s">
        <v>57</v>
      </c>
      <c r="G33" s="55" t="s">
        <v>187</v>
      </c>
      <c r="L33" s="55" t="s">
        <v>507</v>
      </c>
      <c r="R33" s="70"/>
      <c r="S33" s="70"/>
      <c r="T33" s="55" t="s">
        <v>505</v>
      </c>
    </row>
    <row r="34" spans="1:20" x14ac:dyDescent="0.45">
      <c r="A34" s="52" t="s">
        <v>515</v>
      </c>
      <c r="B34" s="55" t="s">
        <v>515</v>
      </c>
      <c r="C34" s="55" t="s">
        <v>518</v>
      </c>
      <c r="F34" s="55" t="s">
        <v>63</v>
      </c>
      <c r="I34" s="55"/>
      <c r="P34" s="69" t="s">
        <v>517</v>
      </c>
      <c r="Q34" s="55" t="s">
        <v>519</v>
      </c>
      <c r="R34" s="70"/>
      <c r="S34" s="70"/>
    </row>
    <row r="35" spans="1:20" x14ac:dyDescent="0.45">
      <c r="A35" s="67">
        <f>SUBTOTAL(103,tPositionMatrix[MVP])</f>
        <v>33</v>
      </c>
      <c r="B35" s="67">
        <f>SUBTOTAL(103,tPositionMatrix[D])</f>
        <v>11</v>
      </c>
      <c r="C35" s="67">
        <f>SUBTOTAL(103,tPositionMatrix[D2])</f>
        <v>2</v>
      </c>
      <c r="D35" s="67">
        <f>SUBTOTAL(103,tPositionMatrix[K])</f>
        <v>16</v>
      </c>
      <c r="E35" s="67">
        <f>SUBTOTAL(103,tPositionMatrix[K2])</f>
        <v>1</v>
      </c>
      <c r="F35" s="67">
        <f>SUBTOTAL(103,tPositionMatrix[QB])</f>
        <v>30</v>
      </c>
      <c r="G35" s="67">
        <f>SUBTOTAL(103,tPositionMatrix[QB1])</f>
        <v>18</v>
      </c>
      <c r="H35" s="67">
        <f>SUBTOTAL(103,tPositionMatrix[QB2])</f>
        <v>1</v>
      </c>
      <c r="I35" s="67">
        <f>SUBTOTAL(103,tPositionMatrix[RB])</f>
        <v>26</v>
      </c>
      <c r="J35" s="67">
        <f>SUBTOTAL(103,tPositionMatrix[RB1])</f>
        <v>10</v>
      </c>
      <c r="K35" s="67">
        <f>SUBTOTAL(103,tPositionMatrix[RB2])</f>
        <v>1</v>
      </c>
      <c r="L35" s="67">
        <f>SUBTOTAL(103,tPositionMatrix[TE])</f>
        <v>20</v>
      </c>
      <c r="M35" s="67">
        <f>SUBTOTAL(103,tPositionMatrix[TE2])</f>
        <v>3</v>
      </c>
      <c r="N35" s="67">
        <f>SUBTOTAL(103,tPositionMatrix[WR1])</f>
        <v>19</v>
      </c>
      <c r="O35" s="67">
        <f>SUBTOTAL(103,tPositionMatrix[WR12])</f>
        <v>2</v>
      </c>
      <c r="P35" s="67">
        <f>SUBTOTAL(103,tPositionMatrix[WR2])</f>
        <v>13</v>
      </c>
      <c r="Q35" s="67">
        <f>SUBTOTAL(103,tPositionMatrix[WR22])</f>
        <v>3</v>
      </c>
      <c r="R35" s="67">
        <f>SUBTOTAL(103,tPositionMatrix[WR3])</f>
        <v>9</v>
      </c>
      <c r="S35" s="67">
        <f>SUBTOTAL(103,tPositionMatrix[WR32])</f>
        <v>0</v>
      </c>
      <c r="T35" s="67">
        <f>SUBTOTAL(103,tPositionMatrix[WR4])</f>
        <v>9</v>
      </c>
    </row>
    <row r="36" spans="1:20" x14ac:dyDescent="0.45">
      <c r="A36" s="70"/>
      <c r="B36" s="70"/>
      <c r="F36" s="70"/>
      <c r="N36" s="70"/>
      <c r="O36" s="70"/>
      <c r="P36" s="70"/>
    </row>
    <row r="37" spans="1:20" x14ac:dyDescent="0.45">
      <c r="A37" s="70"/>
      <c r="B37" s="70"/>
      <c r="F37" s="70"/>
      <c r="L37" s="70"/>
      <c r="N37" s="70"/>
      <c r="P37" s="70"/>
    </row>
    <row r="57" spans="5:5" x14ac:dyDescent="0.45">
      <c r="E57" s="70"/>
    </row>
    <row r="58" spans="5:5" x14ac:dyDescent="0.45">
      <c r="E58" s="70"/>
    </row>
    <row r="59" spans="5:5" x14ac:dyDescent="0.45">
      <c r="E59" s="70"/>
    </row>
    <row r="60" spans="5:5" x14ac:dyDescent="0.45">
      <c r="E60" s="70"/>
    </row>
    <row r="61" spans="5:5" x14ac:dyDescent="0.45">
      <c r="E61" s="70"/>
    </row>
    <row r="64" spans="5:5" x14ac:dyDescent="0.45">
      <c r="E64" s="70"/>
    </row>
    <row r="65" spans="1:20" x14ac:dyDescent="0.45">
      <c r="E65" s="70"/>
    </row>
    <row r="66" spans="1:20" x14ac:dyDescent="0.45">
      <c r="E66" s="70"/>
    </row>
    <row r="67" spans="1:20" x14ac:dyDescent="0.45">
      <c r="E67" s="70"/>
    </row>
    <row r="68" spans="1:20" x14ac:dyDescent="0.45">
      <c r="E68" s="70"/>
    </row>
    <row r="69" spans="1:20" x14ac:dyDescent="0.45">
      <c r="E69" s="70"/>
    </row>
    <row r="76" spans="1:20" s="70" customFormat="1" x14ac:dyDescent="0.4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</row>
    <row r="77" spans="1:20" s="70" customFormat="1" x14ac:dyDescent="0.45">
      <c r="A77" s="69"/>
      <c r="B77" s="69"/>
      <c r="C77" s="69"/>
      <c r="D77" s="69"/>
      <c r="E77" s="69"/>
      <c r="F77" s="69"/>
      <c r="J77" s="69"/>
      <c r="K77" s="69"/>
      <c r="L77" s="69"/>
      <c r="M77" s="69"/>
      <c r="N77" s="69"/>
      <c r="O77" s="69"/>
      <c r="P77" s="69"/>
      <c r="Q77" s="69"/>
      <c r="R77" s="69"/>
      <c r="S77" s="69"/>
    </row>
    <row r="78" spans="1:20" x14ac:dyDescent="0.45">
      <c r="T78" s="70"/>
    </row>
    <row r="79" spans="1:20" x14ac:dyDescent="0.45">
      <c r="E79" s="70"/>
    </row>
    <row r="80" spans="1:20" x14ac:dyDescent="0.45"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</row>
    <row r="82" spans="1:2" x14ac:dyDescent="0.45">
      <c r="A82" s="67"/>
    </row>
    <row r="83" spans="1:2" x14ac:dyDescent="0.45">
      <c r="A83" s="68"/>
    </row>
    <row r="84" spans="1:2" x14ac:dyDescent="0.45">
      <c r="A84" s="68"/>
    </row>
    <row r="85" spans="1:2" x14ac:dyDescent="0.45">
      <c r="A85" s="68"/>
    </row>
    <row r="86" spans="1:2" x14ac:dyDescent="0.45">
      <c r="A86" s="68"/>
    </row>
    <row r="87" spans="1:2" x14ac:dyDescent="0.45">
      <c r="A87" s="68"/>
    </row>
    <row r="88" spans="1:2" x14ac:dyDescent="0.45">
      <c r="A88" s="68"/>
    </row>
    <row r="89" spans="1:2" x14ac:dyDescent="0.45">
      <c r="A89" s="68"/>
    </row>
    <row r="90" spans="1:2" x14ac:dyDescent="0.45">
      <c r="A90" s="68"/>
    </row>
    <row r="91" spans="1:2" x14ac:dyDescent="0.45">
      <c r="A91" s="68"/>
    </row>
    <row r="92" spans="1:2" x14ac:dyDescent="0.45">
      <c r="B92" s="72"/>
    </row>
    <row r="93" spans="1:2" x14ac:dyDescent="0.45">
      <c r="B93" s="72"/>
    </row>
    <row r="94" spans="1:2" x14ac:dyDescent="0.45">
      <c r="B94" s="72"/>
    </row>
    <row r="95" spans="1:2" x14ac:dyDescent="0.45">
      <c r="B95" s="72"/>
    </row>
    <row r="96" spans="1:2" x14ac:dyDescent="0.45">
      <c r="B96" s="72"/>
    </row>
    <row r="97" spans="2:2" x14ac:dyDescent="0.45">
      <c r="B97" s="68"/>
    </row>
    <row r="98" spans="2:2" x14ac:dyDescent="0.45">
      <c r="B98" s="72"/>
    </row>
    <row r="99" spans="2:2" x14ac:dyDescent="0.45">
      <c r="B99" s="72"/>
    </row>
  </sheetData>
  <sortState xmlns:xlrd2="http://schemas.microsoft.com/office/spreadsheetml/2017/richdata2" columnSort="1" ref="I46:L46">
    <sortCondition ref="I46:L46"/>
  </sortState>
  <conditionalFormatting sqref="A63">
    <cfRule type="containsText" dxfId="3" priority="1" operator="containsText" text=":DEN">
      <formula>NOT(ISERROR(SEARCH(":DEN",A63)))</formula>
    </cfRule>
    <cfRule type="containsText" dxfId="2" priority="2" operator="containsText" text=":CIN">
      <formula>NOT(ISERROR(SEARCH(":CIN",A63)))</formula>
    </cfRule>
  </conditionalFormatting>
  <conditionalFormatting sqref="F63 I63 L63 N63 P63">
    <cfRule type="containsText" dxfId="1" priority="3" operator="containsText" text=":DEN">
      <formula>NOT(ISERROR(SEARCH(":DEN",F63)))</formula>
    </cfRule>
    <cfRule type="containsText" dxfId="0" priority="4" operator="containsText" text=":CIN">
      <formula>NOT(ISERROR(SEARCH(":CIN",F63)))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2:R69"/>
  <sheetViews>
    <sheetView workbookViewId="0">
      <selection activeCell="O2" sqref="O2"/>
    </sheetView>
  </sheetViews>
  <sheetFormatPr defaultRowHeight="14.25" x14ac:dyDescent="0.45"/>
  <cols>
    <col min="4" max="4" width="11" bestFit="1" customWidth="1"/>
    <col min="7" max="7" width="5.3984375" bestFit="1" customWidth="1"/>
    <col min="11" max="11" width="10.19921875" bestFit="1" customWidth="1"/>
    <col min="13" max="13" width="11" bestFit="1" customWidth="1"/>
    <col min="14" max="15" width="12.06640625" bestFit="1" customWidth="1"/>
    <col min="16" max="17" width="12.33203125" bestFit="1" customWidth="1"/>
    <col min="18" max="18" width="5.796875" bestFit="1" customWidth="1"/>
  </cols>
  <sheetData>
    <row r="2" spans="11:18" x14ac:dyDescent="0.45">
      <c r="K2" s="58"/>
      <c r="L2" s="58"/>
      <c r="M2" s="51"/>
      <c r="O2" s="56" t="s">
        <v>529</v>
      </c>
      <c r="P2" s="56" t="s">
        <v>487</v>
      </c>
      <c r="Q2" s="56" t="s">
        <v>488</v>
      </c>
      <c r="R2" t="s">
        <v>482</v>
      </c>
    </row>
    <row r="3" spans="11:18" x14ac:dyDescent="0.45">
      <c r="K3" s="7"/>
      <c r="L3" s="12"/>
      <c r="M3" s="51"/>
      <c r="O3" s="55" t="s">
        <v>28</v>
      </c>
      <c r="P3" s="55" t="s">
        <v>28</v>
      </c>
      <c r="Q3" s="55" t="s">
        <v>187</v>
      </c>
      <c r="R3" s="53">
        <v>1</v>
      </c>
    </row>
    <row r="4" spans="11:18" x14ac:dyDescent="0.45">
      <c r="K4" s="7"/>
      <c r="L4" s="12"/>
      <c r="M4" s="51"/>
      <c r="Q4" s="55" t="s">
        <v>12</v>
      </c>
      <c r="R4" s="53">
        <v>1</v>
      </c>
    </row>
    <row r="5" spans="11:18" x14ac:dyDescent="0.45">
      <c r="K5" s="7"/>
      <c r="L5" s="12"/>
      <c r="M5" s="51"/>
      <c r="Q5" s="55" t="s">
        <v>132</v>
      </c>
      <c r="R5" s="53">
        <v>1</v>
      </c>
    </row>
    <row r="6" spans="11:18" x14ac:dyDescent="0.45">
      <c r="K6" s="7"/>
      <c r="L6" s="12"/>
      <c r="M6" s="51"/>
      <c r="Q6" s="55" t="s">
        <v>57</v>
      </c>
      <c r="R6" s="53">
        <v>1</v>
      </c>
    </row>
    <row r="7" spans="11:18" x14ac:dyDescent="0.45">
      <c r="K7" s="7"/>
      <c r="L7" s="12"/>
      <c r="M7" s="51"/>
      <c r="Q7" s="55" t="s">
        <v>63</v>
      </c>
      <c r="R7" s="53">
        <v>1</v>
      </c>
    </row>
    <row r="8" spans="11:18" x14ac:dyDescent="0.45">
      <c r="K8" s="7"/>
      <c r="L8" s="12"/>
      <c r="M8" s="51"/>
      <c r="Q8" s="55" t="s">
        <v>45</v>
      </c>
      <c r="R8" s="53">
        <v>3</v>
      </c>
    </row>
    <row r="9" spans="11:18" x14ac:dyDescent="0.45">
      <c r="K9" s="7"/>
      <c r="L9" s="12"/>
      <c r="M9" s="51"/>
      <c r="Q9" s="55" t="s">
        <v>78</v>
      </c>
      <c r="R9" s="53">
        <v>3</v>
      </c>
    </row>
    <row r="10" spans="11:18" x14ac:dyDescent="0.45">
      <c r="K10" s="7"/>
      <c r="L10" s="12"/>
      <c r="M10" s="51"/>
      <c r="Q10" s="55" t="s">
        <v>21</v>
      </c>
      <c r="R10" s="53">
        <v>1</v>
      </c>
    </row>
    <row r="11" spans="11:18" x14ac:dyDescent="0.45">
      <c r="K11" s="7"/>
      <c r="L11" s="12"/>
      <c r="M11" s="51"/>
      <c r="Q11" s="55" t="s">
        <v>36</v>
      </c>
      <c r="R11" s="53">
        <v>1</v>
      </c>
    </row>
    <row r="12" spans="11:18" x14ac:dyDescent="0.45">
      <c r="K12" s="58"/>
      <c r="L12" s="58"/>
      <c r="M12" s="11"/>
      <c r="Q12" s="55" t="s">
        <v>56</v>
      </c>
      <c r="R12" s="53">
        <v>1</v>
      </c>
    </row>
    <row r="13" spans="11:18" x14ac:dyDescent="0.45">
      <c r="O13" s="55" t="s">
        <v>530</v>
      </c>
      <c r="P13" s="55" t="s">
        <v>29</v>
      </c>
      <c r="Q13" s="55" t="s">
        <v>50</v>
      </c>
      <c r="R13" s="53">
        <v>1</v>
      </c>
    </row>
    <row r="14" spans="11:18" x14ac:dyDescent="0.45">
      <c r="Q14" s="55" t="s">
        <v>61</v>
      </c>
      <c r="R14" s="53">
        <v>1</v>
      </c>
    </row>
    <row r="15" spans="11:18" x14ac:dyDescent="0.45">
      <c r="P15" s="55" t="s">
        <v>467</v>
      </c>
      <c r="Q15" s="55" t="s">
        <v>354</v>
      </c>
      <c r="R15" s="53">
        <v>2</v>
      </c>
    </row>
    <row r="16" spans="11:18" x14ac:dyDescent="0.45">
      <c r="K16" s="55"/>
      <c r="L16" s="55"/>
      <c r="M16" s="55"/>
      <c r="Q16" s="55" t="s">
        <v>385</v>
      </c>
      <c r="R16" s="53">
        <v>1</v>
      </c>
    </row>
    <row r="17" spans="1:18" x14ac:dyDescent="0.45">
      <c r="Q17" s="55" t="s">
        <v>405</v>
      </c>
      <c r="R17" s="53">
        <v>1</v>
      </c>
    </row>
    <row r="18" spans="1:18" x14ac:dyDescent="0.45">
      <c r="Q18" s="55" t="s">
        <v>18</v>
      </c>
      <c r="R18" s="53">
        <v>1</v>
      </c>
    </row>
    <row r="19" spans="1:18" x14ac:dyDescent="0.45">
      <c r="Q19" s="55" t="s">
        <v>402</v>
      </c>
      <c r="R19" s="53">
        <v>1</v>
      </c>
    </row>
    <row r="20" spans="1:18" x14ac:dyDescent="0.45">
      <c r="P20" s="55" t="s">
        <v>468</v>
      </c>
      <c r="Q20" s="55" t="s">
        <v>20</v>
      </c>
      <c r="R20" s="53">
        <v>1</v>
      </c>
    </row>
    <row r="21" spans="1:18" x14ac:dyDescent="0.45">
      <c r="Q21" s="55" t="s">
        <v>73</v>
      </c>
      <c r="R21" s="53">
        <v>1</v>
      </c>
    </row>
    <row r="22" spans="1:18" x14ac:dyDescent="0.45">
      <c r="O22" s="55" t="s">
        <v>531</v>
      </c>
      <c r="P22" s="55" t="s">
        <v>30</v>
      </c>
      <c r="Q22" s="55" t="s">
        <v>140</v>
      </c>
      <c r="R22" s="53">
        <v>1</v>
      </c>
    </row>
    <row r="23" spans="1:18" x14ac:dyDescent="0.45">
      <c r="P23" s="55" t="s">
        <v>486</v>
      </c>
      <c r="Q23" s="55" t="s">
        <v>418</v>
      </c>
      <c r="R23" s="53">
        <v>1</v>
      </c>
    </row>
    <row r="24" spans="1:18" x14ac:dyDescent="0.45">
      <c r="P24" s="55" t="s">
        <v>469</v>
      </c>
      <c r="Q24" s="55" t="s">
        <v>412</v>
      </c>
      <c r="R24" s="53">
        <v>1</v>
      </c>
    </row>
    <row r="25" spans="1:18" x14ac:dyDescent="0.45">
      <c r="O25" s="55" t="s">
        <v>31</v>
      </c>
      <c r="P25" s="55" t="s">
        <v>31</v>
      </c>
      <c r="Q25" s="55" t="s">
        <v>19</v>
      </c>
      <c r="R25" s="53">
        <v>1</v>
      </c>
    </row>
    <row r="26" spans="1:18" x14ac:dyDescent="0.45">
      <c r="Q26" s="55" t="s">
        <v>216</v>
      </c>
      <c r="R26" s="53">
        <v>1</v>
      </c>
    </row>
    <row r="27" spans="1:18" x14ac:dyDescent="0.45">
      <c r="Q27" s="55" t="s">
        <v>355</v>
      </c>
      <c r="R27" s="53">
        <v>1</v>
      </c>
    </row>
    <row r="28" spans="1:18" x14ac:dyDescent="0.45">
      <c r="Q28" s="55" t="s">
        <v>188</v>
      </c>
      <c r="R28" s="53">
        <v>1</v>
      </c>
    </row>
    <row r="29" spans="1:18" x14ac:dyDescent="0.45">
      <c r="O29" s="55" t="s">
        <v>33</v>
      </c>
      <c r="P29" s="55" t="s">
        <v>33</v>
      </c>
      <c r="Q29" s="55" t="s">
        <v>106</v>
      </c>
      <c r="R29" s="53">
        <v>1</v>
      </c>
    </row>
    <row r="30" spans="1:18" x14ac:dyDescent="0.45">
      <c r="A30" s="3"/>
      <c r="O30" s="55" t="s">
        <v>34</v>
      </c>
      <c r="P30" s="55" t="s">
        <v>34</v>
      </c>
      <c r="Q30" s="55" t="s">
        <v>515</v>
      </c>
      <c r="R30" s="53">
        <v>1</v>
      </c>
    </row>
    <row r="31" spans="1:18" x14ac:dyDescent="0.45">
      <c r="A31" s="3"/>
      <c r="O31" s="55" t="s">
        <v>433</v>
      </c>
      <c r="R31" s="53">
        <v>33</v>
      </c>
    </row>
    <row r="32" spans="1:18" x14ac:dyDescent="0.45">
      <c r="A32" s="3"/>
      <c r="C32" s="15"/>
    </row>
    <row r="33" spans="1:1" x14ac:dyDescent="0.45">
      <c r="A33" s="3"/>
    </row>
    <row r="34" spans="1:1" x14ac:dyDescent="0.45">
      <c r="A34" s="3"/>
    </row>
    <row r="35" spans="1:1" x14ac:dyDescent="0.45">
      <c r="A35" s="3"/>
    </row>
    <row r="36" spans="1:1" x14ac:dyDescent="0.45">
      <c r="A36" s="3"/>
    </row>
    <row r="37" spans="1:1" x14ac:dyDescent="0.45">
      <c r="A37" s="3"/>
    </row>
    <row r="38" spans="1:1" x14ac:dyDescent="0.45">
      <c r="A38" s="3"/>
    </row>
    <row r="39" spans="1:1" x14ac:dyDescent="0.45">
      <c r="A39" s="3"/>
    </row>
    <row r="40" spans="1:1" x14ac:dyDescent="0.45">
      <c r="A40" s="3"/>
    </row>
    <row r="41" spans="1:1" x14ac:dyDescent="0.45">
      <c r="A41" s="3"/>
    </row>
    <row r="42" spans="1:1" x14ac:dyDescent="0.45">
      <c r="A42" s="3"/>
    </row>
    <row r="43" spans="1:1" x14ac:dyDescent="0.45">
      <c r="A43" s="3"/>
    </row>
    <row r="44" spans="1:1" x14ac:dyDescent="0.45">
      <c r="A44" s="3"/>
    </row>
    <row r="45" spans="1:1" x14ac:dyDescent="0.45">
      <c r="A45" s="3"/>
    </row>
    <row r="46" spans="1:1" x14ac:dyDescent="0.45">
      <c r="A46" s="3"/>
    </row>
    <row r="47" spans="1:1" x14ac:dyDescent="0.45">
      <c r="A47" s="3"/>
    </row>
    <row r="48" spans="1:1" x14ac:dyDescent="0.45">
      <c r="A48" s="3"/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s="3"/>
    </row>
    <row r="53" spans="1:1" x14ac:dyDescent="0.45">
      <c r="A53" s="3"/>
    </row>
    <row r="54" spans="1:1" x14ac:dyDescent="0.45">
      <c r="A54" s="3"/>
    </row>
    <row r="55" spans="1:1" x14ac:dyDescent="0.45">
      <c r="A55" s="3"/>
    </row>
    <row r="56" spans="1:1" x14ac:dyDescent="0.45">
      <c r="A56" s="3"/>
    </row>
    <row r="57" spans="1:1" x14ac:dyDescent="0.45">
      <c r="A57" s="3"/>
    </row>
    <row r="58" spans="1:1" x14ac:dyDescent="0.45">
      <c r="A58" s="3"/>
    </row>
    <row r="59" spans="1:1" x14ac:dyDescent="0.45">
      <c r="A59" s="3"/>
    </row>
    <row r="60" spans="1:1" x14ac:dyDescent="0.45">
      <c r="A60" s="3"/>
    </row>
    <row r="61" spans="1:1" x14ac:dyDescent="0.45">
      <c r="A61" s="3"/>
    </row>
    <row r="62" spans="1:1" x14ac:dyDescent="0.45">
      <c r="A62" s="3"/>
    </row>
    <row r="63" spans="1:1" x14ac:dyDescent="0.45">
      <c r="A63" s="3"/>
    </row>
    <row r="64" spans="1:1" x14ac:dyDescent="0.45">
      <c r="A64" s="3"/>
    </row>
    <row r="65" spans="1:1" x14ac:dyDescent="0.45">
      <c r="A65" s="3"/>
    </row>
    <row r="66" spans="1:1" x14ac:dyDescent="0.45">
      <c r="A66" s="3"/>
    </row>
    <row r="67" spans="1:1" x14ac:dyDescent="0.45">
      <c r="A67" s="3"/>
    </row>
    <row r="68" spans="1:1" x14ac:dyDescent="0.45">
      <c r="A68" s="3"/>
    </row>
    <row r="69" spans="1:1" x14ac:dyDescent="0.45">
      <c r="A69" s="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Sheet2</vt:lpstr>
      <vt:lpstr>Wins by Key</vt:lpstr>
      <vt:lpstr>Wins by Postion</vt:lpstr>
      <vt:lpstr>MVP by Key</vt:lpstr>
      <vt:lpstr>MVP by Player-Position</vt:lpstr>
      <vt:lpstr>Team Count</vt:lpstr>
      <vt:lpstr>Retro</vt:lpstr>
      <vt:lpstr>Position Matrix</vt:lpstr>
      <vt:lpstr>xMVP by Position</vt:lpstr>
      <vt:lpstr>WinsByPosition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2024-09-06T04:42:29Z</dcterms:created>
  <dcterms:modified xsi:type="dcterms:W3CDTF">2025-11-08T19:48:45Z</dcterms:modified>
</cp:coreProperties>
</file>